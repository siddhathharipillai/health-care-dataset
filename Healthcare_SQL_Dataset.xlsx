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ddharth Hari\Downloads\"/>
    </mc:Choice>
  </mc:AlternateContent>
  <xr:revisionPtr revIDLastSave="0" documentId="13_ncr:1_{6D3A3DFD-063B-4427-AA77-B118646E842C}" xr6:coauthVersionLast="47" xr6:coauthVersionMax="47" xr10:uidLastSave="{00000000-0000-0000-0000-000000000000}"/>
  <bookViews>
    <workbookView xWindow="11424" yWindow="0" windowWidth="11712" windowHeight="12336" firstSheet="2" activeTab="2" xr2:uid="{00000000-000D-0000-FFFF-FFFF00000000}"/>
  </bookViews>
  <sheets>
    <sheet name="sum of treatment cost" sheetId="6" r:id="rId1"/>
    <sheet name="charts of patients" sheetId="14" r:id="rId2"/>
    <sheet name="Patients" sheetId="1" r:id="rId3"/>
    <sheet name="Diagnosis" sheetId="2" r:id="rId4"/>
    <sheet name="Outcome" sheetId="3" r:id="rId5"/>
    <sheet name="Labs" sheetId="4" r:id="rId6"/>
  </sheets>
  <definedNames>
    <definedName name="_xlnm._FilterDatabase" localSheetId="3" hidden="1">Diagnosis!$A$1:$B$11</definedName>
    <definedName name="_xlnm._FilterDatabase" localSheetId="5" hidden="1">Labs!$A$1:$E$3001</definedName>
    <definedName name="_xlnm._FilterDatabase" localSheetId="4" hidden="1">Outcome!$A$1:$B$7</definedName>
    <definedName name="_xlnm._FilterDatabase" localSheetId="2" hidden="1">Patients!$A$1:$I$1001</definedName>
  </definedNames>
  <calcPr calcId="191029"/>
  <pivotCaches>
    <pivotCache cacheId="21" r:id="rId7"/>
    <pivotCache cacheId="5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3" i="1"/>
  <c r="N2" i="1"/>
  <c r="M3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L2" i="1"/>
</calcChain>
</file>

<file path=xl/sharedStrings.xml><?xml version="1.0" encoding="utf-8"?>
<sst xmlns="http://schemas.openxmlformats.org/spreadsheetml/2006/main" count="8627" uniqueCount="634">
  <si>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</si>
  <si>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</si>
  <si>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</si>
  <si>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</si>
  <si>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</si>
  <si>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</si>
  <si>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</si>
  <si>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</si>
  <si>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</si>
  <si>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Ayaan Sharma</t>
  </si>
  <si>
    <t>F</t>
  </si>
  <si>
    <t>Manav Singh</t>
  </si>
  <si>
    <t>Vivaan Pillai</t>
  </si>
  <si>
    <t>Ananya Malhotra</t>
  </si>
  <si>
    <t>Amit Patel</t>
  </si>
  <si>
    <t>Ayaan Das</t>
  </si>
  <si>
    <t>Pari Nair</t>
  </si>
  <si>
    <t>M</t>
  </si>
  <si>
    <t>Ananya Kapoor</t>
  </si>
  <si>
    <t>Ananya Pillai</t>
  </si>
  <si>
    <t>Riya Mishra</t>
  </si>
  <si>
    <t>Ira Singh</t>
  </si>
  <si>
    <t>Simran Gupta</t>
  </si>
  <si>
    <t>Pooja Bose</t>
  </si>
  <si>
    <t>Ayaan Gupta</t>
  </si>
  <si>
    <t>Simran Saxena</t>
  </si>
  <si>
    <t>Rahul Patel</t>
  </si>
  <si>
    <t>Myra Saxena</t>
  </si>
  <si>
    <t>Priya Kumar</t>
  </si>
  <si>
    <t>Kavya Mishra</t>
  </si>
  <si>
    <t>Manav Gupta</t>
  </si>
  <si>
    <t>Saanvi Pillai</t>
  </si>
  <si>
    <t>Ishita Chauhan</t>
  </si>
  <si>
    <t>Aditi Mishra</t>
  </si>
  <si>
    <t>Arjun Saxena</t>
  </si>
  <si>
    <t>Yash Bose</t>
  </si>
  <si>
    <t>Pooja Kapoor</t>
  </si>
  <si>
    <t>Reyansh Verma</t>
  </si>
  <si>
    <t>Pooja Kumar</t>
  </si>
  <si>
    <t>Kabir Joshi</t>
  </si>
  <si>
    <t>Simran Nair</t>
  </si>
  <si>
    <t>Manav Verma</t>
  </si>
  <si>
    <t>Ananya Verma</t>
  </si>
  <si>
    <t>Sneha Patel</t>
  </si>
  <si>
    <t>Aditi Bose</t>
  </si>
  <si>
    <t>Sneha Gupta</t>
  </si>
  <si>
    <t>Simran Khan</t>
  </si>
  <si>
    <t>Neha Singh</t>
  </si>
  <si>
    <t>Naina Saxena</t>
  </si>
  <si>
    <t>Riya Gupta</t>
  </si>
  <si>
    <t>Aarav Mehta</t>
  </si>
  <si>
    <t>Aarav Patel</t>
  </si>
  <si>
    <t>Pooja Gupta</t>
  </si>
  <si>
    <t>Anika Patel</t>
  </si>
  <si>
    <t>Ananya Kumar</t>
  </si>
  <si>
    <t>Anika Reddy</t>
  </si>
  <si>
    <t>Simran Kapoor</t>
  </si>
  <si>
    <t>Arjun Reddy</t>
  </si>
  <si>
    <t>Myra Kumar</t>
  </si>
  <si>
    <t>Rohan Malhotra</t>
  </si>
  <si>
    <t>Aarav Saxena</t>
  </si>
  <si>
    <t>Naina Mehta</t>
  </si>
  <si>
    <t>Meera Pillai</t>
  </si>
  <si>
    <t>Diya Khan</t>
  </si>
  <si>
    <t>Ananya Singh</t>
  </si>
  <si>
    <t>Pari Joshi</t>
  </si>
  <si>
    <t>Simran Malhotra</t>
  </si>
  <si>
    <t>Varun Mehta</t>
  </si>
  <si>
    <t>Nikhil Reddy</t>
  </si>
  <si>
    <t>Meera Mishra</t>
  </si>
  <si>
    <t>Ishaan Joshi</t>
  </si>
  <si>
    <t>Karan Das</t>
  </si>
  <si>
    <t>Amit Malhotra</t>
  </si>
  <si>
    <t>Rahul Das</t>
  </si>
  <si>
    <t>Vihaan Reddy</t>
  </si>
  <si>
    <t>Ira Malhotra</t>
  </si>
  <si>
    <t>Neha Mishra</t>
  </si>
  <si>
    <t>Vivaan Khan</t>
  </si>
  <si>
    <t>Simran Reddy</t>
  </si>
  <si>
    <t>Ananya Nair</t>
  </si>
  <si>
    <t>Aadhya Singh</t>
  </si>
  <si>
    <t>Ayaan Bose</t>
  </si>
  <si>
    <t>Rahul Sharma</t>
  </si>
  <si>
    <t>Kabir Chauhan</t>
  </si>
  <si>
    <t>Nikhil Mishra</t>
  </si>
  <si>
    <t>Saanvi Kapoor</t>
  </si>
  <si>
    <t>Ishita Joshi</t>
  </si>
  <si>
    <t>Tara Chauhan</t>
  </si>
  <si>
    <t>Aditi Kapoor</t>
  </si>
  <si>
    <t>Ira Nair</t>
  </si>
  <si>
    <t>Diya Joshi</t>
  </si>
  <si>
    <t>Meera Patel</t>
  </si>
  <si>
    <t>Krishna Reddy</t>
  </si>
  <si>
    <t>Tara Patel</t>
  </si>
  <si>
    <t>Myra Yadav</t>
  </si>
  <si>
    <t>Ishaan Gupta</t>
  </si>
  <si>
    <t>Varun Khan</t>
  </si>
  <si>
    <t>Kavya Bose</t>
  </si>
  <si>
    <t>Saanvi Reddy</t>
  </si>
  <si>
    <t>Karan Chauhan</t>
  </si>
  <si>
    <t>Simran Singh</t>
  </si>
  <si>
    <t>Aadhya Malhotra</t>
  </si>
  <si>
    <t>Kavya Khan</t>
  </si>
  <si>
    <t>Ira Saxena</t>
  </si>
  <si>
    <t>Rohan Khan</t>
  </si>
  <si>
    <t>Aditi Sharma</t>
  </si>
  <si>
    <t>Reyansh Kumar</t>
  </si>
  <si>
    <t>Riya Verma</t>
  </si>
  <si>
    <t>Dev Sharma</t>
  </si>
  <si>
    <t>Pari Patel</t>
  </si>
  <si>
    <t>Varun Saxena</t>
  </si>
  <si>
    <t>Dev Reddy</t>
  </si>
  <si>
    <t>Ishaan Chauhan</t>
  </si>
  <si>
    <t>Rohan Joshi</t>
  </si>
  <si>
    <t>Rohan Yadav</t>
  </si>
  <si>
    <t>Tara Verma</t>
  </si>
  <si>
    <t>Aarav Gupta</t>
  </si>
  <si>
    <t>Sneha Singh</t>
  </si>
  <si>
    <t>Sai Malhotra</t>
  </si>
  <si>
    <t>Rohan Verma</t>
  </si>
  <si>
    <t>Diya Kumar</t>
  </si>
  <si>
    <t>Aditi Gupta</t>
  </si>
  <si>
    <t>Pooja Reddy</t>
  </si>
  <si>
    <t>Yash Kapoor</t>
  </si>
  <si>
    <t>Yash Verma</t>
  </si>
  <si>
    <t>Kavya Chauhan</t>
  </si>
  <si>
    <t>Kabir Nair</t>
  </si>
  <si>
    <t>Sneha Pillai</t>
  </si>
  <si>
    <t>Myra Bose</t>
  </si>
  <si>
    <t>Riya Mehta</t>
  </si>
  <si>
    <t>Karan Patel</t>
  </si>
  <si>
    <t>Karan Bose</t>
  </si>
  <si>
    <t>Ira Verma</t>
  </si>
  <si>
    <t>Reyansh Kapoor</t>
  </si>
  <si>
    <t>Krishna Bose</t>
  </si>
  <si>
    <t>Rahul Gupta</t>
  </si>
  <si>
    <t>Diya Reddy</t>
  </si>
  <si>
    <t>Priya Saxena</t>
  </si>
  <si>
    <t>Ishita Nair</t>
  </si>
  <si>
    <t>Aditi Pillai</t>
  </si>
  <si>
    <t>Pooja Patel</t>
  </si>
  <si>
    <t>Pari Malhotra</t>
  </si>
  <si>
    <t>Myra Kapoor</t>
  </si>
  <si>
    <t>Priya Gupta</t>
  </si>
  <si>
    <t>Neha Malhotra</t>
  </si>
  <si>
    <t>Saanvi Gupta</t>
  </si>
  <si>
    <t>Ira Bose</t>
  </si>
  <si>
    <t>Riya Sharma</t>
  </si>
  <si>
    <t>Rahul Kapoor</t>
  </si>
  <si>
    <t>Vivaan Singh</t>
  </si>
  <si>
    <t>Rohan Bose</t>
  </si>
  <si>
    <t>Sai Reddy</t>
  </si>
  <si>
    <t>Dev Patel</t>
  </si>
  <si>
    <t>Kavya Verma</t>
  </si>
  <si>
    <t>Amit Pillai</t>
  </si>
  <si>
    <t>Sneha Verma</t>
  </si>
  <si>
    <t>Sneha Malhotra</t>
  </si>
  <si>
    <t>Naina Chauhan</t>
  </si>
  <si>
    <t>Sneha Saxena</t>
  </si>
  <si>
    <t>Ishaan Mishra</t>
  </si>
  <si>
    <t>Arjun Kumar</t>
  </si>
  <si>
    <t>Yash Khan</t>
  </si>
  <si>
    <t>Priya Nair</t>
  </si>
  <si>
    <t>Aditya Chauhan</t>
  </si>
  <si>
    <t>Nikhil Patel</t>
  </si>
  <si>
    <t>Nikhil Saxena</t>
  </si>
  <si>
    <t>Rahul Khan</t>
  </si>
  <si>
    <t>Myra Khan</t>
  </si>
  <si>
    <t>Krishna Saxena</t>
  </si>
  <si>
    <t>Saanvi Mehta</t>
  </si>
  <si>
    <t>Reyansh Saxena</t>
  </si>
  <si>
    <t>Nikhil Khan</t>
  </si>
  <si>
    <t>Karan Kumar</t>
  </si>
  <si>
    <t>Ishaan Malhotra</t>
  </si>
  <si>
    <t>Dev Kapoor</t>
  </si>
  <si>
    <t>Anika Gupta</t>
  </si>
  <si>
    <t>Sai Saxena</t>
  </si>
  <si>
    <t>Vivaan Das</t>
  </si>
  <si>
    <t>Arjun Kapoor</t>
  </si>
  <si>
    <t>Manav Mehta</t>
  </si>
  <si>
    <t>Arjun Chauhan</t>
  </si>
  <si>
    <t>Kavya Saxena</t>
  </si>
  <si>
    <t>Vihaan Mehta</t>
  </si>
  <si>
    <t>Amit Mehta</t>
  </si>
  <si>
    <t>Sai Mehta</t>
  </si>
  <si>
    <t>Nikhil Kapoor</t>
  </si>
  <si>
    <t>Vihaan Singh</t>
  </si>
  <si>
    <t>Vivaan Gupta</t>
  </si>
  <si>
    <t>Priya Das</t>
  </si>
  <si>
    <t>Nikhil Singh</t>
  </si>
  <si>
    <t>Myra Chauhan</t>
  </si>
  <si>
    <t>Diya Chauhan</t>
  </si>
  <si>
    <t>Kavya Kumar</t>
  </si>
  <si>
    <t>Krishna Mishra</t>
  </si>
  <si>
    <t>Ishita Malhotra</t>
  </si>
  <si>
    <t>Ishita Kapoor</t>
  </si>
  <si>
    <t>Ayaan Saxena</t>
  </si>
  <si>
    <t>Ananya Khan</t>
  </si>
  <si>
    <t>Yash Reddy</t>
  </si>
  <si>
    <t>Manav Nair</t>
  </si>
  <si>
    <t>Varun Gupta</t>
  </si>
  <si>
    <t>Reyansh Mehta</t>
  </si>
  <si>
    <t>Meera Das</t>
  </si>
  <si>
    <t>Sai Das</t>
  </si>
  <si>
    <t>Tara Khan</t>
  </si>
  <si>
    <t>Riya Nair</t>
  </si>
  <si>
    <t>Naina Khan</t>
  </si>
  <si>
    <t>Kabir Saxena</t>
  </si>
  <si>
    <t>Ananya Das</t>
  </si>
  <si>
    <t>Yash Nair</t>
  </si>
  <si>
    <t>Kavya Sharma</t>
  </si>
  <si>
    <t>Pari Verma</t>
  </si>
  <si>
    <t>Amit Gupta</t>
  </si>
  <si>
    <t>Nikhil Mehta</t>
  </si>
  <si>
    <t>Kabir Verma</t>
  </si>
  <si>
    <t>Ishita Das</t>
  </si>
  <si>
    <t>Kavya Nair</t>
  </si>
  <si>
    <t>Meera Verma</t>
  </si>
  <si>
    <t>Aadhya Pillai</t>
  </si>
  <si>
    <t>Vihaan Saxena</t>
  </si>
  <si>
    <t>Krishna Sharma</t>
  </si>
  <si>
    <t>Aadhya Nair</t>
  </si>
  <si>
    <t>Aditya Kumar</t>
  </si>
  <si>
    <t>Simran Pillai</t>
  </si>
  <si>
    <t>Rahul Kumar</t>
  </si>
  <si>
    <t>Meera Bose</t>
  </si>
  <si>
    <t>Pooja Saxena</t>
  </si>
  <si>
    <t>Rohan Mishra</t>
  </si>
  <si>
    <t>Ayaan Chauhan</t>
  </si>
  <si>
    <t>Kavya Patel</t>
  </si>
  <si>
    <t>Saanvi Mishra</t>
  </si>
  <si>
    <t>Yash Patel</t>
  </si>
  <si>
    <t>Vihaan Chauhan</t>
  </si>
  <si>
    <t>Krishna Malhotra</t>
  </si>
  <si>
    <t>Pari Sharma</t>
  </si>
  <si>
    <t>Pari Mishra</t>
  </si>
  <si>
    <t>Ayaan Verma</t>
  </si>
  <si>
    <t>Saanvi Singh</t>
  </si>
  <si>
    <t>Aditya Das</t>
  </si>
  <si>
    <t>Dev Nair</t>
  </si>
  <si>
    <t>Kavya Gupta</t>
  </si>
  <si>
    <t>Diya Malhotra</t>
  </si>
  <si>
    <t>Ishita Mehta</t>
  </si>
  <si>
    <t>Kabir Mishra</t>
  </si>
  <si>
    <t>Karan Pillai</t>
  </si>
  <si>
    <t>Arjun Joshi</t>
  </si>
  <si>
    <t>Aarav Joshi</t>
  </si>
  <si>
    <t>Anika Pillai</t>
  </si>
  <si>
    <t>Myra Pillai</t>
  </si>
  <si>
    <t>Anika Yadav</t>
  </si>
  <si>
    <t>Naina Yadav</t>
  </si>
  <si>
    <t>Ishita Reddy</t>
  </si>
  <si>
    <t>Diya Patel</t>
  </si>
  <si>
    <t>Ira Das</t>
  </si>
  <si>
    <t>Kavya Singh</t>
  </si>
  <si>
    <t>Aarav Kumar</t>
  </si>
  <si>
    <t>Pooja Mishra</t>
  </si>
  <si>
    <t>Rohan Sharma</t>
  </si>
  <si>
    <t>Arjun Singh</t>
  </si>
  <si>
    <t>Rohan Kapoor</t>
  </si>
  <si>
    <t>Krishna Singh</t>
  </si>
  <si>
    <t>Sai Kapoor</t>
  </si>
  <si>
    <t>Meera Malhotra</t>
  </si>
  <si>
    <t>Ananya Gupta</t>
  </si>
  <si>
    <t>Karan Nair</t>
  </si>
  <si>
    <t>Naina Das</t>
  </si>
  <si>
    <t>Sneha Mehta</t>
  </si>
  <si>
    <t>Sneha Kapoor</t>
  </si>
  <si>
    <t>Simran Joshi</t>
  </si>
  <si>
    <t>Tara Gupta</t>
  </si>
  <si>
    <t>Amit Singh</t>
  </si>
  <si>
    <t>Anika Kapoor</t>
  </si>
  <si>
    <t>Rahul Malhotra</t>
  </si>
  <si>
    <t>Dev Gupta</t>
  </si>
  <si>
    <t>Kabir Patel</t>
  </si>
  <si>
    <t>Vivaan Mehta</t>
  </si>
  <si>
    <t>Rahul Pillai</t>
  </si>
  <si>
    <t>Pooja Das</t>
  </si>
  <si>
    <t>Diya Nair</t>
  </si>
  <si>
    <t>Tara Pillai</t>
  </si>
  <si>
    <t>Riya Saxena</t>
  </si>
  <si>
    <t>Tara Kumar</t>
  </si>
  <si>
    <t>Ananya Chauhan</t>
  </si>
  <si>
    <t>Manav Kapoor</t>
  </si>
  <si>
    <t>Anika Nair</t>
  </si>
  <si>
    <t>Ayaan Mishra</t>
  </si>
  <si>
    <t>Saanvi Joshi</t>
  </si>
  <si>
    <t>Meera Nair</t>
  </si>
  <si>
    <t>Karan Verma</t>
  </si>
  <si>
    <t>Sneha Yadav</t>
  </si>
  <si>
    <t>Sai Chauhan</t>
  </si>
  <si>
    <t>Saanvi Yadav</t>
  </si>
  <si>
    <t>Tara Mehta</t>
  </si>
  <si>
    <t>Ayaan Kumar</t>
  </si>
  <si>
    <t>Reyansh Patel</t>
  </si>
  <si>
    <t>Krishna Gupta</t>
  </si>
  <si>
    <t>Aditi Das</t>
  </si>
  <si>
    <t>Dev Joshi</t>
  </si>
  <si>
    <t>Priya Mehta</t>
  </si>
  <si>
    <t>Kabir Singh</t>
  </si>
  <si>
    <t>Naina Gupta</t>
  </si>
  <si>
    <t>Ishaan Pillai</t>
  </si>
  <si>
    <t>Arjun Nair</t>
  </si>
  <si>
    <t>Ishaan Kumar</t>
  </si>
  <si>
    <t>Ishita Verma</t>
  </si>
  <si>
    <t>Riya Chauhan</t>
  </si>
  <si>
    <t>Anika Chauhan</t>
  </si>
  <si>
    <t>Ishaan Sharma</t>
  </si>
  <si>
    <t>Karan Kapoor</t>
  </si>
  <si>
    <t>Arjun Bose</t>
  </si>
  <si>
    <t>Rohan Das</t>
  </si>
  <si>
    <t>Nikhil Pillai</t>
  </si>
  <si>
    <t>Aarav Verma</t>
  </si>
  <si>
    <t>Sai Bose</t>
  </si>
  <si>
    <t>Ira Chauhan</t>
  </si>
  <si>
    <t>Ishita Mishra</t>
  </si>
  <si>
    <t>Tara Kapoor</t>
  </si>
  <si>
    <t>Vivaan Reddy</t>
  </si>
  <si>
    <t>Ananya Patel</t>
  </si>
  <si>
    <t>Pari Bose</t>
  </si>
  <si>
    <t>Neha Bose</t>
  </si>
  <si>
    <t>Vivaan Saxena</t>
  </si>
  <si>
    <t>Diya Mehta</t>
  </si>
  <si>
    <t>Naina Kapoor</t>
  </si>
  <si>
    <t>Aarav Bose</t>
  </si>
  <si>
    <t>Rohan Kumar</t>
  </si>
  <si>
    <t>Yash Mishra</t>
  </si>
  <si>
    <t>Myra Patel</t>
  </si>
  <si>
    <t>Manav Reddy</t>
  </si>
  <si>
    <t>Varun Yadav</t>
  </si>
  <si>
    <t>Manav Das</t>
  </si>
  <si>
    <t>Aditya Saxena</t>
  </si>
  <si>
    <t>Ishaan Khan</t>
  </si>
  <si>
    <t>Rahul Mishra</t>
  </si>
  <si>
    <t>Kavya Reddy</t>
  </si>
  <si>
    <t>Rohan Reddy</t>
  </si>
  <si>
    <t>Karan Yadav</t>
  </si>
  <si>
    <t>Dev Das</t>
  </si>
  <si>
    <t>Anika Verma</t>
  </si>
  <si>
    <t>Kabir Bose</t>
  </si>
  <si>
    <t>Sai Nair</t>
  </si>
  <si>
    <t>Aarav Yadav</t>
  </si>
  <si>
    <t>Ishita Khan</t>
  </si>
  <si>
    <t>Riya Khan</t>
  </si>
  <si>
    <t>Ira Mehta</t>
  </si>
  <si>
    <t>Vihaan Khan</t>
  </si>
  <si>
    <t>Myra Malhotra</t>
  </si>
  <si>
    <t>Riya Kumar</t>
  </si>
  <si>
    <t>Aditi Khan</t>
  </si>
  <si>
    <t>Kavya Malhotra</t>
  </si>
  <si>
    <t>Vihaan Sharma</t>
  </si>
  <si>
    <t>Tara Singh</t>
  </si>
  <si>
    <t>Aditya Pillai</t>
  </si>
  <si>
    <t>Aarav Mishra</t>
  </si>
  <si>
    <t>Sneha Sharma</t>
  </si>
  <si>
    <t>Ayaan Kapoor</t>
  </si>
  <si>
    <t>Varun Verma</t>
  </si>
  <si>
    <t>Ayaan Pillai</t>
  </si>
  <si>
    <t>Aadhya Reddy</t>
  </si>
  <si>
    <t>Tara Joshi</t>
  </si>
  <si>
    <t>Reyansh Reddy</t>
  </si>
  <si>
    <t>Diya Verma</t>
  </si>
  <si>
    <t>Aditya Sharma</t>
  </si>
  <si>
    <t>Amit Yadav</t>
  </si>
  <si>
    <t>Neha Khan</t>
  </si>
  <si>
    <t>Sneha Mishra</t>
  </si>
  <si>
    <t>Aarav Singh</t>
  </si>
  <si>
    <t>Priya Chauhan</t>
  </si>
  <si>
    <t>Aadhya Mehta</t>
  </si>
  <si>
    <t>Nikhil Chauhan</t>
  </si>
  <si>
    <t>Meera Kapoor</t>
  </si>
  <si>
    <t>Vihaan Joshi</t>
  </si>
  <si>
    <t>Meera Joshi</t>
  </si>
  <si>
    <t>Vihaan Das</t>
  </si>
  <si>
    <t>Amit Verma</t>
  </si>
  <si>
    <t>Naina Nair</t>
  </si>
  <si>
    <t>Diya Saxena</t>
  </si>
  <si>
    <t>Meera Sharma</t>
  </si>
  <si>
    <t>Pooja Singh</t>
  </si>
  <si>
    <t>Vihaan Kumar</t>
  </si>
  <si>
    <t>Nikhil Das</t>
  </si>
  <si>
    <t>Naina Singh</t>
  </si>
  <si>
    <t>Ishaan Nair</t>
  </si>
  <si>
    <t>Neha Joshi</t>
  </si>
  <si>
    <t>Ira Gupta</t>
  </si>
  <si>
    <t>Meera Gupta</t>
  </si>
  <si>
    <t>Naina Kumar</t>
  </si>
  <si>
    <t>Ishaan Yadav</t>
  </si>
  <si>
    <t>Aditya Verma</t>
  </si>
  <si>
    <t>Tara Yadav</t>
  </si>
  <si>
    <t>Ira Joshi</t>
  </si>
  <si>
    <t>Karan Sharma</t>
  </si>
  <si>
    <t>Aditya Bose</t>
  </si>
  <si>
    <t>Varun Bose</t>
  </si>
  <si>
    <t>Kabir Kumar</t>
  </si>
  <si>
    <t>Kabir Das</t>
  </si>
  <si>
    <t>Yash Saxena</t>
  </si>
  <si>
    <t>Priya Patel</t>
  </si>
  <si>
    <t>Priya Khan</t>
  </si>
  <si>
    <t>Priya Pillai</t>
  </si>
  <si>
    <t>Krishna Patel</t>
  </si>
  <si>
    <t>Pari Khan</t>
  </si>
  <si>
    <t>Reyansh Pillai</t>
  </si>
  <si>
    <t>Manav Bose</t>
  </si>
  <si>
    <t>Simran Chauhan</t>
  </si>
  <si>
    <t>Aadhya Mishra</t>
  </si>
  <si>
    <t>Aarav Pillai</t>
  </si>
  <si>
    <t>Aditi Patel</t>
  </si>
  <si>
    <t>Kabir Khan</t>
  </si>
  <si>
    <t>Priya Kapoor</t>
  </si>
  <si>
    <t>Ishita Pillai</t>
  </si>
  <si>
    <t>Reyansh Chauhan</t>
  </si>
  <si>
    <t>Neha Sharma</t>
  </si>
  <si>
    <t>Manav Kumar</t>
  </si>
  <si>
    <t>Meera Reddy</t>
  </si>
  <si>
    <t>Aditi Saxena</t>
  </si>
  <si>
    <t>Myra Singh</t>
  </si>
  <si>
    <t>Ishita Kumar</t>
  </si>
  <si>
    <t>Yash Malhotra</t>
  </si>
  <si>
    <t>Kavya Kapoor</t>
  </si>
  <si>
    <t>Krishna Kapoor</t>
  </si>
  <si>
    <t>Amit Mishra</t>
  </si>
  <si>
    <t>Naina Reddy</t>
  </si>
  <si>
    <t>Ishaan Verma</t>
  </si>
  <si>
    <t>Aadhya Chauhan</t>
  </si>
  <si>
    <t>Kavya Mehta</t>
  </si>
  <si>
    <t>Aadhya Kapoor</t>
  </si>
  <si>
    <t>Vihaan Verma</t>
  </si>
  <si>
    <t>Riya Kapoor</t>
  </si>
  <si>
    <t>Aditya Yadav</t>
  </si>
  <si>
    <t>Diya Pillai</t>
  </si>
  <si>
    <t>Rohan Singh</t>
  </si>
  <si>
    <t>Krishna Kumar</t>
  </si>
  <si>
    <t>Priya Verma</t>
  </si>
  <si>
    <t>Saanvi Saxena</t>
  </si>
  <si>
    <t>Anika Bose</t>
  </si>
  <si>
    <t>Dev Mehta</t>
  </si>
  <si>
    <t>Manav Joshi</t>
  </si>
  <si>
    <t>Aditya Nair</t>
  </si>
  <si>
    <t>Ishaan Patel</t>
  </si>
  <si>
    <t>Anika Mishra</t>
  </si>
  <si>
    <t>Arjun Mehta</t>
  </si>
  <si>
    <t>Reyansh Khan</t>
  </si>
  <si>
    <t>Varun Sharma</t>
  </si>
  <si>
    <t>Ishaan Mehta</t>
  </si>
  <si>
    <t>Rahul Singh</t>
  </si>
  <si>
    <t>Sai Patel</t>
  </si>
  <si>
    <t>Vivaan Nair</t>
  </si>
  <si>
    <t>Aditya Mishra</t>
  </si>
  <si>
    <t>Vihaan Mishra</t>
  </si>
  <si>
    <t>Nikhil Yadav</t>
  </si>
  <si>
    <t>Aadhya Saxena</t>
  </si>
  <si>
    <t>Sneha Kumar</t>
  </si>
  <si>
    <t>Pari Gupta</t>
  </si>
  <si>
    <t>Naina Mishra</t>
  </si>
  <si>
    <t>Rahul Chauhan</t>
  </si>
  <si>
    <t>Aadhya Gupta</t>
  </si>
  <si>
    <t>Ananya Mehta</t>
  </si>
  <si>
    <t>Ira Khan</t>
  </si>
  <si>
    <t>Kabir Gupta</t>
  </si>
  <si>
    <t>Ananya Joshi</t>
  </si>
  <si>
    <t>Simran Mishra</t>
  </si>
  <si>
    <t>Sneha Khan</t>
  </si>
  <si>
    <t>Anika Saxena</t>
  </si>
  <si>
    <t>Pooja Nair</t>
  </si>
  <si>
    <t>Aditi Joshi</t>
  </si>
  <si>
    <t>Dev Khan</t>
  </si>
  <si>
    <t>Yash Gupta</t>
  </si>
  <si>
    <t>Nikhil Nair</t>
  </si>
  <si>
    <t>Myra Sharma</t>
  </si>
  <si>
    <t>Anika Joshi</t>
  </si>
  <si>
    <t>Naina Verma</t>
  </si>
  <si>
    <t>Krishna Khan</t>
  </si>
  <si>
    <t>Ayaan Joshi</t>
  </si>
  <si>
    <t>Saanvi Sharma</t>
  </si>
  <si>
    <t>Vivaan Kumar</t>
  </si>
  <si>
    <t>Krishna Yadav</t>
  </si>
  <si>
    <t>Kavya Joshi</t>
  </si>
  <si>
    <t>Saanvi Verma</t>
  </si>
  <si>
    <t>Varun Singh</t>
  </si>
  <si>
    <t>Vivaan Bose</t>
  </si>
  <si>
    <t>Vihaan Gupta</t>
  </si>
  <si>
    <t>Rohan Chauhan</t>
  </si>
  <si>
    <t>Rohan Pillai</t>
  </si>
  <si>
    <t>Aditi Malhotra</t>
  </si>
  <si>
    <t>Yash Yadav</t>
  </si>
  <si>
    <t>Rohan Nair</t>
  </si>
  <si>
    <t>Aarav Khan</t>
  </si>
  <si>
    <t>Diya Yadav</t>
  </si>
  <si>
    <t>Tara Malhotra</t>
  </si>
  <si>
    <t>Varun Malhotra</t>
  </si>
  <si>
    <t>Aditi Yadav</t>
  </si>
  <si>
    <t>Arjun Pillai</t>
  </si>
  <si>
    <t>Vihaan Yadav</t>
  </si>
  <si>
    <t>Naina Sharma</t>
  </si>
  <si>
    <t>Myra Gupta</t>
  </si>
  <si>
    <t>Kabir Pillai</t>
  </si>
  <si>
    <t>Aarav Nair</t>
  </si>
  <si>
    <t>Arjun Yadav</t>
  </si>
  <si>
    <t>Pooja Joshi</t>
  </si>
  <si>
    <t>Amit Reddy</t>
  </si>
  <si>
    <t>Aadhya Kumar</t>
  </si>
  <si>
    <t>Nikhil Sharma</t>
  </si>
  <si>
    <t>Tara Sharma</t>
  </si>
  <si>
    <t>Vihaan Nair</t>
  </si>
  <si>
    <t>Aditi Kumar</t>
  </si>
  <si>
    <t>Aditi Nair</t>
  </si>
  <si>
    <t>Karan Mishra</t>
  </si>
  <si>
    <t>Aadhya Patel</t>
  </si>
  <si>
    <t>Aditya Patel</t>
  </si>
  <si>
    <t>Ayaan Singh</t>
  </si>
  <si>
    <t>Saanvi Bose</t>
  </si>
  <si>
    <t>Anika Mehta</t>
  </si>
  <si>
    <t>Diya Kapoor</t>
  </si>
  <si>
    <t>Vihaan Patel</t>
  </si>
  <si>
    <t>Riya Singh</t>
  </si>
  <si>
    <t>Manav Pillai</t>
  </si>
  <si>
    <t>Arjun Patel</t>
  </si>
  <si>
    <t>Ishita Sharma</t>
  </si>
  <si>
    <t>Myra Mishra</t>
  </si>
  <si>
    <t>Simran Kumar</t>
  </si>
  <si>
    <t>Simran Mehta</t>
  </si>
  <si>
    <t>Ayaan Yadav</t>
  </si>
  <si>
    <t>Pari Chauhan</t>
  </si>
  <si>
    <t>Pari Reddy</t>
  </si>
  <si>
    <t>Saanvi Nair</t>
  </si>
  <si>
    <t>Amit Nair</t>
  </si>
  <si>
    <t>Vivaan Patel</t>
  </si>
  <si>
    <t>Meera Saxena</t>
  </si>
  <si>
    <t>Varun Kumar</t>
  </si>
  <si>
    <t>Vivaan Yadav</t>
  </si>
  <si>
    <t>Dev Bose</t>
  </si>
  <si>
    <t>Ishaan Reddy</t>
  </si>
  <si>
    <t>Priya Bose</t>
  </si>
  <si>
    <t>Reyansh Das</t>
  </si>
  <si>
    <t>Ayaan Reddy</t>
  </si>
  <si>
    <t>Aditya Malhotra</t>
  </si>
  <si>
    <t>Ananya Saxena</t>
  </si>
  <si>
    <t>Neha Nair</t>
  </si>
  <si>
    <t>Neha Verma</t>
  </si>
  <si>
    <t>Kabir Malhotra</t>
  </si>
  <si>
    <t>Pooja Pillai</t>
  </si>
  <si>
    <t>Ira Pillai</t>
  </si>
  <si>
    <t>Nikhil Malhotra</t>
  </si>
  <si>
    <t>Manav Malhotra</t>
  </si>
  <si>
    <t>Riya Das</t>
  </si>
  <si>
    <t>Aarav Das</t>
  </si>
  <si>
    <t>Ananya Reddy</t>
  </si>
  <si>
    <t>Ishita Gupta</t>
  </si>
  <si>
    <t>Diya Bose</t>
  </si>
  <si>
    <t>Amit Bose</t>
  </si>
  <si>
    <t>Ishaan Singh</t>
  </si>
  <si>
    <t>Simran Yadav</t>
  </si>
  <si>
    <t>Meera Yadav</t>
  </si>
  <si>
    <t>Sneha Joshi</t>
  </si>
  <si>
    <t>Kabir Reddy</t>
  </si>
  <si>
    <t>Neha Pillai</t>
  </si>
  <si>
    <t>Pooja Malhotra</t>
  </si>
  <si>
    <t>Arjun Verma</t>
  </si>
  <si>
    <t>Aditi Chauhan</t>
  </si>
  <si>
    <t>Vivaan Sharma</t>
  </si>
  <si>
    <t>Pooja Sharma</t>
  </si>
  <si>
    <t>Aditi Mehta</t>
  </si>
  <si>
    <t>Priya Yadav</t>
  </si>
  <si>
    <t>Pari Yadav</t>
  </si>
  <si>
    <t>Ishaan Saxena</t>
  </si>
  <si>
    <t>Ayaan Patel</t>
  </si>
  <si>
    <t>Ishaan Kapoor</t>
  </si>
  <si>
    <t>Nikhil Gupta</t>
  </si>
  <si>
    <t>Pooja Verma</t>
  </si>
  <si>
    <t>Aarav Reddy</t>
  </si>
  <si>
    <t>Vihaan Malhotra</t>
  </si>
  <si>
    <t>Dev Saxena</t>
  </si>
  <si>
    <t>Ishaan Bose</t>
  </si>
  <si>
    <t>Pari Das</t>
  </si>
  <si>
    <t>Naina Pillai</t>
  </si>
  <si>
    <t>Rohan Gupta</t>
  </si>
  <si>
    <t>Ananya Mishra</t>
  </si>
  <si>
    <t>Myra Das</t>
  </si>
  <si>
    <t>Riya Reddy</t>
  </si>
  <si>
    <t>Rahul Reddy</t>
  </si>
  <si>
    <t>DiagnosisName</t>
  </si>
  <si>
    <t>Diabetes</t>
  </si>
  <si>
    <t>Hypertension</t>
  </si>
  <si>
    <t>Asthma</t>
  </si>
  <si>
    <t>Pneumonia</t>
  </si>
  <si>
    <t>Heart Disease</t>
  </si>
  <si>
    <t>Kidney Disease</t>
  </si>
  <si>
    <t>Anemia</t>
  </si>
  <si>
    <t>Migraine</t>
  </si>
  <si>
    <t>Arthritis</t>
  </si>
  <si>
    <t>Gastroenteritis</t>
  </si>
  <si>
    <t>OutcomeName</t>
  </si>
  <si>
    <t>Recovered</t>
  </si>
  <si>
    <t>Improved</t>
  </si>
  <si>
    <t>Ongoing Treatment</t>
  </si>
  <si>
    <t>Referred</t>
  </si>
  <si>
    <t>Readmitted</t>
  </si>
  <si>
    <t>Deceased</t>
  </si>
  <si>
    <t>LabID</t>
  </si>
  <si>
    <t>TestName</t>
  </si>
  <si>
    <t>Result</t>
  </si>
  <si>
    <t>NormalRange</t>
  </si>
  <si>
    <t>Blood Glucose</t>
  </si>
  <si>
    <t>70-110</t>
  </si>
  <si>
    <t>Cholesterol</t>
  </si>
  <si>
    <t>125-200</t>
  </si>
  <si>
    <t>Sodium</t>
  </si>
  <si>
    <t>135-145</t>
  </si>
  <si>
    <t>CRP</t>
  </si>
  <si>
    <t>0-5</t>
  </si>
  <si>
    <t>Hemoglobin</t>
  </si>
  <si>
    <t>12-17</t>
  </si>
  <si>
    <t>Potassium</t>
  </si>
  <si>
    <t>3.5-5.1</t>
  </si>
  <si>
    <t>Platelet Count</t>
  </si>
  <si>
    <t>150-400</t>
  </si>
  <si>
    <t>WBC Count</t>
  </si>
  <si>
    <t>4-11</t>
  </si>
  <si>
    <t>Creatinine</t>
  </si>
  <si>
    <t>0.6-1.3</t>
  </si>
  <si>
    <t>HbA1c</t>
  </si>
  <si>
    <t>Below 5.7</t>
  </si>
  <si>
    <t>Diagnosisname</t>
  </si>
  <si>
    <t>outcomeName</t>
  </si>
  <si>
    <t>Length of stay</t>
  </si>
  <si>
    <t>Abnormal Blood Sugar Flag</t>
  </si>
  <si>
    <t>Risk score</t>
  </si>
  <si>
    <t>Sum of TreatmentCost</t>
  </si>
  <si>
    <t>Sum of Age</t>
  </si>
  <si>
    <t>Row Labels</t>
  </si>
  <si>
    <t>Grand Total</t>
  </si>
  <si>
    <t>(All)</t>
  </si>
  <si>
    <t>Sum of DiagnosisID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</si>
</sst>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 wrapText="1"/>
    </xf>
    <xf numFmtId="4" fontId="0" fillId="0" borderId="0" xfId="0" applyNumberFormat="1"/>
    <xf numFmtId="0" fontId="1" fillId="2" borderId="2" xfId="0" applyFont="1" applyFill="1" applyBorder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[Healthcare_SQL_Dataset.xlsx]charts of patients!PivotTable23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of patients'!$B$3</c:f>
              <c:strCache>
                <c:ptCount val="1"/>
                <c:pt idx="0">
                  <c:v>Sum of DiagnosisID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of patients'!$A$4:$A$12</c:f>
              <c:strCache>
                <c:ptCount val="8"/>
                <c:pt idx="0">
                  <c:v>Aditi Gupta</c:v>
                </c:pt>
                <c:pt idx="1">
                  <c:v>Dev Nair</c:v>
                </c:pt>
                <c:pt idx="2">
                  <c:v>Kabir Pillai</c:v>
                </c:pt>
                <c:pt idx="3">
                  <c:v>Krishna Patel</c:v>
                </c:pt>
                <c:pt idx="4">
                  <c:v>Naina Yadav</c:v>
                </c:pt>
                <c:pt idx="5">
                  <c:v>Saanvi Saxena</c:v>
                </c:pt>
                <c:pt idx="6">
                  <c:v>Sneha Sharma</c:v>
                </c:pt>
                <c:pt idx="7">
                  <c:v>Yash Patel</c:v>
                </c:pt>
              </c:strCache>
            </c:strRef>
          </c:cat>
          <c:val>
            <c:numRef>
              <c:f>'charts of patients'!$B$4:$B$12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3</c:v>
                </c:pt>
                <c:pt idx="4">
                  <c:v>9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1-405D-8333-9C7A6C50A043}"/>
            </c:ext>
          </c:extLst>
        </c:ser>
        <c:ser>
          <c:idx val="1"/>
          <c:order val="1"/>
          <c:tx>
            <c:strRef>
              <c:f>'charts of patients'!$C$3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of patients'!$A$4:$A$12</c:f>
              <c:strCache>
                <c:ptCount val="8"/>
                <c:pt idx="0">
                  <c:v>Aditi Gupta</c:v>
                </c:pt>
                <c:pt idx="1">
                  <c:v>Dev Nair</c:v>
                </c:pt>
                <c:pt idx="2">
                  <c:v>Kabir Pillai</c:v>
                </c:pt>
                <c:pt idx="3">
                  <c:v>Krishna Patel</c:v>
                </c:pt>
                <c:pt idx="4">
                  <c:v>Naina Yadav</c:v>
                </c:pt>
                <c:pt idx="5">
                  <c:v>Saanvi Saxena</c:v>
                </c:pt>
                <c:pt idx="6">
                  <c:v>Sneha Sharma</c:v>
                </c:pt>
                <c:pt idx="7">
                  <c:v>Yash Patel</c:v>
                </c:pt>
              </c:strCache>
            </c:strRef>
          </c:cat>
          <c:val>
            <c:numRef>
              <c:f>'charts of patients'!$C$4:$C$12</c:f>
              <c:numCache>
                <c:formatCode>General</c:formatCode>
                <c:ptCount val="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1-405D-8333-9C7A6C50A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834608"/>
        <c:axId val="1804190352"/>
      </c:barChart>
      <c:catAx>
        <c:axId val="180983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190352"/>
        <c:crosses val="autoZero"/>
        <c:auto val="1"/>
        <c:lblAlgn val="ctr"/>
        <c:lblOffset val="100"/>
        <c:noMultiLvlLbl val="0"/>
      </c:catAx>
      <c:valAx>
        <c:axId val="18041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83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13</xdr:row>
      <xdr:rowOff>160020</xdr:rowOff>
    </xdr:from>
    <xdr:to>
      <xdr:col>5</xdr:col>
      <xdr:colOff>571506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5D17C-DA73-8874-D04F-DA04F781D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Hari" refreshedDate="46308.465295833332" createdVersion="8" refreshedVersion="8" minRefreshableVersion="3" recordCount="1000" xr:uid="{FD46F02E-F85F-46AE-9EA2-AB400CF5192F}">
  <cacheSource type="worksheet">
    <worksheetSource ref="A1:N1001" sheet="Patients"/>
  </cacheSource>
  <cacheFields count="14">
    <cacheField name="PatientID" numFmtId="0">
      <sharedItems containsSemiMixedTypes="0" containsString="0" containsNumber="1" containsInteger="1" minValue="1" maxValue="1000"/>
    </cacheField>
    <cacheField name="Name" numFmtId="0">
      <sharedItems count="570">
        <s v="Ayaan Sharma"/>
        <s v="Manav Singh"/>
        <s v="Vivaan Pillai"/>
        <s v="Ananya Malhotra"/>
        <s v="Amit Patel"/>
        <s v="Ayaan Das"/>
        <s v="Pari Nair"/>
        <s v="Ananya Kapoor"/>
        <s v="Ananya Pillai"/>
        <s v="Riya Mishra"/>
        <s v="Ira Singh"/>
        <s v="Simran Gupta"/>
        <s v="Pooja Bose"/>
        <s v="Ayaan Gupta"/>
        <s v="Simran Saxena"/>
        <s v="Rahul Patel"/>
        <s v="Myra Saxena"/>
        <s v="Priya Kumar"/>
        <s v="Kavya Mishra"/>
        <s v="Manav Gupta"/>
        <s v="Saanvi Pillai"/>
        <s v="Ishita Chauhan"/>
        <s v="Aditi Mishra"/>
        <s v="Arjun Saxena"/>
        <s v="Yash Bose"/>
        <s v="Pooja Kapoor"/>
        <s v="Reyansh Verma"/>
        <s v="Pooja Kumar"/>
        <s v="Kabir Joshi"/>
        <s v="Simran Nair"/>
        <s v="Manav Verma"/>
        <s v="Ananya Verma"/>
        <s v="Sneha Patel"/>
        <s v="Aditi Bose"/>
        <s v="Sneha Gupta"/>
        <s v="Simran Khan"/>
        <s v="Neha Singh"/>
        <s v="Naina Saxena"/>
        <s v="Riya Gupta"/>
        <s v="Aarav Mehta"/>
        <s v="Aarav Patel"/>
        <s v="Pooja Gupta"/>
        <s v="Anika Patel"/>
        <s v="Ananya Kumar"/>
        <s v="Anika Reddy"/>
        <s v="Simran Kapoor"/>
        <s v="Arjun Reddy"/>
        <s v="Myra Kumar"/>
        <s v="Rohan Malhotra"/>
        <s v="Aarav Saxena"/>
        <s v="Naina Mehta"/>
        <s v="Meera Pillai"/>
        <s v="Diya Khan"/>
        <s v="Ananya Singh"/>
        <s v="Pari Joshi"/>
        <s v="Simran Malhotra"/>
        <s v="Varun Mehta"/>
        <s v="Nikhil Reddy"/>
        <s v="Meera Mishra"/>
        <s v="Ishaan Joshi"/>
        <s v="Karan Das"/>
        <s v="Amit Malhotra"/>
        <s v="Rahul Das"/>
        <s v="Vihaan Reddy"/>
        <s v="Ira Malhotra"/>
        <s v="Neha Mishra"/>
        <s v="Vivaan Khan"/>
        <s v="Simran Reddy"/>
        <s v="Ananya Nair"/>
        <s v="Aadhya Singh"/>
        <s v="Ayaan Bose"/>
        <s v="Rahul Sharma"/>
        <s v="Kabir Chauhan"/>
        <s v="Nikhil Mishra"/>
        <s v="Saanvi Kapoor"/>
        <s v="Ishita Joshi"/>
        <s v="Tara Chauhan"/>
        <s v="Aditi Kapoor"/>
        <s v="Ira Nair"/>
        <s v="Diya Joshi"/>
        <s v="Meera Patel"/>
        <s v="Krishna Reddy"/>
        <s v="Tara Patel"/>
        <s v="Myra Yadav"/>
        <s v="Ishaan Gupta"/>
        <s v="Varun Khan"/>
        <s v="Kavya Bose"/>
        <s v="Saanvi Reddy"/>
        <s v="Karan Chauhan"/>
        <s v="Simran Singh"/>
        <s v="Aadhya Malhotra"/>
        <s v="Kavya Khan"/>
        <s v="Ira Saxena"/>
        <s v="Rohan Khan"/>
        <s v="Aditi Sharma"/>
        <s v="Reyansh Kumar"/>
        <s v="Riya Verma"/>
        <s v="Dev Sharma"/>
        <s v="Pari Patel"/>
        <s v="Varun Saxena"/>
        <s v="Dev Reddy"/>
        <s v="Ishaan Chauhan"/>
        <s v="Rohan Joshi"/>
        <s v="Rohan Yadav"/>
        <s v="Tara Verma"/>
        <s v="Aarav Gupta"/>
        <s v="Sneha Singh"/>
        <s v="Sai Malhotra"/>
        <s v="Rohan Verma"/>
        <s v="Diya Kumar"/>
        <s v="Aditi Gupta"/>
        <s v="Pooja Reddy"/>
        <s v="Yash Kapoor"/>
        <s v="Yash Verma"/>
        <s v="Kavya Chauhan"/>
        <s v="Kabir Nair"/>
        <s v="Sneha Pillai"/>
        <s v="Myra Bose"/>
        <s v="Riya Mehta"/>
        <s v="Karan Patel"/>
        <s v="Karan Bose"/>
        <s v="Ira Verma"/>
        <s v="Reyansh Kapoor"/>
        <s v="Krishna Bose"/>
        <s v="Rahul Gupta"/>
        <s v="Diya Reddy"/>
        <s v="Priya Saxena"/>
        <s v="Ishita Nair"/>
        <s v="Aditi Pillai"/>
        <s v="Pooja Patel"/>
        <s v="Pari Malhotra"/>
        <s v="Myra Kapoor"/>
        <s v="Priya Gupta"/>
        <s v="Neha Malhotra"/>
        <s v="Saanvi Gupta"/>
        <s v="Ira Bose"/>
        <s v="Riya Sharma"/>
        <s v="Rahul Kapoor"/>
        <s v="Vivaan Singh"/>
        <s v="Rohan Bose"/>
        <s v="Sai Reddy"/>
        <s v="Dev Patel"/>
        <s v="Kavya Verma"/>
        <s v="Amit Pillai"/>
        <s v="Sneha Verma"/>
        <s v="Sneha Malhotra"/>
        <s v="Naina Chauhan"/>
        <s v="Sneha Saxena"/>
        <s v="Ishaan Mishra"/>
        <s v="Arjun Kumar"/>
        <s v="Yash Khan"/>
        <s v="Priya Nair"/>
        <s v="Aditya Chauhan"/>
        <s v="Nikhil Patel"/>
        <s v="Nikhil Saxena"/>
        <s v="Rahul Khan"/>
        <s v="Myra Khan"/>
        <s v="Krishna Saxena"/>
        <s v="Saanvi Mehta"/>
        <s v="Reyansh Saxena"/>
        <s v="Nikhil Khan"/>
        <s v="Karan Kumar"/>
        <s v="Ishaan Malhotra"/>
        <s v="Dev Kapoor"/>
        <s v="Anika Gupta"/>
        <s v="Sai Saxena"/>
        <s v="Vivaan Das"/>
        <s v="Arjun Kapoor"/>
        <s v="Manav Mehta"/>
        <s v="Arjun Chauhan"/>
        <s v="Kavya Saxena"/>
        <s v="Vihaan Mehta"/>
        <s v="Amit Mehta"/>
        <s v="Sai Mehta"/>
        <s v="Nikhil Kapoor"/>
        <s v="Vihaan Singh"/>
        <s v="Vivaan Gupta"/>
        <s v="Priya Das"/>
        <s v="Nikhil Singh"/>
        <s v="Myra Chauhan"/>
        <s v="Diya Chauhan"/>
        <s v="Kavya Kumar"/>
        <s v="Krishna Mishra"/>
        <s v="Ishita Malhotra"/>
        <s v="Ishita Kapoor"/>
        <s v="Ayaan Saxena"/>
        <s v="Ananya Khan"/>
        <s v="Yash Reddy"/>
        <s v="Manav Nair"/>
        <s v="Varun Gupta"/>
        <s v="Reyansh Mehta"/>
        <s v="Meera Das"/>
        <s v="Sai Das"/>
        <s v="Tara Khan"/>
        <s v="Riya Nair"/>
        <s v="Naina Khan"/>
        <s v="Kabir Saxena"/>
        <s v="Ananya Das"/>
        <s v="Yash Nair"/>
        <s v="Kavya Sharma"/>
        <s v="Pari Verma"/>
        <s v="Amit Gupta"/>
        <s v="Nikhil Mehta"/>
        <s v="Kabir Verma"/>
        <s v="Ishita Das"/>
        <s v="Kavya Nair"/>
        <s v="Meera Verma"/>
        <s v="Aadhya Pillai"/>
        <s v="Vihaan Saxena"/>
        <s v="Krishna Sharma"/>
        <s v="Aadhya Nair"/>
        <s v="Aditya Kumar"/>
        <s v="Simran Pillai"/>
        <s v="Rahul Kumar"/>
        <s v="Meera Bose"/>
        <s v="Pooja Saxena"/>
        <s v="Rohan Mishra"/>
        <s v="Ayaan Chauhan"/>
        <s v="Kavya Patel"/>
        <s v="Saanvi Mishra"/>
        <s v="Yash Patel"/>
        <s v="Vihaan Chauhan"/>
        <s v="Krishna Malhotra"/>
        <s v="Pari Sharma"/>
        <s v="Pari Mishra"/>
        <s v="Ayaan Verma"/>
        <s v="Saanvi Singh"/>
        <s v="Aditya Das"/>
        <s v="Dev Nair"/>
        <s v="Kavya Gupta"/>
        <s v="Diya Malhotra"/>
        <s v="Ishita Mehta"/>
        <s v="Kabir Mishra"/>
        <s v="Karan Pillai"/>
        <s v="Arjun Joshi"/>
        <s v="Aarav Joshi"/>
        <s v="Anika Pillai"/>
        <s v="Myra Pillai"/>
        <s v="Anika Yadav"/>
        <s v="Naina Yadav"/>
        <s v="Ishita Reddy"/>
        <s v="Diya Patel"/>
        <s v="Ira Das"/>
        <s v="Kavya Singh"/>
        <s v="Aarav Kumar"/>
        <s v="Pooja Mishra"/>
        <s v="Rohan Sharma"/>
        <s v="Arjun Singh"/>
        <s v="Rohan Kapoor"/>
        <s v="Krishna Singh"/>
        <s v="Sai Kapoor"/>
        <s v="Meera Malhotra"/>
        <s v="Ananya Gupta"/>
        <s v="Karan Nair"/>
        <s v="Naina Das"/>
        <s v="Sneha Mehta"/>
        <s v="Sneha Kapoor"/>
        <s v="Simran Joshi"/>
        <s v="Tara Gupta"/>
        <s v="Amit Singh"/>
        <s v="Anika Kapoor"/>
        <s v="Rahul Malhotra"/>
        <s v="Dev Gupta"/>
        <s v="Kabir Patel"/>
        <s v="Vivaan Mehta"/>
        <s v="Rahul Pillai"/>
        <s v="Pooja Das"/>
        <s v="Diya Nair"/>
        <s v="Tara Pillai"/>
        <s v="Riya Saxena"/>
        <s v="Tara Kumar"/>
        <s v="Ananya Chauhan"/>
        <s v="Manav Kapoor"/>
        <s v="Anika Nair"/>
        <s v="Ayaan Mishra"/>
        <s v="Saanvi Joshi"/>
        <s v="Meera Nair"/>
        <s v="Karan Verma"/>
        <s v="Sneha Yadav"/>
        <s v="Sai Chauhan"/>
        <s v="Saanvi Yadav"/>
        <s v="Tara Mehta"/>
        <s v="Ayaan Kumar"/>
        <s v="Reyansh Patel"/>
        <s v="Krishna Gupta"/>
        <s v="Aditi Das"/>
        <s v="Dev Joshi"/>
        <s v="Priya Mehta"/>
        <s v="Kabir Singh"/>
        <s v="Naina Gupta"/>
        <s v="Ishaan Pillai"/>
        <s v="Arjun Nair"/>
        <s v="Ishaan Kumar"/>
        <s v="Ishita Verma"/>
        <s v="Riya Chauhan"/>
        <s v="Anika Chauhan"/>
        <s v="Ishaan Sharma"/>
        <s v="Karan Kapoor"/>
        <s v="Arjun Bose"/>
        <s v="Rohan Das"/>
        <s v="Nikhil Pillai"/>
        <s v="Aarav Verma"/>
        <s v="Sai Bose"/>
        <s v="Ira Chauhan"/>
        <s v="Ishita Mishra"/>
        <s v="Tara Kapoor"/>
        <s v="Vivaan Reddy"/>
        <s v="Ananya Patel"/>
        <s v="Pari Bose"/>
        <s v="Neha Bose"/>
        <s v="Vivaan Saxena"/>
        <s v="Diya Mehta"/>
        <s v="Naina Kapoor"/>
        <s v="Aarav Bose"/>
        <s v="Rohan Kumar"/>
        <s v="Yash Mishra"/>
        <s v="Myra Patel"/>
        <s v="Manav Reddy"/>
        <s v="Varun Yadav"/>
        <s v="Manav Das"/>
        <s v="Aditya Saxena"/>
        <s v="Ishaan Khan"/>
        <s v="Rahul Mishra"/>
        <s v="Kavya Reddy"/>
        <s v="Rohan Reddy"/>
        <s v="Karan Yadav"/>
        <s v="Dev Das"/>
        <s v="Anika Verma"/>
        <s v="Kabir Bose"/>
        <s v="Sai Nair"/>
        <s v="Aarav Yadav"/>
        <s v="Ishita Khan"/>
        <s v="Riya Khan"/>
        <s v="Ira Mehta"/>
        <s v="Vihaan Khan"/>
        <s v="Myra Malhotra"/>
        <s v="Riya Kumar"/>
        <s v="Aditi Khan"/>
        <s v="Kavya Malhotra"/>
        <s v="Vihaan Sharma"/>
        <s v="Tara Singh"/>
        <s v="Aditya Pillai"/>
        <s v="Aarav Mishra"/>
        <s v="Sneha Sharma"/>
        <s v="Ayaan Kapoor"/>
        <s v="Varun Verma"/>
        <s v="Ayaan Pillai"/>
        <s v="Aadhya Reddy"/>
        <s v="Tara Joshi"/>
        <s v="Reyansh Reddy"/>
        <s v="Diya Verma"/>
        <s v="Aditya Sharma"/>
        <s v="Amit Yadav"/>
        <s v="Neha Khan"/>
        <s v="Sneha Mishra"/>
        <s v="Aarav Singh"/>
        <s v="Priya Chauhan"/>
        <s v="Aadhya Mehta"/>
        <s v="Nikhil Chauhan"/>
        <s v="Meera Kapoor"/>
        <s v="Vihaan Joshi"/>
        <s v="Meera Joshi"/>
        <s v="Vihaan Das"/>
        <s v="Amit Verma"/>
        <s v="Naina Nair"/>
        <s v="Diya Saxena"/>
        <s v="Meera Sharma"/>
        <s v="Pooja Singh"/>
        <s v="Vihaan Kumar"/>
        <s v="Nikhil Das"/>
        <s v="Naina Singh"/>
        <s v="Ishaan Nair"/>
        <s v="Neha Joshi"/>
        <s v="Ira Gupta"/>
        <s v="Meera Gupta"/>
        <s v="Naina Kumar"/>
        <s v="Ishaan Yadav"/>
        <s v="Aditya Verma"/>
        <s v="Tara Yadav"/>
        <s v="Ira Joshi"/>
        <s v="Karan Sharma"/>
        <s v="Aditya Bose"/>
        <s v="Varun Bose"/>
        <s v="Kabir Kumar"/>
        <s v="Kabir Das"/>
        <s v="Yash Saxena"/>
        <s v="Priya Patel"/>
        <s v="Priya Khan"/>
        <s v="Priya Pillai"/>
        <s v="Krishna Patel"/>
        <s v="Pari Khan"/>
        <s v="Reyansh Pillai"/>
        <s v="Manav Bose"/>
        <s v="Simran Chauhan"/>
        <s v="Aadhya Mishra"/>
        <s v="Aarav Pillai"/>
        <s v="Aditi Patel"/>
        <s v="Kabir Khan"/>
        <s v="Priya Kapoor"/>
        <s v="Ishita Pillai"/>
        <s v="Reyansh Chauhan"/>
        <s v="Neha Sharma"/>
        <s v="Manav Kumar"/>
        <s v="Meera Reddy"/>
        <s v="Aditi Saxena"/>
        <s v="Myra Singh"/>
        <s v="Ishita Kumar"/>
        <s v="Yash Malhotra"/>
        <s v="Kavya Kapoor"/>
        <s v="Krishna Kapoor"/>
        <s v="Amit Mishra"/>
        <s v="Naina Reddy"/>
        <s v="Ishaan Verma"/>
        <s v="Aadhya Chauhan"/>
        <s v="Kavya Mehta"/>
        <s v="Aadhya Kapoor"/>
        <s v="Vihaan Verma"/>
        <s v="Riya Kapoor"/>
        <s v="Aditya Yadav"/>
        <s v="Diya Pillai"/>
        <s v="Rohan Singh"/>
        <s v="Krishna Kumar"/>
        <s v="Priya Verma"/>
        <s v="Saanvi Saxena"/>
        <s v="Anika Bose"/>
        <s v="Dev Mehta"/>
        <s v="Manav Joshi"/>
        <s v="Aditya Nair"/>
        <s v="Ishaan Patel"/>
        <s v="Anika Mishra"/>
        <s v="Arjun Mehta"/>
        <s v="Reyansh Khan"/>
        <s v="Varun Sharma"/>
        <s v="Ishaan Mehta"/>
        <s v="Rahul Singh"/>
        <s v="Sai Patel"/>
        <s v="Vivaan Nair"/>
        <s v="Aditya Mishra"/>
        <s v="Vihaan Mishra"/>
        <s v="Nikhil Yadav"/>
        <s v="Aadhya Saxena"/>
        <s v="Sneha Kumar"/>
        <s v="Pari Gupta"/>
        <s v="Naina Mishra"/>
        <s v="Rahul Chauhan"/>
        <s v="Aadhya Gupta"/>
        <s v="Ananya Mehta"/>
        <s v="Ira Khan"/>
        <s v="Kabir Gupta"/>
        <s v="Ananya Joshi"/>
        <s v="Simran Mishra"/>
        <s v="Sneha Khan"/>
        <s v="Anika Saxena"/>
        <s v="Pooja Nair"/>
        <s v="Aditi Joshi"/>
        <s v="Dev Khan"/>
        <s v="Yash Gupta"/>
        <s v="Nikhil Nair"/>
        <s v="Myra Sharma"/>
        <s v="Anika Joshi"/>
        <s v="Naina Verma"/>
        <s v="Krishna Khan"/>
        <s v="Ayaan Joshi"/>
        <s v="Saanvi Sharma"/>
        <s v="Vivaan Kumar"/>
        <s v="Krishna Yadav"/>
        <s v="Kavya Joshi"/>
        <s v="Saanvi Verma"/>
        <s v="Varun Singh"/>
        <s v="Vivaan Bose"/>
        <s v="Vihaan Gupta"/>
        <s v="Rohan Chauhan"/>
        <s v="Rohan Pillai"/>
        <s v="Aditi Malhotra"/>
        <s v="Yash Yadav"/>
        <s v="Rohan Nair"/>
        <s v="Aarav Khan"/>
        <s v="Diya Yadav"/>
        <s v="Tara Malhotra"/>
        <s v="Varun Malhotra"/>
        <s v="Aditi Yadav"/>
        <s v="Arjun Pillai"/>
        <s v="Vihaan Yadav"/>
        <s v="Naina Sharma"/>
        <s v="Myra Gupta"/>
        <s v="Kabir Pillai"/>
        <s v="Aarav Nair"/>
        <s v="Arjun Yadav"/>
        <s v="Pooja Joshi"/>
        <s v="Amit Reddy"/>
        <s v="Aadhya Kumar"/>
        <s v="Nikhil Sharma"/>
        <s v="Tara Sharma"/>
        <s v="Vihaan Nair"/>
        <s v="Aditi Kumar"/>
        <s v="Aditi Nair"/>
        <s v="Karan Mishra"/>
        <s v="Aadhya Patel"/>
        <s v="Aditya Patel"/>
        <s v="Ayaan Singh"/>
        <s v="Saanvi Bose"/>
        <s v="Anika Mehta"/>
        <s v="Diya Kapoor"/>
        <s v="Vihaan Patel"/>
        <s v="Riya Singh"/>
        <s v="Manav Pillai"/>
        <s v="Arjun Patel"/>
        <s v="Ishita Sharma"/>
        <s v="Myra Mishra"/>
        <s v="Simran Kumar"/>
        <s v="Simran Mehta"/>
        <s v="Ayaan Yadav"/>
        <s v="Pari Chauhan"/>
        <s v="Pari Reddy"/>
        <s v="Saanvi Nair"/>
        <s v="Amit Nair"/>
        <s v="Vivaan Patel"/>
        <s v="Meera Saxena"/>
        <s v="Varun Kumar"/>
        <s v="Vivaan Yadav"/>
        <s v="Dev Bose"/>
        <s v="Ishaan Reddy"/>
        <s v="Priya Bose"/>
        <s v="Reyansh Das"/>
        <s v="Ayaan Reddy"/>
        <s v="Aditya Malhotra"/>
        <s v="Ananya Saxena"/>
        <s v="Neha Nair"/>
        <s v="Neha Verma"/>
        <s v="Kabir Malhotra"/>
        <s v="Pooja Pillai"/>
        <s v="Ira Pillai"/>
        <s v="Nikhil Malhotra"/>
        <s v="Manav Malhotra"/>
        <s v="Riya Das"/>
        <s v="Aarav Das"/>
        <s v="Ananya Reddy"/>
        <s v="Ishita Gupta"/>
        <s v="Diya Bose"/>
        <s v="Amit Bose"/>
        <s v="Ishaan Singh"/>
        <s v="Simran Yadav"/>
        <s v="Meera Yadav"/>
        <s v="Sneha Joshi"/>
        <s v="Kabir Reddy"/>
        <s v="Neha Pillai"/>
        <s v="Pooja Malhotra"/>
        <s v="Arjun Verma"/>
        <s v="Aditi Chauhan"/>
        <s v="Vivaan Sharma"/>
        <s v="Pooja Sharma"/>
        <s v="Aditi Mehta"/>
        <s v="Priya Yadav"/>
        <s v="Pari Yadav"/>
        <s v="Ishaan Saxena"/>
        <s v="Ayaan Patel"/>
        <s v="Ishaan Kapoor"/>
        <s v="Nikhil Gupta"/>
        <s v="Pooja Verma"/>
        <s v="Aarav Reddy"/>
        <s v="Vihaan Malhotra"/>
        <s v="Dev Saxena"/>
        <s v="Ishaan Bose"/>
        <s v="Pari Das"/>
        <s v="Naina Pillai"/>
        <s v="Rohan Gupta"/>
        <s v="Ananya Mishra"/>
        <s v="Myra Das"/>
        <s v="Riya Reddy"/>
        <s v="Rahul Reddy"/>
      </sharedItems>
    </cacheField>
    <cacheField name="Age" numFmtId="0">
      <sharedItems containsSemiMixedTypes="0" containsString="0" containsNumber="1" containsInteger="1" minValue="1" maxValue="95" count="95">
        <n v="95"/>
        <n v="76"/>
        <n v="26"/>
        <n v="44"/>
        <n v="46"/>
        <n v="11"/>
        <n v="94"/>
        <n v="88"/>
        <n v="28"/>
        <n v="34"/>
        <n v="52"/>
        <n v="81"/>
        <n v="33"/>
        <n v="38"/>
        <n v="23"/>
        <n v="70"/>
        <n v="8"/>
        <n v="17"/>
        <n v="16"/>
        <n v="1"/>
        <n v="31"/>
        <n v="61"/>
        <n v="55"/>
        <n v="36"/>
        <n v="84"/>
        <n v="41"/>
        <n v="66"/>
        <n v="73"/>
        <n v="67"/>
        <n v="86"/>
        <n v="32"/>
        <n v="2"/>
        <n v="35"/>
        <n v="63"/>
        <n v="10"/>
        <n v="6"/>
        <n v="53"/>
        <n v="21"/>
        <n v="40"/>
        <n v="45"/>
        <n v="75"/>
        <n v="78"/>
        <n v="69"/>
        <n v="85"/>
        <n v="37"/>
        <n v="19"/>
        <n v="57"/>
        <n v="9"/>
        <n v="93"/>
        <n v="49"/>
        <n v="20"/>
        <n v="48"/>
        <n v="14"/>
        <n v="54"/>
        <n v="56"/>
        <n v="60"/>
        <n v="3"/>
        <n v="25"/>
        <n v="15"/>
        <n v="29"/>
        <n v="80"/>
        <n v="89"/>
        <n v="87"/>
        <n v="24"/>
        <n v="43"/>
        <n v="59"/>
        <n v="7"/>
        <n v="4"/>
        <n v="62"/>
        <n v="18"/>
        <n v="90"/>
        <n v="91"/>
        <n v="13"/>
        <n v="30"/>
        <n v="74"/>
        <n v="5"/>
        <n v="47"/>
        <n v="79"/>
        <n v="50"/>
        <n v="27"/>
        <n v="77"/>
        <n v="92"/>
        <n v="72"/>
        <n v="68"/>
        <n v="82"/>
        <n v="42"/>
        <n v="12"/>
        <n v="83"/>
        <n v="51"/>
        <n v="58"/>
        <n v="64"/>
        <n v="65"/>
        <n v="71"/>
        <n v="22"/>
        <n v="39"/>
      </sharedItems>
    </cacheField>
    <cacheField name="gender" numFmtId="0">
      <sharedItems count="2">
        <s v="F"/>
        <s v="M"/>
      </sharedItems>
    </cacheField>
    <cacheField name="DiagnosisID" numFmtId="0">
      <sharedItems containsSemiMixedTypes="0" containsString="0" containsNumber="1" containsInteger="1" minValue="1" maxValue="10"/>
    </cacheField>
    <cacheField name="AdmissionDate" numFmtId="164">
      <sharedItems containsSemiMixedTypes="0" containsNonDate="0" containsDate="1" containsString="0" minDate="2022-01-04T00:00:00" maxDate="2026-09-28T00:00:00"/>
    </cacheField>
    <cacheField name="DIschargeDate" numFmtId="164">
      <sharedItems containsSemiMixedTypes="0" containsNonDate="0" containsDate="1" containsString="0" minDate="2022-01-07T00:00:00" maxDate="2026-10-12T00:00:00"/>
    </cacheField>
    <cacheField name="OutcomeID" numFmtId="0">
      <sharedItems containsSemiMixedTypes="0" containsString="0" containsNumber="1" containsInteger="1" minValue="1" maxValue="6"/>
    </cacheField>
    <cacheField name="TreatmentCost" numFmtId="4">
      <sharedItems containsSemiMixedTypes="0" containsString="0" containsNumber="1" minValue="2534.7199999999998" maxValue="179983.64"/>
    </cacheField>
    <cacheField name="Diagnosisname" numFmtId="0">
      <sharedItems/>
    </cacheField>
    <cacheField name="outcomeName" numFmtId="0">
      <sharedItems/>
    </cacheField>
    <cacheField name="Length of stay" numFmtId="0">
      <sharedItems containsSemiMixedTypes="0" containsString="0" containsNumber="1" containsInteger="1" minValue="0" maxValue="30"/>
    </cacheField>
    <cacheField name="Abnormal Blood Sugar Flag" numFmtId="0">
      <sharedItems/>
    </cacheField>
    <cacheField name="Risk sco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Hari" refreshedDate="46308.484089351849" createdVersion="8" refreshedVersion="8" minRefreshableVersion="3" recordCount="1000" xr:uid="{529D01B1-5092-4EC2-96D3-A36245CDE752}">
  <cacheSource type="worksheet">
    <worksheetSource ref="A1:J1001" sheet="Patients"/>
  </cacheSource>
  <cacheFields count="10">
    <cacheField name="PatientID" numFmtId="0">
      <sharedItems containsSemiMixedTypes="0" containsString="0" containsNumber="1" containsInteger="1" minValue="1" maxValue="1000"/>
    </cacheField>
    <cacheField name="Name" numFmtId="0">
      <sharedItems count="570">
        <s v="Ayaan Sharma"/>
        <s v="Manav Singh"/>
        <s v="Vivaan Pillai"/>
        <s v="Ananya Malhotra"/>
        <s v="Amit Patel"/>
        <s v="Ayaan Das"/>
        <s v="Pari Nair"/>
        <s v="Ananya Kapoor"/>
        <s v="Ananya Pillai"/>
        <s v="Riya Mishra"/>
        <s v="Ira Singh"/>
        <s v="Simran Gupta"/>
        <s v="Pooja Bose"/>
        <s v="Ayaan Gupta"/>
        <s v="Simran Saxena"/>
        <s v="Rahul Patel"/>
        <s v="Myra Saxena"/>
        <s v="Priya Kumar"/>
        <s v="Kavya Mishra"/>
        <s v="Manav Gupta"/>
        <s v="Saanvi Pillai"/>
        <s v="Ishita Chauhan"/>
        <s v="Aditi Mishra"/>
        <s v="Arjun Saxena"/>
        <s v="Yash Bose"/>
        <s v="Pooja Kapoor"/>
        <s v="Reyansh Verma"/>
        <s v="Pooja Kumar"/>
        <s v="Kabir Joshi"/>
        <s v="Simran Nair"/>
        <s v="Manav Verma"/>
        <s v="Ananya Verma"/>
        <s v="Sneha Patel"/>
        <s v="Aditi Bose"/>
        <s v="Sneha Gupta"/>
        <s v="Simran Khan"/>
        <s v="Neha Singh"/>
        <s v="Naina Saxena"/>
        <s v="Riya Gupta"/>
        <s v="Aarav Mehta"/>
        <s v="Aarav Patel"/>
        <s v="Pooja Gupta"/>
        <s v="Anika Patel"/>
        <s v="Ananya Kumar"/>
        <s v="Anika Reddy"/>
        <s v="Simran Kapoor"/>
        <s v="Arjun Reddy"/>
        <s v="Myra Kumar"/>
        <s v="Rohan Malhotra"/>
        <s v="Aarav Saxena"/>
        <s v="Naina Mehta"/>
        <s v="Meera Pillai"/>
        <s v="Diya Khan"/>
        <s v="Ananya Singh"/>
        <s v="Pari Joshi"/>
        <s v="Simran Malhotra"/>
        <s v="Varun Mehta"/>
        <s v="Nikhil Reddy"/>
        <s v="Meera Mishra"/>
        <s v="Ishaan Joshi"/>
        <s v="Karan Das"/>
        <s v="Amit Malhotra"/>
        <s v="Rahul Das"/>
        <s v="Vihaan Reddy"/>
        <s v="Ira Malhotra"/>
        <s v="Neha Mishra"/>
        <s v="Vivaan Khan"/>
        <s v="Simran Reddy"/>
        <s v="Ananya Nair"/>
        <s v="Aadhya Singh"/>
        <s v="Ayaan Bose"/>
        <s v="Rahul Sharma"/>
        <s v="Kabir Chauhan"/>
        <s v="Nikhil Mishra"/>
        <s v="Saanvi Kapoor"/>
        <s v="Ishita Joshi"/>
        <s v="Tara Chauhan"/>
        <s v="Aditi Kapoor"/>
        <s v="Ira Nair"/>
        <s v="Diya Joshi"/>
        <s v="Meera Patel"/>
        <s v="Krishna Reddy"/>
        <s v="Tara Patel"/>
        <s v="Myra Yadav"/>
        <s v="Ishaan Gupta"/>
        <s v="Varun Khan"/>
        <s v="Kavya Bose"/>
        <s v="Saanvi Reddy"/>
        <s v="Karan Chauhan"/>
        <s v="Simran Singh"/>
        <s v="Aadhya Malhotra"/>
        <s v="Kavya Khan"/>
        <s v="Ira Saxena"/>
        <s v="Rohan Khan"/>
        <s v="Aditi Sharma"/>
        <s v="Reyansh Kumar"/>
        <s v="Riya Verma"/>
        <s v="Dev Sharma"/>
        <s v="Pari Patel"/>
        <s v="Varun Saxena"/>
        <s v="Dev Reddy"/>
        <s v="Ishaan Chauhan"/>
        <s v="Rohan Joshi"/>
        <s v="Rohan Yadav"/>
        <s v="Tara Verma"/>
        <s v="Aarav Gupta"/>
        <s v="Sneha Singh"/>
        <s v="Sai Malhotra"/>
        <s v="Rohan Verma"/>
        <s v="Diya Kumar"/>
        <s v="Aditi Gupta"/>
        <s v="Pooja Reddy"/>
        <s v="Yash Kapoor"/>
        <s v="Yash Verma"/>
        <s v="Kavya Chauhan"/>
        <s v="Kabir Nair"/>
        <s v="Sneha Pillai"/>
        <s v="Myra Bose"/>
        <s v="Riya Mehta"/>
        <s v="Karan Patel"/>
        <s v="Karan Bose"/>
        <s v="Ira Verma"/>
        <s v="Reyansh Kapoor"/>
        <s v="Krishna Bose"/>
        <s v="Rahul Gupta"/>
        <s v="Diya Reddy"/>
        <s v="Priya Saxena"/>
        <s v="Ishita Nair"/>
        <s v="Aditi Pillai"/>
        <s v="Pooja Patel"/>
        <s v="Pari Malhotra"/>
        <s v="Myra Kapoor"/>
        <s v="Priya Gupta"/>
        <s v="Neha Malhotra"/>
        <s v="Saanvi Gupta"/>
        <s v="Ira Bose"/>
        <s v="Riya Sharma"/>
        <s v="Rahul Kapoor"/>
        <s v="Vivaan Singh"/>
        <s v="Rohan Bose"/>
        <s v="Sai Reddy"/>
        <s v="Dev Patel"/>
        <s v="Kavya Verma"/>
        <s v="Amit Pillai"/>
        <s v="Sneha Verma"/>
        <s v="Sneha Malhotra"/>
        <s v="Naina Chauhan"/>
        <s v="Sneha Saxena"/>
        <s v="Ishaan Mishra"/>
        <s v="Arjun Kumar"/>
        <s v="Yash Khan"/>
        <s v="Priya Nair"/>
        <s v="Aditya Chauhan"/>
        <s v="Nikhil Patel"/>
        <s v="Nikhil Saxena"/>
        <s v="Rahul Khan"/>
        <s v="Myra Khan"/>
        <s v="Krishna Saxena"/>
        <s v="Saanvi Mehta"/>
        <s v="Reyansh Saxena"/>
        <s v="Nikhil Khan"/>
        <s v="Karan Kumar"/>
        <s v="Ishaan Malhotra"/>
        <s v="Dev Kapoor"/>
        <s v="Anika Gupta"/>
        <s v="Sai Saxena"/>
        <s v="Vivaan Das"/>
        <s v="Arjun Kapoor"/>
        <s v="Manav Mehta"/>
        <s v="Arjun Chauhan"/>
        <s v="Kavya Saxena"/>
        <s v="Vihaan Mehta"/>
        <s v="Amit Mehta"/>
        <s v="Sai Mehta"/>
        <s v="Nikhil Kapoor"/>
        <s v="Vihaan Singh"/>
        <s v="Vivaan Gupta"/>
        <s v="Priya Das"/>
        <s v="Nikhil Singh"/>
        <s v="Myra Chauhan"/>
        <s v="Diya Chauhan"/>
        <s v="Kavya Kumar"/>
        <s v="Krishna Mishra"/>
        <s v="Ishita Malhotra"/>
        <s v="Ishita Kapoor"/>
        <s v="Ayaan Saxena"/>
        <s v="Ananya Khan"/>
        <s v="Yash Reddy"/>
        <s v="Manav Nair"/>
        <s v="Varun Gupta"/>
        <s v="Reyansh Mehta"/>
        <s v="Meera Das"/>
        <s v="Sai Das"/>
        <s v="Tara Khan"/>
        <s v="Riya Nair"/>
        <s v="Naina Khan"/>
        <s v="Kabir Saxena"/>
        <s v="Ananya Das"/>
        <s v="Yash Nair"/>
        <s v="Kavya Sharma"/>
        <s v="Pari Verma"/>
        <s v="Amit Gupta"/>
        <s v="Nikhil Mehta"/>
        <s v="Kabir Verma"/>
        <s v="Ishita Das"/>
        <s v="Kavya Nair"/>
        <s v="Meera Verma"/>
        <s v="Aadhya Pillai"/>
        <s v="Vihaan Saxena"/>
        <s v="Krishna Sharma"/>
        <s v="Aadhya Nair"/>
        <s v="Aditya Kumar"/>
        <s v="Simran Pillai"/>
        <s v="Rahul Kumar"/>
        <s v="Meera Bose"/>
        <s v="Pooja Saxena"/>
        <s v="Rohan Mishra"/>
        <s v="Ayaan Chauhan"/>
        <s v="Kavya Patel"/>
        <s v="Saanvi Mishra"/>
        <s v="Yash Patel"/>
        <s v="Vihaan Chauhan"/>
        <s v="Krishna Malhotra"/>
        <s v="Pari Sharma"/>
        <s v="Pari Mishra"/>
        <s v="Ayaan Verma"/>
        <s v="Saanvi Singh"/>
        <s v="Aditya Das"/>
        <s v="Dev Nair"/>
        <s v="Kavya Gupta"/>
        <s v="Diya Malhotra"/>
        <s v="Ishita Mehta"/>
        <s v="Kabir Mishra"/>
        <s v="Karan Pillai"/>
        <s v="Arjun Joshi"/>
        <s v="Aarav Joshi"/>
        <s v="Anika Pillai"/>
        <s v="Myra Pillai"/>
        <s v="Anika Yadav"/>
        <s v="Naina Yadav"/>
        <s v="Ishita Reddy"/>
        <s v="Diya Patel"/>
        <s v="Ira Das"/>
        <s v="Kavya Singh"/>
        <s v="Aarav Kumar"/>
        <s v="Pooja Mishra"/>
        <s v="Rohan Sharma"/>
        <s v="Arjun Singh"/>
        <s v="Rohan Kapoor"/>
        <s v="Krishna Singh"/>
        <s v="Sai Kapoor"/>
        <s v="Meera Malhotra"/>
        <s v="Ananya Gupta"/>
        <s v="Karan Nair"/>
        <s v="Naina Das"/>
        <s v="Sneha Mehta"/>
        <s v="Sneha Kapoor"/>
        <s v="Simran Joshi"/>
        <s v="Tara Gupta"/>
        <s v="Amit Singh"/>
        <s v="Anika Kapoor"/>
        <s v="Rahul Malhotra"/>
        <s v="Dev Gupta"/>
        <s v="Kabir Patel"/>
        <s v="Vivaan Mehta"/>
        <s v="Rahul Pillai"/>
        <s v="Pooja Das"/>
        <s v="Diya Nair"/>
        <s v="Tara Pillai"/>
        <s v="Riya Saxena"/>
        <s v="Tara Kumar"/>
        <s v="Ananya Chauhan"/>
        <s v="Manav Kapoor"/>
        <s v="Anika Nair"/>
        <s v="Ayaan Mishra"/>
        <s v="Saanvi Joshi"/>
        <s v="Meera Nair"/>
        <s v="Karan Verma"/>
        <s v="Sneha Yadav"/>
        <s v="Sai Chauhan"/>
        <s v="Saanvi Yadav"/>
        <s v="Tara Mehta"/>
        <s v="Ayaan Kumar"/>
        <s v="Reyansh Patel"/>
        <s v="Krishna Gupta"/>
        <s v="Aditi Das"/>
        <s v="Dev Joshi"/>
        <s v="Priya Mehta"/>
        <s v="Kabir Singh"/>
        <s v="Naina Gupta"/>
        <s v="Ishaan Pillai"/>
        <s v="Arjun Nair"/>
        <s v="Ishaan Kumar"/>
        <s v="Ishita Verma"/>
        <s v="Riya Chauhan"/>
        <s v="Anika Chauhan"/>
        <s v="Ishaan Sharma"/>
        <s v="Karan Kapoor"/>
        <s v="Arjun Bose"/>
        <s v="Rohan Das"/>
        <s v="Nikhil Pillai"/>
        <s v="Aarav Verma"/>
        <s v="Sai Bose"/>
        <s v="Ira Chauhan"/>
        <s v="Ishita Mishra"/>
        <s v="Tara Kapoor"/>
        <s v="Vivaan Reddy"/>
        <s v="Ananya Patel"/>
        <s v="Pari Bose"/>
        <s v="Neha Bose"/>
        <s v="Vivaan Saxena"/>
        <s v="Diya Mehta"/>
        <s v="Naina Kapoor"/>
        <s v="Aarav Bose"/>
        <s v="Rohan Kumar"/>
        <s v="Yash Mishra"/>
        <s v="Myra Patel"/>
        <s v="Manav Reddy"/>
        <s v="Varun Yadav"/>
        <s v="Manav Das"/>
        <s v="Aditya Saxena"/>
        <s v="Ishaan Khan"/>
        <s v="Rahul Mishra"/>
        <s v="Kavya Reddy"/>
        <s v="Rohan Reddy"/>
        <s v="Karan Yadav"/>
        <s v="Dev Das"/>
        <s v="Anika Verma"/>
        <s v="Kabir Bose"/>
        <s v="Sai Nair"/>
        <s v="Aarav Yadav"/>
        <s v="Ishita Khan"/>
        <s v="Riya Khan"/>
        <s v="Ira Mehta"/>
        <s v="Vihaan Khan"/>
        <s v="Myra Malhotra"/>
        <s v="Riya Kumar"/>
        <s v="Aditi Khan"/>
        <s v="Kavya Malhotra"/>
        <s v="Vihaan Sharma"/>
        <s v="Tara Singh"/>
        <s v="Aditya Pillai"/>
        <s v="Aarav Mishra"/>
        <s v="Sneha Sharma"/>
        <s v="Ayaan Kapoor"/>
        <s v="Varun Verma"/>
        <s v="Ayaan Pillai"/>
        <s v="Aadhya Reddy"/>
        <s v="Tara Joshi"/>
        <s v="Reyansh Reddy"/>
        <s v="Diya Verma"/>
        <s v="Aditya Sharma"/>
        <s v="Amit Yadav"/>
        <s v="Neha Khan"/>
        <s v="Sneha Mishra"/>
        <s v="Aarav Singh"/>
        <s v="Priya Chauhan"/>
        <s v="Aadhya Mehta"/>
        <s v="Nikhil Chauhan"/>
        <s v="Meera Kapoor"/>
        <s v="Vihaan Joshi"/>
        <s v="Meera Joshi"/>
        <s v="Vihaan Das"/>
        <s v="Amit Verma"/>
        <s v="Naina Nair"/>
        <s v="Diya Saxena"/>
        <s v="Meera Sharma"/>
        <s v="Pooja Singh"/>
        <s v="Vihaan Kumar"/>
        <s v="Nikhil Das"/>
        <s v="Naina Singh"/>
        <s v="Ishaan Nair"/>
        <s v="Neha Joshi"/>
        <s v="Ira Gupta"/>
        <s v="Meera Gupta"/>
        <s v="Naina Kumar"/>
        <s v="Ishaan Yadav"/>
        <s v="Aditya Verma"/>
        <s v="Tara Yadav"/>
        <s v="Ira Joshi"/>
        <s v="Karan Sharma"/>
        <s v="Aditya Bose"/>
        <s v="Varun Bose"/>
        <s v="Kabir Kumar"/>
        <s v="Kabir Das"/>
        <s v="Yash Saxena"/>
        <s v="Priya Patel"/>
        <s v="Priya Khan"/>
        <s v="Priya Pillai"/>
        <s v="Krishna Patel"/>
        <s v="Pari Khan"/>
        <s v="Reyansh Pillai"/>
        <s v="Manav Bose"/>
        <s v="Simran Chauhan"/>
        <s v="Aadhya Mishra"/>
        <s v="Aarav Pillai"/>
        <s v="Aditi Patel"/>
        <s v="Kabir Khan"/>
        <s v="Priya Kapoor"/>
        <s v="Ishita Pillai"/>
        <s v="Reyansh Chauhan"/>
        <s v="Neha Sharma"/>
        <s v="Manav Kumar"/>
        <s v="Meera Reddy"/>
        <s v="Aditi Saxena"/>
        <s v="Myra Singh"/>
        <s v="Ishita Kumar"/>
        <s v="Yash Malhotra"/>
        <s v="Kavya Kapoor"/>
        <s v="Krishna Kapoor"/>
        <s v="Amit Mishra"/>
        <s v="Naina Reddy"/>
        <s v="Ishaan Verma"/>
        <s v="Aadhya Chauhan"/>
        <s v="Kavya Mehta"/>
        <s v="Aadhya Kapoor"/>
        <s v="Vihaan Verma"/>
        <s v="Riya Kapoor"/>
        <s v="Aditya Yadav"/>
        <s v="Diya Pillai"/>
        <s v="Rohan Singh"/>
        <s v="Krishna Kumar"/>
        <s v="Priya Verma"/>
        <s v="Saanvi Saxena"/>
        <s v="Anika Bose"/>
        <s v="Dev Mehta"/>
        <s v="Manav Joshi"/>
        <s v="Aditya Nair"/>
        <s v="Ishaan Patel"/>
        <s v="Anika Mishra"/>
        <s v="Arjun Mehta"/>
        <s v="Reyansh Khan"/>
        <s v="Varun Sharma"/>
        <s v="Ishaan Mehta"/>
        <s v="Rahul Singh"/>
        <s v="Sai Patel"/>
        <s v="Vivaan Nair"/>
        <s v="Aditya Mishra"/>
        <s v="Vihaan Mishra"/>
        <s v="Nikhil Yadav"/>
        <s v="Aadhya Saxena"/>
        <s v="Sneha Kumar"/>
        <s v="Pari Gupta"/>
        <s v="Naina Mishra"/>
        <s v="Rahul Chauhan"/>
        <s v="Aadhya Gupta"/>
        <s v="Ananya Mehta"/>
        <s v="Ira Khan"/>
        <s v="Kabir Gupta"/>
        <s v="Ananya Joshi"/>
        <s v="Simran Mishra"/>
        <s v="Sneha Khan"/>
        <s v="Anika Saxena"/>
        <s v="Pooja Nair"/>
        <s v="Aditi Joshi"/>
        <s v="Dev Khan"/>
        <s v="Yash Gupta"/>
        <s v="Nikhil Nair"/>
        <s v="Myra Sharma"/>
        <s v="Anika Joshi"/>
        <s v="Naina Verma"/>
        <s v="Krishna Khan"/>
        <s v="Ayaan Joshi"/>
        <s v="Saanvi Sharma"/>
        <s v="Vivaan Kumar"/>
        <s v="Krishna Yadav"/>
        <s v="Kavya Joshi"/>
        <s v="Saanvi Verma"/>
        <s v="Varun Singh"/>
        <s v="Vivaan Bose"/>
        <s v="Vihaan Gupta"/>
        <s v="Rohan Chauhan"/>
        <s v="Rohan Pillai"/>
        <s v="Aditi Malhotra"/>
        <s v="Yash Yadav"/>
        <s v="Rohan Nair"/>
        <s v="Aarav Khan"/>
        <s v="Diya Yadav"/>
        <s v="Tara Malhotra"/>
        <s v="Varun Malhotra"/>
        <s v="Aditi Yadav"/>
        <s v="Arjun Pillai"/>
        <s v="Vihaan Yadav"/>
        <s v="Naina Sharma"/>
        <s v="Myra Gupta"/>
        <s v="Kabir Pillai"/>
        <s v="Aarav Nair"/>
        <s v="Arjun Yadav"/>
        <s v="Pooja Joshi"/>
        <s v="Amit Reddy"/>
        <s v="Aadhya Kumar"/>
        <s v="Nikhil Sharma"/>
        <s v="Tara Sharma"/>
        <s v="Vihaan Nair"/>
        <s v="Aditi Kumar"/>
        <s v="Aditi Nair"/>
        <s v="Karan Mishra"/>
        <s v="Aadhya Patel"/>
        <s v="Aditya Patel"/>
        <s v="Ayaan Singh"/>
        <s v="Saanvi Bose"/>
        <s v="Anika Mehta"/>
        <s v="Diya Kapoor"/>
        <s v="Vihaan Patel"/>
        <s v="Riya Singh"/>
        <s v="Manav Pillai"/>
        <s v="Arjun Patel"/>
        <s v="Ishita Sharma"/>
        <s v="Myra Mishra"/>
        <s v="Simran Kumar"/>
        <s v="Simran Mehta"/>
        <s v="Ayaan Yadav"/>
        <s v="Pari Chauhan"/>
        <s v="Pari Reddy"/>
        <s v="Saanvi Nair"/>
        <s v="Amit Nair"/>
        <s v="Vivaan Patel"/>
        <s v="Meera Saxena"/>
        <s v="Varun Kumar"/>
        <s v="Vivaan Yadav"/>
        <s v="Dev Bose"/>
        <s v="Ishaan Reddy"/>
        <s v="Priya Bose"/>
        <s v="Reyansh Das"/>
        <s v="Ayaan Reddy"/>
        <s v="Aditya Malhotra"/>
        <s v="Ananya Saxena"/>
        <s v="Neha Nair"/>
        <s v="Neha Verma"/>
        <s v="Kabir Malhotra"/>
        <s v="Pooja Pillai"/>
        <s v="Ira Pillai"/>
        <s v="Nikhil Malhotra"/>
        <s v="Manav Malhotra"/>
        <s v="Riya Das"/>
        <s v="Aarav Das"/>
        <s v="Ananya Reddy"/>
        <s v="Ishita Gupta"/>
        <s v="Diya Bose"/>
        <s v="Amit Bose"/>
        <s v="Ishaan Singh"/>
        <s v="Simran Yadav"/>
        <s v="Meera Yadav"/>
        <s v="Sneha Joshi"/>
        <s v="Kabir Reddy"/>
        <s v="Neha Pillai"/>
        <s v="Pooja Malhotra"/>
        <s v="Arjun Verma"/>
        <s v="Aditi Chauhan"/>
        <s v="Vivaan Sharma"/>
        <s v="Pooja Sharma"/>
        <s v="Aditi Mehta"/>
        <s v="Priya Yadav"/>
        <s v="Pari Yadav"/>
        <s v="Ishaan Saxena"/>
        <s v="Ayaan Patel"/>
        <s v="Ishaan Kapoor"/>
        <s v="Nikhil Gupta"/>
        <s v="Pooja Verma"/>
        <s v="Aarav Reddy"/>
        <s v="Vihaan Malhotra"/>
        <s v="Dev Saxena"/>
        <s v="Ishaan Bose"/>
        <s v="Pari Das"/>
        <s v="Naina Pillai"/>
        <s v="Rohan Gupta"/>
        <s v="Ananya Mishra"/>
        <s v="Myra Das"/>
        <s v="Riya Reddy"/>
        <s v="Rahul Reddy"/>
      </sharedItems>
    </cacheField>
    <cacheField name="Age" numFmtId="0">
      <sharedItems containsSemiMixedTypes="0" containsString="0" containsNumber="1" containsInteger="1" minValue="1" maxValue="95" count="95">
        <n v="95"/>
        <n v="76"/>
        <n v="26"/>
        <n v="44"/>
        <n v="46"/>
        <n v="11"/>
        <n v="94"/>
        <n v="88"/>
        <n v="28"/>
        <n v="34"/>
        <n v="52"/>
        <n v="81"/>
        <n v="33"/>
        <n v="38"/>
        <n v="23"/>
        <n v="70"/>
        <n v="8"/>
        <n v="17"/>
        <n v="16"/>
        <n v="1"/>
        <n v="31"/>
        <n v="61"/>
        <n v="55"/>
        <n v="36"/>
        <n v="84"/>
        <n v="41"/>
        <n v="66"/>
        <n v="73"/>
        <n v="67"/>
        <n v="86"/>
        <n v="32"/>
        <n v="2"/>
        <n v="35"/>
        <n v="63"/>
        <n v="10"/>
        <n v="6"/>
        <n v="53"/>
        <n v="21"/>
        <n v="40"/>
        <n v="45"/>
        <n v="75"/>
        <n v="78"/>
        <n v="69"/>
        <n v="85"/>
        <n v="37"/>
        <n v="19"/>
        <n v="57"/>
        <n v="9"/>
        <n v="93"/>
        <n v="49"/>
        <n v="20"/>
        <n v="48"/>
        <n v="14"/>
        <n v="54"/>
        <n v="56"/>
        <n v="60"/>
        <n v="3"/>
        <n v="25"/>
        <n v="15"/>
        <n v="29"/>
        <n v="80"/>
        <n v="89"/>
        <n v="87"/>
        <n v="24"/>
        <n v="43"/>
        <n v="59"/>
        <n v="7"/>
        <n v="4"/>
        <n v="62"/>
        <n v="18"/>
        <n v="90"/>
        <n v="91"/>
        <n v="13"/>
        <n v="30"/>
        <n v="74"/>
        <n v="5"/>
        <n v="47"/>
        <n v="79"/>
        <n v="50"/>
        <n v="27"/>
        <n v="77"/>
        <n v="92"/>
        <n v="72"/>
        <n v="68"/>
        <n v="82"/>
        <n v="42"/>
        <n v="12"/>
        <n v="83"/>
        <n v="51"/>
        <n v="58"/>
        <n v="64"/>
        <n v="65"/>
        <n v="71"/>
        <n v="22"/>
        <n v="39"/>
      </sharedItems>
    </cacheField>
    <cacheField name="gender" numFmtId="0">
      <sharedItems/>
    </cacheField>
    <cacheField name="DiagnosisID" numFmtId="0">
      <sharedItems containsSemiMixedTypes="0" containsString="0" containsNumber="1" containsInteger="1" minValue="1" maxValue="10"/>
    </cacheField>
    <cacheField name="AdmissionDate" numFmtId="164">
      <sharedItems containsSemiMixedTypes="0" containsNonDate="0" containsDate="1" containsString="0" minDate="2022-01-04T00:00:00" maxDate="2026-09-28T00:00:00"/>
    </cacheField>
    <cacheField name="DIschargeDate" numFmtId="164">
      <sharedItems containsSemiMixedTypes="0" containsNonDate="0" containsDate="1" containsString="0" minDate="2022-01-07T00:00:00" maxDate="2026-10-12T00:00:00"/>
    </cacheField>
    <cacheField name="OutcomeID" numFmtId="0">
      <sharedItems containsSemiMixedTypes="0" containsString="0" containsNumber="1" containsInteger="1" minValue="1" maxValue="6"/>
    </cacheField>
    <cacheField name="TreatmentCost" numFmtId="4">
      <sharedItems containsSemiMixedTypes="0" containsString="0" containsNumber="1" minValue="2534.7199999999998" maxValue="179983.64"/>
    </cacheField>
    <cacheField name="Diagnosis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n v="4"/>
    <d v="2023-04-03T00:00:00"/>
    <d v="2023-04-07T00:00:00"/>
    <n v="3"/>
    <n v="122614.16"/>
    <s v="Asthma"/>
    <s v="Ongoing Treatment"/>
    <n v="4"/>
    <s v="High"/>
    <s v="High Risk"/>
  </r>
  <r>
    <n v="2"/>
    <x v="1"/>
    <x v="1"/>
    <x v="0"/>
    <n v="1"/>
    <d v="2022-03-03T00:00:00"/>
    <d v="2022-03-05T00:00:00"/>
    <n v="1"/>
    <n v="92200.56"/>
    <s v="Diabetes"/>
    <s v="Recovered"/>
    <n v="2"/>
    <s v="High"/>
    <s v="High Risk"/>
  </r>
  <r>
    <n v="3"/>
    <x v="2"/>
    <x v="2"/>
    <x v="0"/>
    <n v="4"/>
    <d v="2024-07-08T00:00:00"/>
    <d v="2024-07-26T00:00:00"/>
    <n v="1"/>
    <n v="156800.81"/>
    <s v="Diabetes"/>
    <s v="Recovered"/>
    <n v="18"/>
    <s v="High"/>
    <s v="low risk"/>
  </r>
  <r>
    <n v="4"/>
    <x v="3"/>
    <x v="3"/>
    <x v="0"/>
    <n v="3"/>
    <d v="2023-03-17T00:00:00"/>
    <d v="2023-04-16T00:00:00"/>
    <n v="3"/>
    <n v="20642.32"/>
    <s v="Asthma"/>
    <s v="Ongoing Treatment"/>
    <n v="30"/>
    <s v="High"/>
    <s v="High Risk"/>
  </r>
  <r>
    <n v="5"/>
    <x v="4"/>
    <x v="4"/>
    <x v="0"/>
    <n v="10"/>
    <d v="2023-06-26T00:00:00"/>
    <d v="2023-07-21T00:00:00"/>
    <n v="1"/>
    <n v="84047.92"/>
    <s v="Diabetes"/>
    <s v="Recovered"/>
    <n v="25"/>
    <s v="High"/>
    <s v="low risk"/>
  </r>
  <r>
    <n v="6"/>
    <x v="5"/>
    <x v="5"/>
    <x v="0"/>
    <n v="10"/>
    <d v="2024-01-11T00:00:00"/>
    <d v="2024-01-29T00:00:00"/>
    <n v="1"/>
    <n v="14846.04"/>
    <s v="Diabetes"/>
    <s v="Recovered"/>
    <n v="18"/>
    <s v="High"/>
    <s v="low risk"/>
  </r>
  <r>
    <n v="7"/>
    <x v="6"/>
    <x v="5"/>
    <x v="1"/>
    <n v="2"/>
    <d v="2024-02-18T00:00:00"/>
    <d v="2024-02-26T00:00:00"/>
    <n v="2"/>
    <n v="150554.6"/>
    <s v="Hypertension"/>
    <s v="Improved"/>
    <n v="8"/>
    <s v="High"/>
    <s v="High Risk"/>
  </r>
  <r>
    <n v="8"/>
    <x v="7"/>
    <x v="4"/>
    <x v="1"/>
    <n v="5"/>
    <d v="2025-12-08T00:00:00"/>
    <d v="2026-01-06T00:00:00"/>
    <n v="3"/>
    <n v="15173.95"/>
    <s v="Asthma"/>
    <s v="Ongoing Treatment"/>
    <n v="29"/>
    <s v="High"/>
    <s v="High Risk"/>
  </r>
  <r>
    <n v="9"/>
    <x v="8"/>
    <x v="6"/>
    <x v="1"/>
    <n v="3"/>
    <d v="2024-08-04T00:00:00"/>
    <d v="2024-08-16T00:00:00"/>
    <n v="1"/>
    <n v="166756.93"/>
    <s v="Diabetes"/>
    <s v="Recovered"/>
    <n v="12"/>
    <s v="High"/>
    <s v="High Risk"/>
  </r>
  <r>
    <n v="10"/>
    <x v="9"/>
    <x v="7"/>
    <x v="0"/>
    <n v="1"/>
    <d v="2023-04-15T00:00:00"/>
    <d v="2023-05-11T00:00:00"/>
    <n v="1"/>
    <n v="58492.92"/>
    <s v="Diabetes"/>
    <s v="Recovered"/>
    <n v="26"/>
    <s v="High"/>
    <s v="High Risk"/>
  </r>
  <r>
    <n v="11"/>
    <x v="10"/>
    <x v="8"/>
    <x v="0"/>
    <n v="4"/>
    <d v="2025-09-04T00:00:00"/>
    <d v="2025-09-19T00:00:00"/>
    <n v="2"/>
    <n v="164832.20000000001"/>
    <s v="Hypertension"/>
    <s v="Improved"/>
    <n v="15"/>
    <s v="High"/>
    <s v="High Risk"/>
  </r>
  <r>
    <n v="12"/>
    <x v="11"/>
    <x v="9"/>
    <x v="1"/>
    <n v="4"/>
    <d v="2026-03-06T00:00:00"/>
    <d v="2026-03-23T00:00:00"/>
    <n v="2"/>
    <n v="135094.95000000001"/>
    <s v="Hypertension"/>
    <s v="Improved"/>
    <n v="17"/>
    <s v="High"/>
    <s v="High Risk"/>
  </r>
  <r>
    <n v="13"/>
    <x v="12"/>
    <x v="10"/>
    <x v="0"/>
    <n v="4"/>
    <d v="2022-10-11T00:00:00"/>
    <d v="2022-10-27T00:00:00"/>
    <n v="2"/>
    <n v="136651.32999999999"/>
    <s v="Hypertension"/>
    <s v="Improved"/>
    <n v="16"/>
    <s v="High"/>
    <s v="High Risk"/>
  </r>
  <r>
    <n v="14"/>
    <x v="13"/>
    <x v="11"/>
    <x v="1"/>
    <n v="7"/>
    <d v="2025-05-06T00:00:00"/>
    <d v="2025-05-08T00:00:00"/>
    <n v="2"/>
    <n v="108270.2"/>
    <s v="Hypertension"/>
    <s v="Improved"/>
    <n v="2"/>
    <s v="High"/>
    <s v="High Risk"/>
  </r>
  <r>
    <n v="15"/>
    <x v="14"/>
    <x v="12"/>
    <x v="1"/>
    <n v="2"/>
    <d v="2025-10-28T00:00:00"/>
    <d v="2025-11-25T00:00:00"/>
    <n v="2"/>
    <n v="49861.47"/>
    <s v="Hypertension"/>
    <s v="Improved"/>
    <n v="28"/>
    <s v="High"/>
    <s v="High Risk"/>
  </r>
  <r>
    <n v="16"/>
    <x v="15"/>
    <x v="13"/>
    <x v="0"/>
    <n v="3"/>
    <d v="2024-07-18T00:00:00"/>
    <d v="2024-07-18T00:00:00"/>
    <n v="6"/>
    <n v="157963.9"/>
    <s v="Kidney Disease"/>
    <s v="Deceased"/>
    <n v="0"/>
    <s v="High"/>
    <s v="High Risk"/>
  </r>
  <r>
    <n v="17"/>
    <x v="16"/>
    <x v="14"/>
    <x v="1"/>
    <n v="5"/>
    <d v="2026-09-20T00:00:00"/>
    <d v="2026-10-10T00:00:00"/>
    <n v="2"/>
    <n v="37806.720000000001"/>
    <s v="Hypertension"/>
    <s v="Improved"/>
    <n v="20"/>
    <s v="High"/>
    <s v="High Risk"/>
  </r>
  <r>
    <n v="18"/>
    <x v="17"/>
    <x v="15"/>
    <x v="1"/>
    <n v="10"/>
    <d v="2023-10-26T00:00:00"/>
    <d v="2023-11-10T00:00:00"/>
    <n v="1"/>
    <n v="167415"/>
    <s v="Diabetes"/>
    <s v="Recovered"/>
    <n v="15"/>
    <s v="High"/>
    <s v="High Risk"/>
  </r>
  <r>
    <n v="19"/>
    <x v="18"/>
    <x v="16"/>
    <x v="1"/>
    <n v="10"/>
    <d v="2022-06-11T00:00:00"/>
    <d v="2022-06-13T00:00:00"/>
    <n v="3"/>
    <n v="147344.13"/>
    <s v="Asthma"/>
    <s v="Ongoing Treatment"/>
    <n v="2"/>
    <s v="High"/>
    <s v="High Risk"/>
  </r>
  <r>
    <n v="20"/>
    <x v="19"/>
    <x v="17"/>
    <x v="0"/>
    <n v="9"/>
    <d v="2022-12-05T00:00:00"/>
    <d v="2022-12-13T00:00:00"/>
    <n v="2"/>
    <n v="110170.42"/>
    <s v="Hypertension"/>
    <s v="Improved"/>
    <n v="8"/>
    <s v="High"/>
    <s v="High Risk"/>
  </r>
  <r>
    <n v="21"/>
    <x v="20"/>
    <x v="6"/>
    <x v="1"/>
    <n v="5"/>
    <d v="2024-03-28T00:00:00"/>
    <d v="2024-04-18T00:00:00"/>
    <n v="2"/>
    <n v="80262.759999999995"/>
    <s v="Hypertension"/>
    <s v="Improved"/>
    <n v="21"/>
    <s v="High"/>
    <s v="High Risk"/>
  </r>
  <r>
    <n v="22"/>
    <x v="21"/>
    <x v="18"/>
    <x v="1"/>
    <n v="4"/>
    <d v="2022-05-12T00:00:00"/>
    <d v="2022-05-22T00:00:00"/>
    <n v="1"/>
    <n v="100821.07"/>
    <s v="Diabetes"/>
    <s v="Recovered"/>
    <n v="10"/>
    <s v="High"/>
    <s v="low risk"/>
  </r>
  <r>
    <n v="23"/>
    <x v="22"/>
    <x v="19"/>
    <x v="1"/>
    <n v="1"/>
    <d v="2023-04-14T00:00:00"/>
    <d v="2023-04-16T00:00:00"/>
    <n v="5"/>
    <n v="155085.28"/>
    <s v="Heart Disease"/>
    <s v="Readmitted"/>
    <n v="2"/>
    <s v="High"/>
    <s v="High Risk"/>
  </r>
  <r>
    <n v="24"/>
    <x v="23"/>
    <x v="20"/>
    <x v="0"/>
    <n v="8"/>
    <d v="2023-03-15T00:00:00"/>
    <d v="2023-04-01T00:00:00"/>
    <n v="1"/>
    <n v="168553.78"/>
    <s v="Diabetes"/>
    <s v="Recovered"/>
    <n v="17"/>
    <s v="High"/>
    <s v="low risk"/>
  </r>
  <r>
    <n v="25"/>
    <x v="24"/>
    <x v="21"/>
    <x v="1"/>
    <n v="8"/>
    <d v="2026-07-12T00:00:00"/>
    <d v="2026-07-25T00:00:00"/>
    <n v="1"/>
    <n v="19705.22"/>
    <s v="Diabetes"/>
    <s v="Recovered"/>
    <n v="13"/>
    <s v="High"/>
    <s v="low risk"/>
  </r>
  <r>
    <n v="26"/>
    <x v="25"/>
    <x v="22"/>
    <x v="0"/>
    <n v="8"/>
    <d v="2026-02-02T00:00:00"/>
    <d v="2026-02-03T00:00:00"/>
    <n v="3"/>
    <n v="177189.33"/>
    <s v="Asthma"/>
    <s v="Ongoing Treatment"/>
    <n v="1"/>
    <s v="High"/>
    <s v="High Risk"/>
  </r>
  <r>
    <n v="27"/>
    <x v="26"/>
    <x v="10"/>
    <x v="0"/>
    <n v="2"/>
    <d v="2023-05-25T00:00:00"/>
    <d v="2023-05-31T00:00:00"/>
    <n v="1"/>
    <n v="82128.899999999994"/>
    <s v="Diabetes"/>
    <s v="Recovered"/>
    <n v="6"/>
    <s v="High"/>
    <s v="low risk"/>
  </r>
  <r>
    <n v="28"/>
    <x v="27"/>
    <x v="23"/>
    <x v="0"/>
    <n v="4"/>
    <d v="2022-06-04T00:00:00"/>
    <d v="2022-06-18T00:00:00"/>
    <n v="4"/>
    <n v="154434.12"/>
    <s v="Pneumonia"/>
    <s v="Referred"/>
    <n v="14"/>
    <s v="High"/>
    <s v="High Risk"/>
  </r>
  <r>
    <n v="29"/>
    <x v="26"/>
    <x v="24"/>
    <x v="1"/>
    <n v="2"/>
    <d v="2026-03-24T00:00:00"/>
    <d v="2026-04-20T00:00:00"/>
    <n v="1"/>
    <n v="74638.5"/>
    <s v="Diabetes"/>
    <s v="Recovered"/>
    <n v="27"/>
    <s v="High"/>
    <s v="High Risk"/>
  </r>
  <r>
    <n v="30"/>
    <x v="28"/>
    <x v="10"/>
    <x v="1"/>
    <n v="3"/>
    <d v="2024-02-16T00:00:00"/>
    <d v="2024-02-16T00:00:00"/>
    <n v="6"/>
    <n v="49573.54"/>
    <s v="Kidney Disease"/>
    <s v="Deceased"/>
    <n v="0"/>
    <s v="High"/>
    <s v="High Risk"/>
  </r>
  <r>
    <n v="31"/>
    <x v="29"/>
    <x v="22"/>
    <x v="0"/>
    <n v="3"/>
    <d v="2023-01-24T00:00:00"/>
    <d v="2023-02-02T00:00:00"/>
    <n v="1"/>
    <n v="12880.78"/>
    <s v="Diabetes"/>
    <s v="Recovered"/>
    <n v="9"/>
    <s v="High"/>
    <s v="low risk"/>
  </r>
  <r>
    <n v="32"/>
    <x v="30"/>
    <x v="25"/>
    <x v="1"/>
    <n v="1"/>
    <d v="2025-04-11T00:00:00"/>
    <d v="2025-04-26T00:00:00"/>
    <n v="2"/>
    <n v="153857.78"/>
    <s v="Hypertension"/>
    <s v="Improved"/>
    <n v="15"/>
    <s v="High"/>
    <s v="High Risk"/>
  </r>
  <r>
    <n v="33"/>
    <x v="31"/>
    <x v="26"/>
    <x v="1"/>
    <n v="3"/>
    <d v="2022-05-21T00:00:00"/>
    <d v="2022-06-09T00:00:00"/>
    <n v="1"/>
    <n v="155472.91"/>
    <s v="Diabetes"/>
    <s v="Recovered"/>
    <n v="19"/>
    <s v="High"/>
    <s v="High Risk"/>
  </r>
  <r>
    <n v="34"/>
    <x v="32"/>
    <x v="27"/>
    <x v="1"/>
    <n v="10"/>
    <d v="2025-05-02T00:00:00"/>
    <d v="2025-05-03T00:00:00"/>
    <n v="2"/>
    <n v="76912.42"/>
    <s v="Hypertension"/>
    <s v="Improved"/>
    <n v="1"/>
    <s v="High"/>
    <s v="High Risk"/>
  </r>
  <r>
    <n v="35"/>
    <x v="33"/>
    <x v="28"/>
    <x v="0"/>
    <n v="5"/>
    <d v="2023-02-23T00:00:00"/>
    <d v="2023-03-16T00:00:00"/>
    <n v="3"/>
    <n v="44866.76"/>
    <s v="Asthma"/>
    <s v="Ongoing Treatment"/>
    <n v="21"/>
    <s v="High"/>
    <s v="High Risk"/>
  </r>
  <r>
    <n v="36"/>
    <x v="34"/>
    <x v="29"/>
    <x v="0"/>
    <n v="8"/>
    <d v="2023-10-10T00:00:00"/>
    <d v="2023-11-08T00:00:00"/>
    <n v="3"/>
    <n v="15376.4"/>
    <s v="Asthma"/>
    <s v="Ongoing Treatment"/>
    <n v="29"/>
    <s v="High"/>
    <s v="High Risk"/>
  </r>
  <r>
    <n v="37"/>
    <x v="35"/>
    <x v="27"/>
    <x v="1"/>
    <n v="2"/>
    <d v="2025-01-06T00:00:00"/>
    <d v="2025-01-12T00:00:00"/>
    <n v="2"/>
    <n v="26011.040000000001"/>
    <s v="Hypertension"/>
    <s v="Improved"/>
    <n v="6"/>
    <s v="High"/>
    <s v="High Risk"/>
  </r>
  <r>
    <n v="38"/>
    <x v="36"/>
    <x v="30"/>
    <x v="0"/>
    <n v="5"/>
    <d v="2022-11-20T00:00:00"/>
    <d v="2022-12-04T00:00:00"/>
    <n v="4"/>
    <n v="127378.34"/>
    <s v="Pneumonia"/>
    <s v="Referred"/>
    <n v="14"/>
    <s v="High"/>
    <s v="High Risk"/>
  </r>
  <r>
    <n v="39"/>
    <x v="37"/>
    <x v="31"/>
    <x v="0"/>
    <n v="2"/>
    <d v="2022-10-03T00:00:00"/>
    <d v="2022-10-11T00:00:00"/>
    <n v="1"/>
    <n v="21498.89"/>
    <s v="Diabetes"/>
    <s v="Recovered"/>
    <n v="8"/>
    <s v="High"/>
    <s v="low risk"/>
  </r>
  <r>
    <n v="40"/>
    <x v="38"/>
    <x v="32"/>
    <x v="0"/>
    <n v="10"/>
    <d v="2023-03-08T00:00:00"/>
    <d v="2023-03-30T00:00:00"/>
    <n v="1"/>
    <n v="124530.74"/>
    <s v="Diabetes"/>
    <s v="Recovered"/>
    <n v="22"/>
    <s v="High"/>
    <s v="low risk"/>
  </r>
  <r>
    <n v="41"/>
    <x v="16"/>
    <x v="33"/>
    <x v="0"/>
    <n v="1"/>
    <d v="2022-07-09T00:00:00"/>
    <d v="2022-07-29T00:00:00"/>
    <n v="2"/>
    <n v="51610.74"/>
    <s v="Hypertension"/>
    <s v="Improved"/>
    <n v="20"/>
    <s v="High"/>
    <s v="High Risk"/>
  </r>
  <r>
    <n v="42"/>
    <x v="39"/>
    <x v="17"/>
    <x v="0"/>
    <n v="3"/>
    <d v="2026-02-27T00:00:00"/>
    <d v="2026-03-13T00:00:00"/>
    <n v="2"/>
    <n v="78414.429999999993"/>
    <s v="Hypertension"/>
    <s v="Improved"/>
    <n v="14"/>
    <s v="High"/>
    <s v="High Risk"/>
  </r>
  <r>
    <n v="43"/>
    <x v="40"/>
    <x v="34"/>
    <x v="1"/>
    <n v="9"/>
    <d v="2022-03-15T00:00:00"/>
    <d v="2022-04-10T00:00:00"/>
    <n v="2"/>
    <n v="100573.2"/>
    <s v="Hypertension"/>
    <s v="Improved"/>
    <n v="26"/>
    <s v="High"/>
    <s v="High Risk"/>
  </r>
  <r>
    <n v="44"/>
    <x v="41"/>
    <x v="35"/>
    <x v="0"/>
    <n v="6"/>
    <d v="2026-06-19T00:00:00"/>
    <d v="2026-07-16T00:00:00"/>
    <n v="1"/>
    <n v="66011.14"/>
    <s v="Diabetes"/>
    <s v="Recovered"/>
    <n v="27"/>
    <s v="High"/>
    <s v="low risk"/>
  </r>
  <r>
    <n v="45"/>
    <x v="42"/>
    <x v="4"/>
    <x v="0"/>
    <n v="10"/>
    <d v="2026-03-15T00:00:00"/>
    <d v="2026-03-19T00:00:00"/>
    <n v="5"/>
    <n v="44520.88"/>
    <s v="Heart Disease"/>
    <s v="Readmitted"/>
    <n v="4"/>
    <s v="High"/>
    <s v="High Risk"/>
  </r>
  <r>
    <n v="46"/>
    <x v="43"/>
    <x v="36"/>
    <x v="1"/>
    <n v="3"/>
    <d v="2026-02-17T00:00:00"/>
    <d v="2026-03-18T00:00:00"/>
    <n v="1"/>
    <n v="167719.82"/>
    <s v="Diabetes"/>
    <s v="Recovered"/>
    <n v="29"/>
    <s v="High"/>
    <s v="low risk"/>
  </r>
  <r>
    <n v="47"/>
    <x v="44"/>
    <x v="37"/>
    <x v="1"/>
    <n v="7"/>
    <d v="2022-03-21T00:00:00"/>
    <d v="2022-04-17T00:00:00"/>
    <n v="2"/>
    <n v="37924.18"/>
    <s v="Hypertension"/>
    <s v="Improved"/>
    <n v="27"/>
    <s v="High"/>
    <s v="High Risk"/>
  </r>
  <r>
    <n v="48"/>
    <x v="45"/>
    <x v="38"/>
    <x v="1"/>
    <n v="4"/>
    <d v="2022-02-18T00:00:00"/>
    <d v="2022-03-11T00:00:00"/>
    <n v="1"/>
    <n v="60766.5"/>
    <s v="Diabetes"/>
    <s v="Recovered"/>
    <n v="21"/>
    <s v="High"/>
    <s v="low risk"/>
  </r>
  <r>
    <n v="49"/>
    <x v="46"/>
    <x v="39"/>
    <x v="0"/>
    <n v="9"/>
    <d v="2023-11-10T00:00:00"/>
    <d v="2023-12-10T00:00:00"/>
    <n v="1"/>
    <n v="158174.32"/>
    <s v="Diabetes"/>
    <s v="Recovered"/>
    <n v="30"/>
    <s v="High"/>
    <s v="low risk"/>
  </r>
  <r>
    <n v="50"/>
    <x v="47"/>
    <x v="40"/>
    <x v="0"/>
    <n v="1"/>
    <d v="2022-08-11T00:00:00"/>
    <d v="2022-08-30T00:00:00"/>
    <n v="2"/>
    <n v="131816.75"/>
    <s v="Hypertension"/>
    <s v="Improved"/>
    <n v="19"/>
    <s v="High"/>
    <s v="High Risk"/>
  </r>
  <r>
    <n v="51"/>
    <x v="48"/>
    <x v="41"/>
    <x v="1"/>
    <n v="7"/>
    <d v="2025-03-26T00:00:00"/>
    <d v="2025-04-01T00:00:00"/>
    <n v="1"/>
    <n v="128309.39"/>
    <s v="Diabetes"/>
    <s v="Recovered"/>
    <n v="6"/>
    <s v="High"/>
    <s v="High Risk"/>
  </r>
  <r>
    <n v="52"/>
    <x v="49"/>
    <x v="42"/>
    <x v="1"/>
    <n v="6"/>
    <d v="2024-06-02T00:00:00"/>
    <d v="2024-06-04T00:00:00"/>
    <n v="5"/>
    <n v="165936.82999999999"/>
    <s v="Heart Disease"/>
    <s v="Readmitted"/>
    <n v="2"/>
    <s v="High"/>
    <s v="High Risk"/>
  </r>
  <r>
    <n v="53"/>
    <x v="50"/>
    <x v="43"/>
    <x v="1"/>
    <n v="5"/>
    <d v="2024-11-04T00:00:00"/>
    <d v="2024-11-13T00:00:00"/>
    <n v="3"/>
    <n v="60397.47"/>
    <s v="Asthma"/>
    <s v="Ongoing Treatment"/>
    <n v="9"/>
    <s v="High"/>
    <s v="High Risk"/>
  </r>
  <r>
    <n v="54"/>
    <x v="51"/>
    <x v="17"/>
    <x v="1"/>
    <n v="7"/>
    <d v="2025-09-23T00:00:00"/>
    <d v="2025-10-23T00:00:00"/>
    <n v="2"/>
    <n v="135293.88"/>
    <s v="Hypertension"/>
    <s v="Improved"/>
    <n v="30"/>
    <s v="High"/>
    <s v="High Risk"/>
  </r>
  <r>
    <n v="55"/>
    <x v="52"/>
    <x v="27"/>
    <x v="0"/>
    <n v="7"/>
    <d v="2025-01-27T00:00:00"/>
    <d v="2025-02-22T00:00:00"/>
    <n v="1"/>
    <n v="53427.18"/>
    <s v="Diabetes"/>
    <s v="Recovered"/>
    <n v="26"/>
    <s v="High"/>
    <s v="High Risk"/>
  </r>
  <r>
    <n v="56"/>
    <x v="12"/>
    <x v="41"/>
    <x v="0"/>
    <n v="8"/>
    <d v="2024-06-23T00:00:00"/>
    <d v="2024-07-07T00:00:00"/>
    <n v="3"/>
    <n v="93233.38"/>
    <s v="Asthma"/>
    <s v="Ongoing Treatment"/>
    <n v="14"/>
    <s v="High"/>
    <s v="High Risk"/>
  </r>
  <r>
    <n v="57"/>
    <x v="53"/>
    <x v="44"/>
    <x v="0"/>
    <n v="2"/>
    <d v="2026-08-04T00:00:00"/>
    <d v="2026-09-03T00:00:00"/>
    <n v="3"/>
    <n v="121921.23"/>
    <s v="Asthma"/>
    <s v="Ongoing Treatment"/>
    <n v="30"/>
    <s v="High"/>
    <s v="High Risk"/>
  </r>
  <r>
    <n v="58"/>
    <x v="54"/>
    <x v="45"/>
    <x v="1"/>
    <n v="1"/>
    <d v="2023-05-17T00:00:00"/>
    <d v="2023-06-01T00:00:00"/>
    <n v="2"/>
    <n v="138906.85999999999"/>
    <s v="Hypertension"/>
    <s v="Improved"/>
    <n v="15"/>
    <s v="High"/>
    <s v="High Risk"/>
  </r>
  <r>
    <n v="59"/>
    <x v="55"/>
    <x v="11"/>
    <x v="1"/>
    <n v="7"/>
    <d v="2024-10-09T00:00:00"/>
    <d v="2024-10-21T00:00:00"/>
    <n v="1"/>
    <n v="118950.3"/>
    <s v="Diabetes"/>
    <s v="Recovered"/>
    <n v="12"/>
    <s v="High"/>
    <s v="High Risk"/>
  </r>
  <r>
    <n v="60"/>
    <x v="40"/>
    <x v="22"/>
    <x v="1"/>
    <n v="3"/>
    <d v="2026-07-05T00:00:00"/>
    <d v="2026-08-04T00:00:00"/>
    <n v="3"/>
    <n v="84957.6"/>
    <s v="Asthma"/>
    <s v="Ongoing Treatment"/>
    <n v="30"/>
    <s v="High"/>
    <s v="High Risk"/>
  </r>
  <r>
    <n v="61"/>
    <x v="9"/>
    <x v="18"/>
    <x v="0"/>
    <n v="3"/>
    <d v="2026-06-30T00:00:00"/>
    <d v="2026-07-14T00:00:00"/>
    <n v="3"/>
    <n v="177850.91"/>
    <s v="Asthma"/>
    <s v="Ongoing Treatment"/>
    <n v="14"/>
    <s v="High"/>
    <s v="High Risk"/>
  </r>
  <r>
    <n v="62"/>
    <x v="56"/>
    <x v="46"/>
    <x v="0"/>
    <n v="9"/>
    <d v="2024-07-02T00:00:00"/>
    <d v="2024-07-30T00:00:00"/>
    <n v="1"/>
    <n v="155415.35"/>
    <s v="Diabetes"/>
    <s v="Recovered"/>
    <n v="28"/>
    <s v="High"/>
    <s v="low risk"/>
  </r>
  <r>
    <n v="63"/>
    <x v="57"/>
    <x v="30"/>
    <x v="0"/>
    <n v="9"/>
    <d v="2024-09-19T00:00:00"/>
    <d v="2024-10-09T00:00:00"/>
    <n v="1"/>
    <n v="80577.39"/>
    <s v="Diabetes"/>
    <s v="Recovered"/>
    <n v="20"/>
    <s v="High"/>
    <s v="low risk"/>
  </r>
  <r>
    <n v="64"/>
    <x v="58"/>
    <x v="32"/>
    <x v="0"/>
    <n v="6"/>
    <d v="2025-01-11T00:00:00"/>
    <d v="2025-01-13T00:00:00"/>
    <n v="1"/>
    <n v="43548.91"/>
    <s v="Diabetes"/>
    <s v="Recovered"/>
    <n v="2"/>
    <s v="High"/>
    <s v="low risk"/>
  </r>
  <r>
    <n v="65"/>
    <x v="59"/>
    <x v="47"/>
    <x v="0"/>
    <n v="7"/>
    <d v="2023-11-09T00:00:00"/>
    <d v="2023-11-26T00:00:00"/>
    <n v="2"/>
    <n v="13552.16"/>
    <s v="Hypertension"/>
    <s v="Improved"/>
    <n v="17"/>
    <s v="High"/>
    <s v="High Risk"/>
  </r>
  <r>
    <n v="66"/>
    <x v="60"/>
    <x v="40"/>
    <x v="1"/>
    <n v="10"/>
    <d v="2024-02-19T00:00:00"/>
    <d v="2024-03-05T00:00:00"/>
    <n v="1"/>
    <n v="64937.19"/>
    <s v="Diabetes"/>
    <s v="Recovered"/>
    <n v="15"/>
    <s v="High"/>
    <s v="High Risk"/>
  </r>
  <r>
    <n v="67"/>
    <x v="61"/>
    <x v="42"/>
    <x v="1"/>
    <n v="8"/>
    <d v="2023-03-26T00:00:00"/>
    <d v="2023-04-03T00:00:00"/>
    <n v="2"/>
    <n v="7651.91"/>
    <s v="Hypertension"/>
    <s v="Improved"/>
    <n v="8"/>
    <s v="High"/>
    <s v="High Risk"/>
  </r>
  <r>
    <n v="68"/>
    <x v="62"/>
    <x v="48"/>
    <x v="1"/>
    <n v="8"/>
    <d v="2022-09-19T00:00:00"/>
    <d v="2022-10-08T00:00:00"/>
    <n v="2"/>
    <n v="163479.87"/>
    <s v="Hypertension"/>
    <s v="Improved"/>
    <n v="19"/>
    <s v="High"/>
    <s v="High Risk"/>
  </r>
  <r>
    <n v="69"/>
    <x v="33"/>
    <x v="43"/>
    <x v="1"/>
    <n v="2"/>
    <d v="2025-08-09T00:00:00"/>
    <d v="2025-08-22T00:00:00"/>
    <n v="1"/>
    <n v="84451.47"/>
    <s v="Diabetes"/>
    <s v="Recovered"/>
    <n v="13"/>
    <s v="High"/>
    <s v="High Risk"/>
  </r>
  <r>
    <n v="70"/>
    <x v="63"/>
    <x v="49"/>
    <x v="0"/>
    <n v="4"/>
    <d v="2024-07-20T00:00:00"/>
    <d v="2024-07-30T00:00:00"/>
    <n v="1"/>
    <n v="158636.1"/>
    <s v="Diabetes"/>
    <s v="Recovered"/>
    <n v="10"/>
    <s v="High"/>
    <s v="low risk"/>
  </r>
  <r>
    <n v="71"/>
    <x v="64"/>
    <x v="12"/>
    <x v="1"/>
    <n v="8"/>
    <d v="2022-02-09T00:00:00"/>
    <d v="2022-03-04T00:00:00"/>
    <n v="2"/>
    <n v="179983.64"/>
    <s v="Hypertension"/>
    <s v="Improved"/>
    <n v="23"/>
    <s v="High"/>
    <s v="High Risk"/>
  </r>
  <r>
    <n v="72"/>
    <x v="65"/>
    <x v="24"/>
    <x v="1"/>
    <n v="1"/>
    <d v="2026-03-25T00:00:00"/>
    <d v="2026-03-25T00:00:00"/>
    <n v="5"/>
    <n v="37886.519999999997"/>
    <s v="Heart Disease"/>
    <s v="Readmitted"/>
    <n v="0"/>
    <s v="High"/>
    <s v="High Risk"/>
  </r>
  <r>
    <n v="73"/>
    <x v="66"/>
    <x v="50"/>
    <x v="1"/>
    <n v="3"/>
    <d v="2024-08-27T00:00:00"/>
    <d v="2024-09-17T00:00:00"/>
    <n v="1"/>
    <n v="170726.87"/>
    <s v="Diabetes"/>
    <s v="Recovered"/>
    <n v="21"/>
    <s v="High"/>
    <s v="low risk"/>
  </r>
  <r>
    <n v="74"/>
    <x v="67"/>
    <x v="51"/>
    <x v="1"/>
    <n v="10"/>
    <d v="2025-05-28T00:00:00"/>
    <d v="2025-06-27T00:00:00"/>
    <n v="3"/>
    <n v="22829.58"/>
    <s v="Asthma"/>
    <s v="Ongoing Treatment"/>
    <n v="30"/>
    <s v="High"/>
    <s v="High Risk"/>
  </r>
  <r>
    <n v="75"/>
    <x v="68"/>
    <x v="52"/>
    <x v="1"/>
    <n v="5"/>
    <d v="2025-03-25T00:00:00"/>
    <d v="2025-04-15T00:00:00"/>
    <n v="5"/>
    <n v="69116.990000000005"/>
    <s v="Heart Disease"/>
    <s v="Readmitted"/>
    <n v="21"/>
    <s v="High"/>
    <s v="High Risk"/>
  </r>
  <r>
    <n v="76"/>
    <x v="69"/>
    <x v="1"/>
    <x v="1"/>
    <n v="2"/>
    <d v="2025-11-28T00:00:00"/>
    <d v="2025-12-22T00:00:00"/>
    <n v="1"/>
    <n v="123955.98"/>
    <s v="Diabetes"/>
    <s v="Recovered"/>
    <n v="24"/>
    <s v="High"/>
    <s v="High Risk"/>
  </r>
  <r>
    <n v="77"/>
    <x v="70"/>
    <x v="35"/>
    <x v="0"/>
    <n v="9"/>
    <d v="2024-05-27T00:00:00"/>
    <d v="2024-06-17T00:00:00"/>
    <n v="2"/>
    <n v="92308.04"/>
    <s v="Hypertension"/>
    <s v="Improved"/>
    <n v="21"/>
    <s v="High"/>
    <s v="High Risk"/>
  </r>
  <r>
    <n v="78"/>
    <x v="71"/>
    <x v="53"/>
    <x v="0"/>
    <n v="2"/>
    <d v="2024-06-06T00:00:00"/>
    <d v="2024-07-06T00:00:00"/>
    <n v="2"/>
    <n v="160754.57"/>
    <s v="Hypertension"/>
    <s v="Improved"/>
    <n v="30"/>
    <s v="High"/>
    <s v="High Risk"/>
  </r>
  <r>
    <n v="79"/>
    <x v="11"/>
    <x v="54"/>
    <x v="1"/>
    <n v="9"/>
    <d v="2025-08-25T00:00:00"/>
    <d v="2025-09-02T00:00:00"/>
    <n v="2"/>
    <n v="165732.13"/>
    <s v="Hypertension"/>
    <s v="Improved"/>
    <n v="8"/>
    <s v="High"/>
    <s v="High Risk"/>
  </r>
  <r>
    <n v="80"/>
    <x v="72"/>
    <x v="54"/>
    <x v="0"/>
    <n v="6"/>
    <d v="2023-05-18T00:00:00"/>
    <d v="2023-06-13T00:00:00"/>
    <n v="5"/>
    <n v="52009.760000000002"/>
    <s v="Heart Disease"/>
    <s v="Readmitted"/>
    <n v="26"/>
    <s v="High"/>
    <s v="High Risk"/>
  </r>
  <r>
    <n v="81"/>
    <x v="73"/>
    <x v="55"/>
    <x v="0"/>
    <n v="6"/>
    <d v="2022-02-28T00:00:00"/>
    <d v="2022-03-15T00:00:00"/>
    <n v="5"/>
    <n v="34776.57"/>
    <s v="Heart Disease"/>
    <s v="Readmitted"/>
    <n v="15"/>
    <s v="High"/>
    <s v="High Risk"/>
  </r>
  <r>
    <n v="82"/>
    <x v="74"/>
    <x v="9"/>
    <x v="0"/>
    <n v="5"/>
    <d v="2025-05-05T00:00:00"/>
    <d v="2025-05-27T00:00:00"/>
    <n v="5"/>
    <n v="101152.91"/>
    <s v="Heart Disease"/>
    <s v="Readmitted"/>
    <n v="22"/>
    <s v="High"/>
    <s v="High Risk"/>
  </r>
  <r>
    <n v="83"/>
    <x v="75"/>
    <x v="5"/>
    <x v="1"/>
    <n v="7"/>
    <d v="2024-09-27T00:00:00"/>
    <d v="2024-10-14T00:00:00"/>
    <n v="3"/>
    <n v="125083.16"/>
    <s v="Asthma"/>
    <s v="Ongoing Treatment"/>
    <n v="17"/>
    <s v="High"/>
    <s v="High Risk"/>
  </r>
  <r>
    <n v="84"/>
    <x v="76"/>
    <x v="56"/>
    <x v="1"/>
    <n v="5"/>
    <d v="2023-03-30T00:00:00"/>
    <d v="2023-04-11T00:00:00"/>
    <n v="3"/>
    <n v="56851.57"/>
    <s v="Asthma"/>
    <s v="Ongoing Treatment"/>
    <n v="12"/>
    <s v="High"/>
    <s v="High Risk"/>
  </r>
  <r>
    <n v="85"/>
    <x v="77"/>
    <x v="21"/>
    <x v="0"/>
    <n v="7"/>
    <d v="2026-03-08T00:00:00"/>
    <d v="2026-03-25T00:00:00"/>
    <n v="1"/>
    <n v="127256.75"/>
    <s v="Diabetes"/>
    <s v="Recovered"/>
    <n v="17"/>
    <s v="High"/>
    <s v="low risk"/>
  </r>
  <r>
    <n v="86"/>
    <x v="78"/>
    <x v="12"/>
    <x v="1"/>
    <n v="2"/>
    <d v="2026-01-17T00:00:00"/>
    <d v="2026-01-23T00:00:00"/>
    <n v="1"/>
    <n v="134361.39000000001"/>
    <s v="Diabetes"/>
    <s v="Recovered"/>
    <n v="6"/>
    <s v="High"/>
    <s v="low risk"/>
  </r>
  <r>
    <n v="87"/>
    <x v="79"/>
    <x v="8"/>
    <x v="0"/>
    <n v="5"/>
    <d v="2026-01-23T00:00:00"/>
    <d v="2026-02-10T00:00:00"/>
    <n v="6"/>
    <n v="95623.039999999994"/>
    <s v="Kidney Disease"/>
    <s v="Deceased"/>
    <n v="18"/>
    <s v="High"/>
    <s v="High Risk"/>
  </r>
  <r>
    <n v="88"/>
    <x v="80"/>
    <x v="57"/>
    <x v="0"/>
    <n v="4"/>
    <d v="2024-01-10T00:00:00"/>
    <d v="2024-01-15T00:00:00"/>
    <n v="1"/>
    <n v="128173.28"/>
    <s v="Diabetes"/>
    <s v="Recovered"/>
    <n v="5"/>
    <s v="High"/>
    <s v="low risk"/>
  </r>
  <r>
    <n v="89"/>
    <x v="81"/>
    <x v="35"/>
    <x v="1"/>
    <n v="9"/>
    <d v="2023-08-22T00:00:00"/>
    <d v="2023-09-13T00:00:00"/>
    <n v="5"/>
    <n v="115721.86"/>
    <s v="Heart Disease"/>
    <s v="Readmitted"/>
    <n v="22"/>
    <s v="High"/>
    <s v="High Risk"/>
  </r>
  <r>
    <n v="90"/>
    <x v="82"/>
    <x v="31"/>
    <x v="0"/>
    <n v="8"/>
    <d v="2024-09-07T00:00:00"/>
    <d v="2024-09-21T00:00:00"/>
    <n v="1"/>
    <n v="173875.83"/>
    <s v="Diabetes"/>
    <s v="Recovered"/>
    <n v="14"/>
    <s v="High"/>
    <s v="low risk"/>
  </r>
  <r>
    <n v="91"/>
    <x v="83"/>
    <x v="58"/>
    <x v="1"/>
    <n v="7"/>
    <d v="2024-10-04T00:00:00"/>
    <d v="2024-10-06T00:00:00"/>
    <n v="2"/>
    <n v="124345.06"/>
    <s v="Hypertension"/>
    <s v="Improved"/>
    <n v="2"/>
    <s v="High"/>
    <s v="High Risk"/>
  </r>
  <r>
    <n v="92"/>
    <x v="84"/>
    <x v="27"/>
    <x v="0"/>
    <n v="2"/>
    <d v="2023-05-24T00:00:00"/>
    <d v="2023-05-27T00:00:00"/>
    <n v="2"/>
    <n v="76370.89"/>
    <s v="Hypertension"/>
    <s v="Improved"/>
    <n v="3"/>
    <s v="High"/>
    <s v="High Risk"/>
  </r>
  <r>
    <n v="93"/>
    <x v="85"/>
    <x v="59"/>
    <x v="0"/>
    <n v="8"/>
    <d v="2024-06-25T00:00:00"/>
    <d v="2024-07-04T00:00:00"/>
    <n v="5"/>
    <n v="178230.55"/>
    <s v="Heart Disease"/>
    <s v="Readmitted"/>
    <n v="9"/>
    <s v="High"/>
    <s v="High Risk"/>
  </r>
  <r>
    <n v="94"/>
    <x v="86"/>
    <x v="60"/>
    <x v="1"/>
    <n v="10"/>
    <d v="2026-02-24T00:00:00"/>
    <d v="2026-02-27T00:00:00"/>
    <n v="5"/>
    <n v="39382.35"/>
    <s v="Heart Disease"/>
    <s v="Readmitted"/>
    <n v="3"/>
    <s v="High"/>
    <s v="High Risk"/>
  </r>
  <r>
    <n v="95"/>
    <x v="87"/>
    <x v="43"/>
    <x v="1"/>
    <n v="3"/>
    <d v="2023-05-07T00:00:00"/>
    <d v="2023-05-12T00:00:00"/>
    <n v="2"/>
    <n v="30284.54"/>
    <s v="Hypertension"/>
    <s v="Improved"/>
    <n v="5"/>
    <s v="High"/>
    <s v="High Risk"/>
  </r>
  <r>
    <n v="96"/>
    <x v="88"/>
    <x v="61"/>
    <x v="0"/>
    <n v="5"/>
    <d v="2022-03-08T00:00:00"/>
    <d v="2022-03-15T00:00:00"/>
    <n v="1"/>
    <n v="52682.51"/>
    <s v="Diabetes"/>
    <s v="Recovered"/>
    <n v="7"/>
    <s v="High"/>
    <s v="High Risk"/>
  </r>
  <r>
    <n v="97"/>
    <x v="89"/>
    <x v="7"/>
    <x v="1"/>
    <n v="5"/>
    <d v="2026-06-02T00:00:00"/>
    <d v="2026-06-27T00:00:00"/>
    <n v="2"/>
    <n v="119859.99"/>
    <s v="Hypertension"/>
    <s v="Improved"/>
    <n v="25"/>
    <s v="High"/>
    <s v="High Risk"/>
  </r>
  <r>
    <n v="98"/>
    <x v="90"/>
    <x v="58"/>
    <x v="1"/>
    <n v="3"/>
    <d v="2023-06-29T00:00:00"/>
    <d v="2023-07-25T00:00:00"/>
    <n v="1"/>
    <n v="13085.75"/>
    <s v="Diabetes"/>
    <s v="Recovered"/>
    <n v="26"/>
    <s v="High"/>
    <s v="low risk"/>
  </r>
  <r>
    <n v="99"/>
    <x v="91"/>
    <x v="27"/>
    <x v="0"/>
    <n v="8"/>
    <d v="2022-09-12T00:00:00"/>
    <d v="2022-09-26T00:00:00"/>
    <n v="3"/>
    <n v="126702.73"/>
    <s v="Asthma"/>
    <s v="Ongoing Treatment"/>
    <n v="14"/>
    <s v="High"/>
    <s v="High Risk"/>
  </r>
  <r>
    <n v="100"/>
    <x v="92"/>
    <x v="15"/>
    <x v="0"/>
    <n v="8"/>
    <d v="2022-06-14T00:00:00"/>
    <d v="2022-07-03T00:00:00"/>
    <n v="1"/>
    <n v="79185.09"/>
    <s v="Diabetes"/>
    <s v="Recovered"/>
    <n v="19"/>
    <s v="High"/>
    <s v="High Risk"/>
  </r>
  <r>
    <n v="101"/>
    <x v="93"/>
    <x v="12"/>
    <x v="1"/>
    <n v="2"/>
    <d v="2023-04-14T00:00:00"/>
    <d v="2023-05-14T00:00:00"/>
    <n v="3"/>
    <n v="155241.74"/>
    <s v="Asthma"/>
    <s v="Ongoing Treatment"/>
    <n v="30"/>
    <s v="High"/>
    <s v="High Risk"/>
  </r>
  <r>
    <n v="102"/>
    <x v="94"/>
    <x v="62"/>
    <x v="0"/>
    <n v="10"/>
    <d v="2022-03-24T00:00:00"/>
    <d v="2022-04-17T00:00:00"/>
    <n v="3"/>
    <n v="86013.9"/>
    <s v="Asthma"/>
    <s v="Ongoing Treatment"/>
    <n v="24"/>
    <s v="High"/>
    <s v="High Risk"/>
  </r>
  <r>
    <n v="103"/>
    <x v="57"/>
    <x v="63"/>
    <x v="0"/>
    <n v="8"/>
    <d v="2022-07-06T00:00:00"/>
    <d v="2022-07-21T00:00:00"/>
    <n v="1"/>
    <n v="61662.239999999998"/>
    <s v="Diabetes"/>
    <s v="Recovered"/>
    <n v="15"/>
    <s v="High"/>
    <s v="low risk"/>
  </r>
  <r>
    <n v="104"/>
    <x v="95"/>
    <x v="64"/>
    <x v="0"/>
    <n v="8"/>
    <d v="2023-08-14T00:00:00"/>
    <d v="2023-09-04T00:00:00"/>
    <n v="5"/>
    <n v="146907.97"/>
    <s v="Heart Disease"/>
    <s v="Readmitted"/>
    <n v="21"/>
    <s v="High"/>
    <s v="High Risk"/>
  </r>
  <r>
    <n v="105"/>
    <x v="96"/>
    <x v="65"/>
    <x v="1"/>
    <n v="6"/>
    <d v="2023-06-01T00:00:00"/>
    <d v="2023-06-11T00:00:00"/>
    <n v="1"/>
    <n v="139627.26"/>
    <s v="Diabetes"/>
    <s v="Recovered"/>
    <n v="10"/>
    <s v="High"/>
    <s v="low risk"/>
  </r>
  <r>
    <n v="106"/>
    <x v="97"/>
    <x v="43"/>
    <x v="0"/>
    <n v="7"/>
    <d v="2022-04-22T00:00:00"/>
    <d v="2022-04-28T00:00:00"/>
    <n v="2"/>
    <n v="113017.51"/>
    <s v="Hypertension"/>
    <s v="Improved"/>
    <n v="6"/>
    <s v="High"/>
    <s v="High Risk"/>
  </r>
  <r>
    <n v="107"/>
    <x v="76"/>
    <x v="66"/>
    <x v="1"/>
    <n v="5"/>
    <d v="2025-01-29T00:00:00"/>
    <d v="2025-02-02T00:00:00"/>
    <n v="5"/>
    <n v="80265.61"/>
    <s v="Heart Disease"/>
    <s v="Readmitted"/>
    <n v="4"/>
    <s v="High"/>
    <s v="High Risk"/>
  </r>
  <r>
    <n v="108"/>
    <x v="82"/>
    <x v="67"/>
    <x v="1"/>
    <n v="3"/>
    <d v="2023-09-29T00:00:00"/>
    <d v="2023-10-16T00:00:00"/>
    <n v="1"/>
    <n v="74918.350000000006"/>
    <s v="Diabetes"/>
    <s v="Recovered"/>
    <n v="17"/>
    <s v="High"/>
    <s v="low risk"/>
  </r>
  <r>
    <n v="109"/>
    <x v="98"/>
    <x v="55"/>
    <x v="1"/>
    <n v="3"/>
    <d v="2024-10-17T00:00:00"/>
    <d v="2024-11-15T00:00:00"/>
    <n v="3"/>
    <n v="92824.78"/>
    <s v="Asthma"/>
    <s v="Ongoing Treatment"/>
    <n v="29"/>
    <s v="High"/>
    <s v="High Risk"/>
  </r>
  <r>
    <n v="110"/>
    <x v="64"/>
    <x v="68"/>
    <x v="0"/>
    <n v="4"/>
    <d v="2024-07-24T00:00:00"/>
    <d v="2024-08-10T00:00:00"/>
    <n v="1"/>
    <n v="36333.339999999997"/>
    <s v="Diabetes"/>
    <s v="Recovered"/>
    <n v="17"/>
    <s v="High"/>
    <s v="low risk"/>
  </r>
  <r>
    <n v="111"/>
    <x v="99"/>
    <x v="69"/>
    <x v="1"/>
    <n v="5"/>
    <d v="2026-05-02T00:00:00"/>
    <d v="2026-05-27T00:00:00"/>
    <n v="5"/>
    <n v="62827.86"/>
    <s v="Heart Disease"/>
    <s v="Readmitted"/>
    <n v="25"/>
    <s v="High"/>
    <s v="High Risk"/>
  </r>
  <r>
    <n v="112"/>
    <x v="100"/>
    <x v="19"/>
    <x v="0"/>
    <n v="5"/>
    <d v="2026-09-12T00:00:00"/>
    <d v="2026-09-30T00:00:00"/>
    <n v="2"/>
    <n v="119639.48"/>
    <s v="Hypertension"/>
    <s v="Improved"/>
    <n v="18"/>
    <s v="High"/>
    <s v="High Risk"/>
  </r>
  <r>
    <n v="113"/>
    <x v="101"/>
    <x v="42"/>
    <x v="0"/>
    <n v="6"/>
    <d v="2023-11-12T00:00:00"/>
    <d v="2023-11-29T00:00:00"/>
    <n v="3"/>
    <n v="69454.78"/>
    <s v="Asthma"/>
    <s v="Ongoing Treatment"/>
    <n v="17"/>
    <s v="High"/>
    <s v="High Risk"/>
  </r>
  <r>
    <n v="114"/>
    <x v="102"/>
    <x v="70"/>
    <x v="1"/>
    <n v="10"/>
    <d v="2024-02-24T00:00:00"/>
    <d v="2024-03-02T00:00:00"/>
    <n v="5"/>
    <n v="75412.58"/>
    <s v="Heart Disease"/>
    <s v="Readmitted"/>
    <n v="7"/>
    <s v="High"/>
    <s v="High Risk"/>
  </r>
  <r>
    <n v="115"/>
    <x v="103"/>
    <x v="71"/>
    <x v="0"/>
    <n v="7"/>
    <d v="2025-09-21T00:00:00"/>
    <d v="2025-10-16T00:00:00"/>
    <n v="4"/>
    <n v="176595.22"/>
    <s v="Pneumonia"/>
    <s v="Referred"/>
    <n v="25"/>
    <s v="High"/>
    <s v="High Risk"/>
  </r>
  <r>
    <n v="116"/>
    <x v="104"/>
    <x v="17"/>
    <x v="0"/>
    <n v="2"/>
    <d v="2026-09-27T00:00:00"/>
    <d v="2026-10-11T00:00:00"/>
    <n v="1"/>
    <n v="164103.4"/>
    <s v="Diabetes"/>
    <s v="Recovered"/>
    <n v="14"/>
    <s v="High"/>
    <s v="low risk"/>
  </r>
  <r>
    <n v="117"/>
    <x v="105"/>
    <x v="36"/>
    <x v="1"/>
    <n v="2"/>
    <d v="2024-08-19T00:00:00"/>
    <d v="2024-09-13T00:00:00"/>
    <n v="6"/>
    <n v="62594.62"/>
    <s v="Kidney Disease"/>
    <s v="Deceased"/>
    <n v="25"/>
    <s v="High"/>
    <s v="High Risk"/>
  </r>
  <r>
    <n v="118"/>
    <x v="106"/>
    <x v="64"/>
    <x v="0"/>
    <n v="6"/>
    <d v="2025-07-07T00:00:00"/>
    <d v="2025-07-29T00:00:00"/>
    <n v="5"/>
    <n v="89110.68"/>
    <s v="Heart Disease"/>
    <s v="Readmitted"/>
    <n v="22"/>
    <s v="High"/>
    <s v="High Risk"/>
  </r>
  <r>
    <n v="119"/>
    <x v="30"/>
    <x v="60"/>
    <x v="1"/>
    <n v="4"/>
    <d v="2025-07-16T00:00:00"/>
    <d v="2025-08-06T00:00:00"/>
    <n v="5"/>
    <n v="179543.1"/>
    <s v="Heart Disease"/>
    <s v="Readmitted"/>
    <n v="21"/>
    <s v="High"/>
    <s v="High Risk"/>
  </r>
  <r>
    <n v="120"/>
    <x v="107"/>
    <x v="72"/>
    <x v="1"/>
    <n v="8"/>
    <d v="2022-12-07T00:00:00"/>
    <d v="2022-12-29T00:00:00"/>
    <n v="1"/>
    <n v="7638.14"/>
    <s v="Diabetes"/>
    <s v="Recovered"/>
    <n v="22"/>
    <s v="High"/>
    <s v="low risk"/>
  </r>
  <r>
    <n v="121"/>
    <x v="108"/>
    <x v="13"/>
    <x v="0"/>
    <n v="6"/>
    <d v="2024-06-01T00:00:00"/>
    <d v="2024-06-05T00:00:00"/>
    <n v="1"/>
    <n v="75639.19"/>
    <s v="Diabetes"/>
    <s v="Recovered"/>
    <n v="4"/>
    <s v="High"/>
    <s v="low risk"/>
  </r>
  <r>
    <n v="122"/>
    <x v="109"/>
    <x v="14"/>
    <x v="1"/>
    <n v="10"/>
    <d v="2024-02-23T00:00:00"/>
    <d v="2024-03-13T00:00:00"/>
    <n v="3"/>
    <n v="90835.94"/>
    <s v="Asthma"/>
    <s v="Ongoing Treatment"/>
    <n v="19"/>
    <s v="High"/>
    <s v="High Risk"/>
  </r>
  <r>
    <n v="123"/>
    <x v="110"/>
    <x v="73"/>
    <x v="0"/>
    <n v="5"/>
    <d v="2024-07-30T00:00:00"/>
    <d v="2024-08-07T00:00:00"/>
    <n v="3"/>
    <n v="162056.26"/>
    <s v="Asthma"/>
    <s v="Ongoing Treatment"/>
    <n v="8"/>
    <s v="High"/>
    <s v="High Risk"/>
  </r>
  <r>
    <n v="124"/>
    <x v="29"/>
    <x v="62"/>
    <x v="1"/>
    <n v="2"/>
    <d v="2024-06-23T00:00:00"/>
    <d v="2024-07-23T00:00:00"/>
    <n v="1"/>
    <n v="106793.98"/>
    <s v="Diabetes"/>
    <s v="Recovered"/>
    <n v="30"/>
    <s v="High"/>
    <s v="High Risk"/>
  </r>
  <r>
    <n v="125"/>
    <x v="111"/>
    <x v="65"/>
    <x v="0"/>
    <n v="4"/>
    <d v="2024-02-27T00:00:00"/>
    <d v="2024-03-25T00:00:00"/>
    <n v="2"/>
    <n v="44604.01"/>
    <s v="Hypertension"/>
    <s v="Improved"/>
    <n v="27"/>
    <s v="High"/>
    <s v="High Risk"/>
  </r>
  <r>
    <n v="126"/>
    <x v="112"/>
    <x v="74"/>
    <x v="0"/>
    <n v="5"/>
    <d v="2022-02-14T00:00:00"/>
    <d v="2022-03-12T00:00:00"/>
    <n v="3"/>
    <n v="51220.27"/>
    <s v="Asthma"/>
    <s v="Ongoing Treatment"/>
    <n v="26"/>
    <s v="High"/>
    <s v="High Risk"/>
  </r>
  <r>
    <n v="127"/>
    <x v="113"/>
    <x v="41"/>
    <x v="0"/>
    <n v="5"/>
    <d v="2026-05-08T00:00:00"/>
    <d v="2026-06-02T00:00:00"/>
    <n v="1"/>
    <n v="144842.92000000001"/>
    <s v="Diabetes"/>
    <s v="Recovered"/>
    <n v="25"/>
    <s v="High"/>
    <s v="High Risk"/>
  </r>
  <r>
    <n v="128"/>
    <x v="54"/>
    <x v="60"/>
    <x v="0"/>
    <n v="3"/>
    <d v="2025-07-10T00:00:00"/>
    <d v="2025-07-13T00:00:00"/>
    <n v="5"/>
    <n v="117225.46"/>
    <s v="Heart Disease"/>
    <s v="Readmitted"/>
    <n v="3"/>
    <s v="High"/>
    <s v="High Risk"/>
  </r>
  <r>
    <n v="129"/>
    <x v="114"/>
    <x v="75"/>
    <x v="0"/>
    <n v="3"/>
    <d v="2022-07-04T00:00:00"/>
    <d v="2022-08-02T00:00:00"/>
    <n v="1"/>
    <n v="135177.85"/>
    <s v="Diabetes"/>
    <s v="Recovered"/>
    <n v="29"/>
    <s v="High"/>
    <s v="low risk"/>
  </r>
  <r>
    <n v="130"/>
    <x v="79"/>
    <x v="17"/>
    <x v="0"/>
    <n v="9"/>
    <d v="2024-10-24T00:00:00"/>
    <d v="2024-11-22T00:00:00"/>
    <n v="1"/>
    <n v="31706.63"/>
    <s v="Diabetes"/>
    <s v="Recovered"/>
    <n v="29"/>
    <s v="High"/>
    <s v="low risk"/>
  </r>
  <r>
    <n v="131"/>
    <x v="115"/>
    <x v="3"/>
    <x v="1"/>
    <n v="8"/>
    <d v="2022-06-04T00:00:00"/>
    <d v="2022-06-08T00:00:00"/>
    <n v="3"/>
    <n v="42546.61"/>
    <s v="Asthma"/>
    <s v="Ongoing Treatment"/>
    <n v="4"/>
    <s v="High"/>
    <s v="High Risk"/>
  </r>
  <r>
    <n v="132"/>
    <x v="116"/>
    <x v="76"/>
    <x v="1"/>
    <n v="7"/>
    <d v="2022-01-29T00:00:00"/>
    <d v="2022-02-06T00:00:00"/>
    <n v="2"/>
    <n v="83224.52"/>
    <s v="Hypertension"/>
    <s v="Improved"/>
    <n v="8"/>
    <s v="High"/>
    <s v="High Risk"/>
  </r>
  <r>
    <n v="133"/>
    <x v="117"/>
    <x v="49"/>
    <x v="0"/>
    <n v="2"/>
    <d v="2025-10-14T00:00:00"/>
    <d v="2025-10-21T00:00:00"/>
    <n v="2"/>
    <n v="112469.57"/>
    <s v="Hypertension"/>
    <s v="Improved"/>
    <n v="7"/>
    <s v="High"/>
    <s v="High Risk"/>
  </r>
  <r>
    <n v="134"/>
    <x v="118"/>
    <x v="77"/>
    <x v="1"/>
    <n v="2"/>
    <d v="2025-07-25T00:00:00"/>
    <d v="2025-08-20T00:00:00"/>
    <n v="2"/>
    <n v="126941.2"/>
    <s v="Hypertension"/>
    <s v="Improved"/>
    <n v="26"/>
    <s v="High"/>
    <s v="High Risk"/>
  </r>
  <r>
    <n v="135"/>
    <x v="119"/>
    <x v="69"/>
    <x v="1"/>
    <n v="1"/>
    <d v="2023-09-16T00:00:00"/>
    <d v="2023-10-01T00:00:00"/>
    <n v="1"/>
    <n v="44177.01"/>
    <s v="Diabetes"/>
    <s v="Recovered"/>
    <n v="15"/>
    <s v="High"/>
    <s v="low risk"/>
  </r>
  <r>
    <n v="136"/>
    <x v="19"/>
    <x v="78"/>
    <x v="0"/>
    <n v="6"/>
    <d v="2025-10-05T00:00:00"/>
    <d v="2025-11-04T00:00:00"/>
    <n v="3"/>
    <n v="170410.4"/>
    <s v="Asthma"/>
    <s v="Ongoing Treatment"/>
    <n v="30"/>
    <s v="High"/>
    <s v="High Risk"/>
  </r>
  <r>
    <n v="137"/>
    <x v="120"/>
    <x v="6"/>
    <x v="1"/>
    <n v="7"/>
    <d v="2025-09-03T00:00:00"/>
    <d v="2025-09-06T00:00:00"/>
    <n v="4"/>
    <n v="111778.27"/>
    <s v="Pneumonia"/>
    <s v="Referred"/>
    <n v="3"/>
    <s v="High"/>
    <s v="High Risk"/>
  </r>
  <r>
    <n v="138"/>
    <x v="121"/>
    <x v="61"/>
    <x v="0"/>
    <n v="4"/>
    <d v="2024-06-27T00:00:00"/>
    <d v="2024-07-11T00:00:00"/>
    <n v="6"/>
    <n v="154342.41"/>
    <s v="Kidney Disease"/>
    <s v="Deceased"/>
    <n v="14"/>
    <s v="High"/>
    <s v="High Risk"/>
  </r>
  <r>
    <n v="139"/>
    <x v="122"/>
    <x v="15"/>
    <x v="0"/>
    <n v="1"/>
    <d v="2024-03-26T00:00:00"/>
    <d v="2024-04-03T00:00:00"/>
    <n v="1"/>
    <n v="24183.35"/>
    <s v="Diabetes"/>
    <s v="Recovered"/>
    <n v="8"/>
    <s v="High"/>
    <s v="High Risk"/>
  </r>
  <r>
    <n v="140"/>
    <x v="89"/>
    <x v="43"/>
    <x v="1"/>
    <n v="10"/>
    <d v="2022-02-13T00:00:00"/>
    <d v="2022-02-14T00:00:00"/>
    <n v="4"/>
    <n v="45733.48"/>
    <s v="Pneumonia"/>
    <s v="Referred"/>
    <n v="1"/>
    <s v="High"/>
    <s v="High Risk"/>
  </r>
  <r>
    <n v="141"/>
    <x v="123"/>
    <x v="79"/>
    <x v="1"/>
    <n v="9"/>
    <d v="2023-03-01T00:00:00"/>
    <d v="2023-03-19T00:00:00"/>
    <n v="1"/>
    <n v="156870.94"/>
    <s v="Diabetes"/>
    <s v="Recovered"/>
    <n v="18"/>
    <s v="High"/>
    <s v="low risk"/>
  </r>
  <r>
    <n v="142"/>
    <x v="124"/>
    <x v="80"/>
    <x v="1"/>
    <n v="5"/>
    <d v="2022-10-24T00:00:00"/>
    <d v="2022-10-28T00:00:00"/>
    <n v="2"/>
    <n v="144236.20000000001"/>
    <s v="Hypertension"/>
    <s v="Improved"/>
    <n v="4"/>
    <s v="High"/>
    <s v="High Risk"/>
  </r>
  <r>
    <n v="143"/>
    <x v="0"/>
    <x v="17"/>
    <x v="1"/>
    <n v="6"/>
    <d v="2026-06-06T00:00:00"/>
    <d v="2026-07-01T00:00:00"/>
    <n v="1"/>
    <n v="59969.43"/>
    <s v="Diabetes"/>
    <s v="Recovered"/>
    <n v="25"/>
    <s v="High"/>
    <s v="low risk"/>
  </r>
  <r>
    <n v="144"/>
    <x v="125"/>
    <x v="66"/>
    <x v="1"/>
    <n v="7"/>
    <d v="2024-12-13T00:00:00"/>
    <d v="2024-12-16T00:00:00"/>
    <n v="3"/>
    <n v="87033.66"/>
    <s v="Asthma"/>
    <s v="Ongoing Treatment"/>
    <n v="3"/>
    <s v="High"/>
    <s v="High Risk"/>
  </r>
  <r>
    <n v="145"/>
    <x v="126"/>
    <x v="1"/>
    <x v="1"/>
    <n v="8"/>
    <d v="2024-10-28T00:00:00"/>
    <d v="2024-11-04T00:00:00"/>
    <n v="5"/>
    <n v="10197.290000000001"/>
    <s v="Heart Disease"/>
    <s v="Readmitted"/>
    <n v="7"/>
    <s v="High"/>
    <s v="High Risk"/>
  </r>
  <r>
    <n v="146"/>
    <x v="127"/>
    <x v="65"/>
    <x v="1"/>
    <n v="1"/>
    <d v="2024-09-07T00:00:00"/>
    <d v="2024-10-04T00:00:00"/>
    <n v="2"/>
    <n v="124282.31"/>
    <s v="Hypertension"/>
    <s v="Improved"/>
    <n v="27"/>
    <s v="High"/>
    <s v="High Risk"/>
  </r>
  <r>
    <n v="147"/>
    <x v="76"/>
    <x v="34"/>
    <x v="1"/>
    <n v="6"/>
    <d v="2025-05-30T00:00:00"/>
    <d v="2025-06-03T00:00:00"/>
    <n v="1"/>
    <n v="51315.34"/>
    <s v="Diabetes"/>
    <s v="Recovered"/>
    <n v="4"/>
    <s v="High"/>
    <s v="low risk"/>
  </r>
  <r>
    <n v="148"/>
    <x v="128"/>
    <x v="81"/>
    <x v="0"/>
    <n v="7"/>
    <d v="2025-05-08T00:00:00"/>
    <d v="2025-05-24T00:00:00"/>
    <n v="1"/>
    <n v="92235.32"/>
    <s v="Diabetes"/>
    <s v="Recovered"/>
    <n v="16"/>
    <s v="High"/>
    <s v="High Risk"/>
  </r>
  <r>
    <n v="149"/>
    <x v="129"/>
    <x v="70"/>
    <x v="1"/>
    <n v="9"/>
    <d v="2026-01-16T00:00:00"/>
    <d v="2026-02-12T00:00:00"/>
    <n v="1"/>
    <n v="82651"/>
    <s v="Diabetes"/>
    <s v="Recovered"/>
    <n v="27"/>
    <s v="High"/>
    <s v="High Risk"/>
  </r>
  <r>
    <n v="150"/>
    <x v="130"/>
    <x v="3"/>
    <x v="0"/>
    <n v="7"/>
    <d v="2024-05-01T00:00:00"/>
    <d v="2024-05-24T00:00:00"/>
    <n v="1"/>
    <n v="78250.61"/>
    <s v="Diabetes"/>
    <s v="Recovered"/>
    <n v="23"/>
    <s v="High"/>
    <s v="low risk"/>
  </r>
  <r>
    <n v="151"/>
    <x v="131"/>
    <x v="50"/>
    <x v="0"/>
    <n v="2"/>
    <d v="2022-07-06T00:00:00"/>
    <d v="2022-08-01T00:00:00"/>
    <n v="1"/>
    <n v="79158.080000000002"/>
    <s v="Diabetes"/>
    <s v="Recovered"/>
    <n v="26"/>
    <s v="High"/>
    <s v="low risk"/>
  </r>
  <r>
    <n v="152"/>
    <x v="132"/>
    <x v="82"/>
    <x v="1"/>
    <n v="10"/>
    <d v="2025-02-24T00:00:00"/>
    <d v="2025-03-13T00:00:00"/>
    <n v="1"/>
    <n v="24196.05"/>
    <s v="Diabetes"/>
    <s v="Recovered"/>
    <n v="17"/>
    <s v="High"/>
    <s v="High Risk"/>
  </r>
  <r>
    <n v="153"/>
    <x v="133"/>
    <x v="48"/>
    <x v="1"/>
    <n v="5"/>
    <d v="2025-05-14T00:00:00"/>
    <d v="2025-05-23T00:00:00"/>
    <n v="2"/>
    <n v="105080.54"/>
    <s v="Hypertension"/>
    <s v="Improved"/>
    <n v="9"/>
    <s v="High"/>
    <s v="High Risk"/>
  </r>
  <r>
    <n v="154"/>
    <x v="134"/>
    <x v="43"/>
    <x v="0"/>
    <n v="4"/>
    <d v="2022-08-10T00:00:00"/>
    <d v="2022-08-21T00:00:00"/>
    <n v="4"/>
    <n v="67742.09"/>
    <s v="Pneumonia"/>
    <s v="Referred"/>
    <n v="11"/>
    <s v="High"/>
    <s v="High Risk"/>
  </r>
  <r>
    <n v="155"/>
    <x v="135"/>
    <x v="59"/>
    <x v="0"/>
    <n v="9"/>
    <d v="2026-04-21T00:00:00"/>
    <d v="2026-05-17T00:00:00"/>
    <n v="2"/>
    <n v="122308.37"/>
    <s v="Hypertension"/>
    <s v="Improved"/>
    <n v="26"/>
    <s v="High"/>
    <s v="High Risk"/>
  </r>
  <r>
    <n v="156"/>
    <x v="136"/>
    <x v="41"/>
    <x v="0"/>
    <n v="1"/>
    <d v="2023-01-05T00:00:00"/>
    <d v="2023-01-13T00:00:00"/>
    <n v="3"/>
    <n v="57344.78"/>
    <s v="Asthma"/>
    <s v="Ongoing Treatment"/>
    <n v="8"/>
    <s v="High"/>
    <s v="High Risk"/>
  </r>
  <r>
    <n v="157"/>
    <x v="137"/>
    <x v="19"/>
    <x v="1"/>
    <n v="3"/>
    <d v="2025-03-05T00:00:00"/>
    <d v="2025-03-26T00:00:00"/>
    <n v="2"/>
    <n v="27682.75"/>
    <s v="Hypertension"/>
    <s v="Improved"/>
    <n v="21"/>
    <s v="High"/>
    <s v="High Risk"/>
  </r>
  <r>
    <n v="158"/>
    <x v="138"/>
    <x v="83"/>
    <x v="1"/>
    <n v="7"/>
    <d v="2024-05-09T00:00:00"/>
    <d v="2024-05-23T00:00:00"/>
    <n v="1"/>
    <n v="68184.42"/>
    <s v="Diabetes"/>
    <s v="Recovered"/>
    <n v="14"/>
    <s v="High"/>
    <s v="High Risk"/>
  </r>
  <r>
    <n v="159"/>
    <x v="139"/>
    <x v="80"/>
    <x v="1"/>
    <n v="1"/>
    <d v="2022-11-15T00:00:00"/>
    <d v="2022-11-20T00:00:00"/>
    <n v="3"/>
    <n v="11332.84"/>
    <s v="Asthma"/>
    <s v="Ongoing Treatment"/>
    <n v="5"/>
    <s v="High"/>
    <s v="High Risk"/>
  </r>
  <r>
    <n v="160"/>
    <x v="140"/>
    <x v="46"/>
    <x v="0"/>
    <n v="8"/>
    <d v="2025-05-28T00:00:00"/>
    <d v="2025-06-11T00:00:00"/>
    <n v="2"/>
    <n v="40763.49"/>
    <s v="Hypertension"/>
    <s v="Improved"/>
    <n v="14"/>
    <s v="High"/>
    <s v="High Risk"/>
  </r>
  <r>
    <n v="161"/>
    <x v="141"/>
    <x v="39"/>
    <x v="0"/>
    <n v="2"/>
    <d v="2023-08-04T00:00:00"/>
    <d v="2023-08-25T00:00:00"/>
    <n v="3"/>
    <n v="88877.31"/>
    <s v="Asthma"/>
    <s v="Ongoing Treatment"/>
    <n v="21"/>
    <s v="High"/>
    <s v="High Risk"/>
  </r>
  <r>
    <n v="162"/>
    <x v="142"/>
    <x v="59"/>
    <x v="0"/>
    <n v="10"/>
    <d v="2022-04-23T00:00:00"/>
    <d v="2022-04-23T00:00:00"/>
    <n v="1"/>
    <n v="170295.03"/>
    <s v="Diabetes"/>
    <s v="Recovered"/>
    <n v="0"/>
    <s v="High"/>
    <s v="low risk"/>
  </r>
  <r>
    <n v="163"/>
    <x v="81"/>
    <x v="13"/>
    <x v="0"/>
    <n v="2"/>
    <d v="2022-01-16T00:00:00"/>
    <d v="2022-01-31T00:00:00"/>
    <n v="3"/>
    <n v="33685.83"/>
    <s v="Asthma"/>
    <s v="Ongoing Treatment"/>
    <n v="15"/>
    <s v="High"/>
    <s v="High Risk"/>
  </r>
  <r>
    <n v="164"/>
    <x v="143"/>
    <x v="71"/>
    <x v="1"/>
    <n v="9"/>
    <d v="2025-02-18T00:00:00"/>
    <d v="2025-03-16T00:00:00"/>
    <n v="3"/>
    <n v="65364.67"/>
    <s v="Asthma"/>
    <s v="Ongoing Treatment"/>
    <n v="26"/>
    <s v="High"/>
    <s v="High Risk"/>
  </r>
  <r>
    <n v="165"/>
    <x v="144"/>
    <x v="54"/>
    <x v="1"/>
    <n v="8"/>
    <d v="2022-06-09T00:00:00"/>
    <d v="2022-07-06T00:00:00"/>
    <n v="1"/>
    <n v="78697.960000000006"/>
    <s v="Diabetes"/>
    <s v="Recovered"/>
    <n v="27"/>
    <s v="High"/>
    <s v="low risk"/>
  </r>
  <r>
    <n v="166"/>
    <x v="145"/>
    <x v="13"/>
    <x v="1"/>
    <n v="7"/>
    <d v="2022-02-12T00:00:00"/>
    <d v="2022-03-14T00:00:00"/>
    <n v="1"/>
    <n v="144734.68"/>
    <s v="Diabetes"/>
    <s v="Recovered"/>
    <n v="30"/>
    <s v="High"/>
    <s v="low risk"/>
  </r>
  <r>
    <n v="167"/>
    <x v="146"/>
    <x v="61"/>
    <x v="0"/>
    <n v="2"/>
    <d v="2024-06-13T00:00:00"/>
    <d v="2024-07-10T00:00:00"/>
    <n v="1"/>
    <n v="79832.58"/>
    <s v="Diabetes"/>
    <s v="Recovered"/>
    <n v="27"/>
    <s v="High"/>
    <s v="High Risk"/>
  </r>
  <r>
    <n v="168"/>
    <x v="147"/>
    <x v="5"/>
    <x v="0"/>
    <n v="5"/>
    <d v="2026-03-08T00:00:00"/>
    <d v="2026-03-18T00:00:00"/>
    <n v="1"/>
    <n v="140793.42000000001"/>
    <s v="Diabetes"/>
    <s v="Recovered"/>
    <n v="10"/>
    <s v="High"/>
    <s v="low risk"/>
  </r>
  <r>
    <n v="169"/>
    <x v="23"/>
    <x v="84"/>
    <x v="1"/>
    <n v="9"/>
    <d v="2024-11-10T00:00:00"/>
    <d v="2024-11-16T00:00:00"/>
    <n v="5"/>
    <n v="64514.11"/>
    <s v="Heart Disease"/>
    <s v="Readmitted"/>
    <n v="6"/>
    <s v="High"/>
    <s v="High Risk"/>
  </r>
  <r>
    <n v="170"/>
    <x v="148"/>
    <x v="52"/>
    <x v="1"/>
    <n v="5"/>
    <d v="2023-02-09T00:00:00"/>
    <d v="2023-02-14T00:00:00"/>
    <n v="2"/>
    <n v="137438.21"/>
    <s v="Hypertension"/>
    <s v="Improved"/>
    <n v="5"/>
    <s v="High"/>
    <s v="High Risk"/>
  </r>
  <r>
    <n v="171"/>
    <x v="149"/>
    <x v="11"/>
    <x v="0"/>
    <n v="8"/>
    <d v="2026-03-26T00:00:00"/>
    <d v="2026-04-13T00:00:00"/>
    <n v="3"/>
    <n v="82180.679999999993"/>
    <s v="Asthma"/>
    <s v="Ongoing Treatment"/>
    <n v="18"/>
    <s v="High"/>
    <s v="High Risk"/>
  </r>
  <r>
    <n v="172"/>
    <x v="150"/>
    <x v="85"/>
    <x v="0"/>
    <n v="3"/>
    <d v="2024-06-19T00:00:00"/>
    <d v="2024-06-21T00:00:00"/>
    <n v="2"/>
    <n v="114570.86"/>
    <s v="Hypertension"/>
    <s v="Improved"/>
    <n v="2"/>
    <s v="High"/>
    <s v="High Risk"/>
  </r>
  <r>
    <n v="173"/>
    <x v="135"/>
    <x v="16"/>
    <x v="0"/>
    <n v="9"/>
    <d v="2022-06-01T00:00:00"/>
    <d v="2022-06-10T00:00:00"/>
    <n v="2"/>
    <n v="9175.2900000000009"/>
    <s v="Hypertension"/>
    <s v="Improved"/>
    <n v="9"/>
    <s v="High"/>
    <s v="High Risk"/>
  </r>
  <r>
    <n v="174"/>
    <x v="151"/>
    <x v="34"/>
    <x v="1"/>
    <n v="10"/>
    <d v="2025-05-01T00:00:00"/>
    <d v="2025-05-17T00:00:00"/>
    <n v="2"/>
    <n v="105508.47"/>
    <s v="Hypertension"/>
    <s v="Improved"/>
    <n v="16"/>
    <s v="High"/>
    <s v="High Risk"/>
  </r>
  <r>
    <n v="175"/>
    <x v="152"/>
    <x v="74"/>
    <x v="1"/>
    <n v="6"/>
    <d v="2025-05-24T00:00:00"/>
    <d v="2025-06-08T00:00:00"/>
    <n v="2"/>
    <n v="172495.72"/>
    <s v="Hypertension"/>
    <s v="Improved"/>
    <n v="15"/>
    <s v="High"/>
    <s v="High Risk"/>
  </r>
  <r>
    <n v="176"/>
    <x v="153"/>
    <x v="3"/>
    <x v="1"/>
    <n v="9"/>
    <d v="2025-08-16T00:00:00"/>
    <d v="2025-08-21T00:00:00"/>
    <n v="1"/>
    <n v="128102.85"/>
    <s v="Diabetes"/>
    <s v="Recovered"/>
    <n v="5"/>
    <s v="High"/>
    <s v="low risk"/>
  </r>
  <r>
    <n v="177"/>
    <x v="154"/>
    <x v="28"/>
    <x v="1"/>
    <n v="6"/>
    <d v="2024-02-03T00:00:00"/>
    <d v="2024-03-03T00:00:00"/>
    <n v="1"/>
    <n v="75056.570000000007"/>
    <s v="Diabetes"/>
    <s v="Recovered"/>
    <n v="29"/>
    <s v="High"/>
    <s v="High Risk"/>
  </r>
  <r>
    <n v="178"/>
    <x v="155"/>
    <x v="66"/>
    <x v="0"/>
    <n v="2"/>
    <d v="2023-11-07T00:00:00"/>
    <d v="2023-11-10T00:00:00"/>
    <n v="2"/>
    <n v="71115.149999999994"/>
    <s v="Hypertension"/>
    <s v="Improved"/>
    <n v="3"/>
    <s v="High"/>
    <s v="High Risk"/>
  </r>
  <r>
    <n v="179"/>
    <x v="156"/>
    <x v="50"/>
    <x v="0"/>
    <n v="2"/>
    <d v="2025-04-08T00:00:00"/>
    <d v="2025-04-29T00:00:00"/>
    <n v="1"/>
    <n v="64593.19"/>
    <s v="Diabetes"/>
    <s v="Recovered"/>
    <n v="21"/>
    <s v="High"/>
    <s v="low risk"/>
  </r>
  <r>
    <n v="180"/>
    <x v="34"/>
    <x v="80"/>
    <x v="1"/>
    <n v="5"/>
    <d v="2025-02-18T00:00:00"/>
    <d v="2025-03-02T00:00:00"/>
    <n v="2"/>
    <n v="60804.59"/>
    <s v="Hypertension"/>
    <s v="Improved"/>
    <n v="12"/>
    <s v="High"/>
    <s v="High Risk"/>
  </r>
  <r>
    <n v="181"/>
    <x v="157"/>
    <x v="86"/>
    <x v="0"/>
    <n v="9"/>
    <d v="2024-01-12T00:00:00"/>
    <d v="2024-01-12T00:00:00"/>
    <n v="2"/>
    <n v="34496.67"/>
    <s v="Hypertension"/>
    <s v="Improved"/>
    <n v="0"/>
    <s v="High"/>
    <s v="High Risk"/>
  </r>
  <r>
    <n v="182"/>
    <x v="158"/>
    <x v="33"/>
    <x v="1"/>
    <n v="4"/>
    <d v="2022-10-09T00:00:00"/>
    <d v="2022-10-13T00:00:00"/>
    <n v="1"/>
    <n v="152386.04"/>
    <s v="Diabetes"/>
    <s v="Recovered"/>
    <n v="4"/>
    <s v="High"/>
    <s v="low risk"/>
  </r>
  <r>
    <n v="183"/>
    <x v="159"/>
    <x v="15"/>
    <x v="1"/>
    <n v="6"/>
    <d v="2026-04-19T00:00:00"/>
    <d v="2026-05-08T00:00:00"/>
    <n v="1"/>
    <n v="69367.78"/>
    <s v="Diabetes"/>
    <s v="Recovered"/>
    <n v="19"/>
    <s v="High"/>
    <s v="High Risk"/>
  </r>
  <r>
    <n v="184"/>
    <x v="43"/>
    <x v="61"/>
    <x v="1"/>
    <n v="8"/>
    <d v="2022-03-31T00:00:00"/>
    <d v="2022-04-13T00:00:00"/>
    <n v="2"/>
    <n v="130226.46"/>
    <s v="Hypertension"/>
    <s v="Improved"/>
    <n v="13"/>
    <s v="High"/>
    <s v="High Risk"/>
  </r>
  <r>
    <n v="185"/>
    <x v="160"/>
    <x v="44"/>
    <x v="0"/>
    <n v="4"/>
    <d v="2024-12-29T00:00:00"/>
    <d v="2025-01-05T00:00:00"/>
    <n v="1"/>
    <n v="146030.74"/>
    <s v="Diabetes"/>
    <s v="Recovered"/>
    <n v="7"/>
    <s v="High"/>
    <s v="low risk"/>
  </r>
  <r>
    <n v="186"/>
    <x v="28"/>
    <x v="51"/>
    <x v="0"/>
    <n v="8"/>
    <d v="2026-04-25T00:00:00"/>
    <d v="2026-05-04T00:00:00"/>
    <n v="4"/>
    <n v="91765.94"/>
    <s v="Pneumonia"/>
    <s v="Referred"/>
    <n v="9"/>
    <s v="High"/>
    <s v="High Risk"/>
  </r>
  <r>
    <n v="187"/>
    <x v="161"/>
    <x v="2"/>
    <x v="1"/>
    <n v="5"/>
    <d v="2022-04-17T00:00:00"/>
    <d v="2022-05-07T00:00:00"/>
    <n v="2"/>
    <n v="68390.149999999994"/>
    <s v="Hypertension"/>
    <s v="Improved"/>
    <n v="20"/>
    <s v="High"/>
    <s v="High Risk"/>
  </r>
  <r>
    <n v="188"/>
    <x v="159"/>
    <x v="18"/>
    <x v="0"/>
    <n v="2"/>
    <d v="2026-04-12T00:00:00"/>
    <d v="2026-04-17T00:00:00"/>
    <n v="1"/>
    <n v="163191.85"/>
    <s v="Diabetes"/>
    <s v="Recovered"/>
    <n v="5"/>
    <s v="High"/>
    <s v="low risk"/>
  </r>
  <r>
    <n v="189"/>
    <x v="162"/>
    <x v="86"/>
    <x v="1"/>
    <n v="8"/>
    <d v="2023-12-17T00:00:00"/>
    <d v="2024-01-15T00:00:00"/>
    <n v="1"/>
    <n v="11953.1"/>
    <s v="Diabetes"/>
    <s v="Recovered"/>
    <n v="29"/>
    <s v="High"/>
    <s v="low risk"/>
  </r>
  <r>
    <n v="190"/>
    <x v="163"/>
    <x v="20"/>
    <x v="0"/>
    <n v="2"/>
    <d v="2024-02-07T00:00:00"/>
    <d v="2024-02-14T00:00:00"/>
    <n v="1"/>
    <n v="167721.60000000001"/>
    <s v="Diabetes"/>
    <s v="Recovered"/>
    <n v="7"/>
    <s v="High"/>
    <s v="low risk"/>
  </r>
  <r>
    <n v="191"/>
    <x v="124"/>
    <x v="69"/>
    <x v="1"/>
    <n v="5"/>
    <d v="2026-08-27T00:00:00"/>
    <d v="2026-09-11T00:00:00"/>
    <n v="3"/>
    <n v="27135.7"/>
    <s v="Asthma"/>
    <s v="Ongoing Treatment"/>
    <n v="15"/>
    <s v="High"/>
    <s v="High Risk"/>
  </r>
  <r>
    <n v="192"/>
    <x v="72"/>
    <x v="77"/>
    <x v="1"/>
    <n v="2"/>
    <d v="2022-02-08T00:00:00"/>
    <d v="2022-02-16T00:00:00"/>
    <n v="1"/>
    <n v="29039.73"/>
    <s v="Diabetes"/>
    <s v="Recovered"/>
    <n v="8"/>
    <s v="High"/>
    <s v="High Risk"/>
  </r>
  <r>
    <n v="193"/>
    <x v="99"/>
    <x v="22"/>
    <x v="1"/>
    <n v="5"/>
    <d v="2023-05-02T00:00:00"/>
    <d v="2023-05-11T00:00:00"/>
    <n v="1"/>
    <n v="44823.01"/>
    <s v="Diabetes"/>
    <s v="Recovered"/>
    <n v="9"/>
    <s v="High"/>
    <s v="low risk"/>
  </r>
  <r>
    <n v="194"/>
    <x v="146"/>
    <x v="47"/>
    <x v="1"/>
    <n v="8"/>
    <d v="2025-05-07T00:00:00"/>
    <d v="2025-05-24T00:00:00"/>
    <n v="1"/>
    <n v="93979.19"/>
    <s v="Diabetes"/>
    <s v="Recovered"/>
    <n v="17"/>
    <s v="High"/>
    <s v="low risk"/>
  </r>
  <r>
    <n v="195"/>
    <x v="164"/>
    <x v="13"/>
    <x v="0"/>
    <n v="1"/>
    <d v="2025-06-13T00:00:00"/>
    <d v="2025-06-24T00:00:00"/>
    <n v="1"/>
    <n v="76440.75"/>
    <s v="Diabetes"/>
    <s v="Recovered"/>
    <n v="11"/>
    <s v="High"/>
    <s v="low risk"/>
  </r>
  <r>
    <n v="196"/>
    <x v="165"/>
    <x v="76"/>
    <x v="1"/>
    <n v="9"/>
    <d v="2025-01-19T00:00:00"/>
    <d v="2025-02-04T00:00:00"/>
    <n v="4"/>
    <n v="92603.01"/>
    <s v="Pneumonia"/>
    <s v="Referred"/>
    <n v="16"/>
    <s v="High"/>
    <s v="High Risk"/>
  </r>
  <r>
    <n v="197"/>
    <x v="166"/>
    <x v="21"/>
    <x v="1"/>
    <n v="7"/>
    <d v="2024-02-04T00:00:00"/>
    <d v="2024-02-12T00:00:00"/>
    <n v="3"/>
    <n v="65884.160000000003"/>
    <s v="Asthma"/>
    <s v="Ongoing Treatment"/>
    <n v="8"/>
    <s v="High"/>
    <s v="High Risk"/>
  </r>
  <r>
    <n v="198"/>
    <x v="167"/>
    <x v="20"/>
    <x v="1"/>
    <n v="10"/>
    <d v="2026-02-14T00:00:00"/>
    <d v="2026-03-10T00:00:00"/>
    <n v="1"/>
    <n v="10369.58"/>
    <s v="Diabetes"/>
    <s v="Recovered"/>
    <n v="24"/>
    <s v="High"/>
    <s v="low risk"/>
  </r>
  <r>
    <n v="199"/>
    <x v="168"/>
    <x v="87"/>
    <x v="1"/>
    <n v="8"/>
    <d v="2025-11-25T00:00:00"/>
    <d v="2025-12-10T00:00:00"/>
    <n v="2"/>
    <n v="146540.84"/>
    <s v="Hypertension"/>
    <s v="Improved"/>
    <n v="15"/>
    <s v="High"/>
    <s v="High Risk"/>
  </r>
  <r>
    <n v="200"/>
    <x v="169"/>
    <x v="75"/>
    <x v="0"/>
    <n v="4"/>
    <d v="2022-03-31T00:00:00"/>
    <d v="2022-04-25T00:00:00"/>
    <n v="1"/>
    <n v="9938.2999999999993"/>
    <s v="Diabetes"/>
    <s v="Recovered"/>
    <n v="25"/>
    <s v="High"/>
    <s v="low risk"/>
  </r>
  <r>
    <n v="201"/>
    <x v="170"/>
    <x v="88"/>
    <x v="0"/>
    <n v="5"/>
    <d v="2022-03-16T00:00:00"/>
    <d v="2022-04-09T00:00:00"/>
    <n v="2"/>
    <n v="53284.68"/>
    <s v="Hypertension"/>
    <s v="Improved"/>
    <n v="24"/>
    <s v="High"/>
    <s v="High Risk"/>
  </r>
  <r>
    <n v="202"/>
    <x v="171"/>
    <x v="32"/>
    <x v="1"/>
    <n v="6"/>
    <d v="2024-06-13T00:00:00"/>
    <d v="2024-07-11T00:00:00"/>
    <n v="2"/>
    <n v="80553.25"/>
    <s v="Hypertension"/>
    <s v="Improved"/>
    <n v="28"/>
    <s v="High"/>
    <s v="High Risk"/>
  </r>
  <r>
    <n v="203"/>
    <x v="172"/>
    <x v="63"/>
    <x v="0"/>
    <n v="8"/>
    <d v="2024-01-23T00:00:00"/>
    <d v="2024-02-21T00:00:00"/>
    <n v="4"/>
    <n v="49842.92"/>
    <s v="Pneumonia"/>
    <s v="Referred"/>
    <n v="29"/>
    <s v="High"/>
    <s v="High Risk"/>
  </r>
  <r>
    <n v="204"/>
    <x v="107"/>
    <x v="5"/>
    <x v="0"/>
    <n v="10"/>
    <d v="2026-08-12T00:00:00"/>
    <d v="2026-08-17T00:00:00"/>
    <n v="2"/>
    <n v="59515.03"/>
    <s v="Hypertension"/>
    <s v="Improved"/>
    <n v="5"/>
    <s v="High"/>
    <s v="High Risk"/>
  </r>
  <r>
    <n v="205"/>
    <x v="173"/>
    <x v="43"/>
    <x v="0"/>
    <n v="5"/>
    <d v="2024-07-02T00:00:00"/>
    <d v="2024-07-21T00:00:00"/>
    <n v="3"/>
    <n v="32079.45"/>
    <s v="Asthma"/>
    <s v="Ongoing Treatment"/>
    <n v="19"/>
    <s v="High"/>
    <s v="High Risk"/>
  </r>
  <r>
    <n v="206"/>
    <x v="174"/>
    <x v="89"/>
    <x v="1"/>
    <n v="6"/>
    <d v="2025-06-13T00:00:00"/>
    <d v="2025-06-26T00:00:00"/>
    <n v="1"/>
    <n v="176454.84"/>
    <s v="Diabetes"/>
    <s v="Recovered"/>
    <n v="13"/>
    <s v="High"/>
    <s v="low risk"/>
  </r>
  <r>
    <n v="207"/>
    <x v="175"/>
    <x v="29"/>
    <x v="0"/>
    <n v="6"/>
    <d v="2024-11-16T00:00:00"/>
    <d v="2024-12-11T00:00:00"/>
    <n v="3"/>
    <n v="30897.64"/>
    <s v="Asthma"/>
    <s v="Ongoing Treatment"/>
    <n v="25"/>
    <s v="High"/>
    <s v="High Risk"/>
  </r>
  <r>
    <n v="208"/>
    <x v="176"/>
    <x v="41"/>
    <x v="0"/>
    <n v="1"/>
    <d v="2022-09-16T00:00:00"/>
    <d v="2022-09-18T00:00:00"/>
    <n v="1"/>
    <n v="117016.41"/>
    <s v="Diabetes"/>
    <s v="Recovered"/>
    <n v="2"/>
    <s v="High"/>
    <s v="High Risk"/>
  </r>
  <r>
    <n v="209"/>
    <x v="177"/>
    <x v="27"/>
    <x v="1"/>
    <n v="10"/>
    <d v="2022-11-11T00:00:00"/>
    <d v="2022-12-02T00:00:00"/>
    <n v="2"/>
    <n v="68346.2"/>
    <s v="Hypertension"/>
    <s v="Improved"/>
    <n v="21"/>
    <s v="High"/>
    <s v="High Risk"/>
  </r>
  <r>
    <n v="210"/>
    <x v="178"/>
    <x v="74"/>
    <x v="1"/>
    <n v="9"/>
    <d v="2024-01-22T00:00:00"/>
    <d v="2024-02-03T00:00:00"/>
    <n v="1"/>
    <n v="51967.43"/>
    <s v="Diabetes"/>
    <s v="Recovered"/>
    <n v="12"/>
    <s v="High"/>
    <s v="High Risk"/>
  </r>
  <r>
    <n v="211"/>
    <x v="0"/>
    <x v="0"/>
    <x v="1"/>
    <n v="8"/>
    <d v="2024-11-26T00:00:00"/>
    <d v="2024-12-08T00:00:00"/>
    <n v="5"/>
    <n v="23402.58"/>
    <s v="Heart Disease"/>
    <s v="Readmitted"/>
    <n v="12"/>
    <s v="High"/>
    <s v="High Risk"/>
  </r>
  <r>
    <n v="212"/>
    <x v="179"/>
    <x v="8"/>
    <x v="0"/>
    <n v="8"/>
    <d v="2023-02-14T00:00:00"/>
    <d v="2023-02-17T00:00:00"/>
    <n v="1"/>
    <n v="15644.24"/>
    <s v="Diabetes"/>
    <s v="Recovered"/>
    <n v="3"/>
    <s v="High"/>
    <s v="low risk"/>
  </r>
  <r>
    <n v="213"/>
    <x v="180"/>
    <x v="86"/>
    <x v="0"/>
    <n v="6"/>
    <d v="2025-12-24T00:00:00"/>
    <d v="2025-12-26T00:00:00"/>
    <n v="2"/>
    <n v="54039.31"/>
    <s v="Hypertension"/>
    <s v="Improved"/>
    <n v="2"/>
    <s v="High"/>
    <s v="High Risk"/>
  </r>
  <r>
    <n v="214"/>
    <x v="181"/>
    <x v="81"/>
    <x v="1"/>
    <n v="6"/>
    <d v="2024-11-07T00:00:00"/>
    <d v="2024-11-14T00:00:00"/>
    <n v="1"/>
    <n v="38174.019999999997"/>
    <s v="Diabetes"/>
    <s v="Recovered"/>
    <n v="7"/>
    <s v="High"/>
    <s v="High Risk"/>
  </r>
  <r>
    <n v="215"/>
    <x v="182"/>
    <x v="90"/>
    <x v="1"/>
    <n v="6"/>
    <d v="2025-02-08T00:00:00"/>
    <d v="2025-02-26T00:00:00"/>
    <n v="2"/>
    <n v="145149.96"/>
    <s v="Hypertension"/>
    <s v="Improved"/>
    <n v="18"/>
    <s v="High"/>
    <s v="High Risk"/>
  </r>
  <r>
    <n v="216"/>
    <x v="38"/>
    <x v="77"/>
    <x v="1"/>
    <n v="2"/>
    <d v="2023-09-26T00:00:00"/>
    <d v="2023-10-08T00:00:00"/>
    <n v="6"/>
    <n v="130099.36"/>
    <s v="Kidney Disease"/>
    <s v="Deceased"/>
    <n v="12"/>
    <s v="High"/>
    <s v="High Risk"/>
  </r>
  <r>
    <n v="217"/>
    <x v="183"/>
    <x v="36"/>
    <x v="1"/>
    <n v="3"/>
    <d v="2023-10-12T00:00:00"/>
    <d v="2023-11-01T00:00:00"/>
    <n v="1"/>
    <n v="85185.39"/>
    <s v="Diabetes"/>
    <s v="Recovered"/>
    <n v="20"/>
    <s v="High"/>
    <s v="low risk"/>
  </r>
  <r>
    <n v="218"/>
    <x v="184"/>
    <x v="17"/>
    <x v="1"/>
    <n v="3"/>
    <d v="2024-06-05T00:00:00"/>
    <d v="2024-06-21T00:00:00"/>
    <n v="5"/>
    <n v="12335.78"/>
    <s v="Heart Disease"/>
    <s v="Readmitted"/>
    <n v="16"/>
    <s v="High"/>
    <s v="High Risk"/>
  </r>
  <r>
    <n v="219"/>
    <x v="185"/>
    <x v="50"/>
    <x v="0"/>
    <n v="3"/>
    <d v="2022-11-28T00:00:00"/>
    <d v="2022-12-08T00:00:00"/>
    <n v="5"/>
    <n v="42520.98"/>
    <s v="Heart Disease"/>
    <s v="Readmitted"/>
    <n v="10"/>
    <s v="High"/>
    <s v="High Risk"/>
  </r>
  <r>
    <n v="220"/>
    <x v="127"/>
    <x v="5"/>
    <x v="0"/>
    <n v="4"/>
    <d v="2025-07-24T00:00:00"/>
    <d v="2025-08-23T00:00:00"/>
    <n v="2"/>
    <n v="24717.73"/>
    <s v="Hypertension"/>
    <s v="Improved"/>
    <n v="30"/>
    <s v="High"/>
    <s v="High Risk"/>
  </r>
  <r>
    <n v="221"/>
    <x v="91"/>
    <x v="42"/>
    <x v="1"/>
    <n v="9"/>
    <d v="2025-08-05T00:00:00"/>
    <d v="2025-08-10T00:00:00"/>
    <n v="2"/>
    <n v="105564.75"/>
    <s v="Hypertension"/>
    <s v="Improved"/>
    <n v="5"/>
    <s v="High"/>
    <s v="High Risk"/>
  </r>
  <r>
    <n v="222"/>
    <x v="186"/>
    <x v="48"/>
    <x v="0"/>
    <n v="10"/>
    <d v="2022-03-26T00:00:00"/>
    <d v="2022-04-21T00:00:00"/>
    <n v="5"/>
    <n v="16917.060000000001"/>
    <s v="Heart Disease"/>
    <s v="Readmitted"/>
    <n v="26"/>
    <s v="High"/>
    <s v="High Risk"/>
  </r>
  <r>
    <n v="223"/>
    <x v="187"/>
    <x v="24"/>
    <x v="1"/>
    <n v="10"/>
    <d v="2024-05-03T00:00:00"/>
    <d v="2024-05-22T00:00:00"/>
    <n v="2"/>
    <n v="90901.759999999995"/>
    <s v="Hypertension"/>
    <s v="Improved"/>
    <n v="19"/>
    <s v="High"/>
    <s v="High Risk"/>
  </r>
  <r>
    <n v="224"/>
    <x v="188"/>
    <x v="87"/>
    <x v="0"/>
    <n v="8"/>
    <d v="2023-05-17T00:00:00"/>
    <d v="2023-06-11T00:00:00"/>
    <n v="4"/>
    <n v="74581.42"/>
    <s v="Pneumonia"/>
    <s v="Referred"/>
    <n v="25"/>
    <s v="High"/>
    <s v="High Risk"/>
  </r>
  <r>
    <n v="225"/>
    <x v="89"/>
    <x v="61"/>
    <x v="1"/>
    <n v="3"/>
    <d v="2024-06-19T00:00:00"/>
    <d v="2024-07-02T00:00:00"/>
    <n v="2"/>
    <n v="38714.080000000002"/>
    <s v="Hypertension"/>
    <s v="Improved"/>
    <n v="13"/>
    <s v="High"/>
    <s v="High Risk"/>
  </r>
  <r>
    <n v="226"/>
    <x v="189"/>
    <x v="25"/>
    <x v="0"/>
    <n v="6"/>
    <d v="2024-03-27T00:00:00"/>
    <d v="2024-03-31T00:00:00"/>
    <n v="3"/>
    <n v="93908.97"/>
    <s v="Asthma"/>
    <s v="Ongoing Treatment"/>
    <n v="4"/>
    <s v="High"/>
    <s v="High Risk"/>
  </r>
  <r>
    <n v="227"/>
    <x v="190"/>
    <x v="20"/>
    <x v="0"/>
    <n v="2"/>
    <d v="2023-07-02T00:00:00"/>
    <d v="2023-07-16T00:00:00"/>
    <n v="1"/>
    <n v="19684.07"/>
    <s v="Diabetes"/>
    <s v="Recovered"/>
    <n v="14"/>
    <s v="High"/>
    <s v="low risk"/>
  </r>
  <r>
    <n v="228"/>
    <x v="191"/>
    <x v="77"/>
    <x v="0"/>
    <n v="4"/>
    <d v="2022-11-24T00:00:00"/>
    <d v="2022-12-20T00:00:00"/>
    <n v="1"/>
    <n v="105039.45"/>
    <s v="Diabetes"/>
    <s v="Recovered"/>
    <n v="26"/>
    <s v="High"/>
    <s v="High Risk"/>
  </r>
  <r>
    <n v="229"/>
    <x v="102"/>
    <x v="37"/>
    <x v="0"/>
    <n v="9"/>
    <d v="2024-08-14T00:00:00"/>
    <d v="2024-08-29T00:00:00"/>
    <n v="5"/>
    <n v="90783.22"/>
    <s v="Heart Disease"/>
    <s v="Readmitted"/>
    <n v="15"/>
    <s v="High"/>
    <s v="High Risk"/>
  </r>
  <r>
    <n v="230"/>
    <x v="192"/>
    <x v="91"/>
    <x v="0"/>
    <n v="4"/>
    <d v="2023-03-17T00:00:00"/>
    <d v="2023-04-04T00:00:00"/>
    <n v="2"/>
    <n v="11470.92"/>
    <s v="Hypertension"/>
    <s v="Improved"/>
    <n v="18"/>
    <s v="High"/>
    <s v="High Risk"/>
  </r>
  <r>
    <n v="231"/>
    <x v="193"/>
    <x v="24"/>
    <x v="0"/>
    <n v="5"/>
    <d v="2025-01-04T00:00:00"/>
    <d v="2025-01-04T00:00:00"/>
    <n v="4"/>
    <n v="78989.679999999993"/>
    <s v="Pneumonia"/>
    <s v="Referred"/>
    <n v="0"/>
    <s v="High"/>
    <s v="High Risk"/>
  </r>
  <r>
    <n v="232"/>
    <x v="131"/>
    <x v="10"/>
    <x v="0"/>
    <n v="1"/>
    <d v="2024-03-31T00:00:00"/>
    <d v="2024-04-01T00:00:00"/>
    <n v="2"/>
    <n v="37051.32"/>
    <s v="Hypertension"/>
    <s v="Improved"/>
    <n v="1"/>
    <s v="High"/>
    <s v="High Risk"/>
  </r>
  <r>
    <n v="233"/>
    <x v="194"/>
    <x v="34"/>
    <x v="0"/>
    <n v="9"/>
    <d v="2024-07-11T00:00:00"/>
    <d v="2024-08-04T00:00:00"/>
    <n v="2"/>
    <n v="148992.76"/>
    <s v="Hypertension"/>
    <s v="Improved"/>
    <n v="24"/>
    <s v="High"/>
    <s v="High Risk"/>
  </r>
  <r>
    <n v="234"/>
    <x v="195"/>
    <x v="18"/>
    <x v="1"/>
    <n v="2"/>
    <d v="2024-03-17T00:00:00"/>
    <d v="2024-03-28T00:00:00"/>
    <n v="4"/>
    <n v="62687.64"/>
    <s v="Pneumonia"/>
    <s v="Referred"/>
    <n v="11"/>
    <s v="High"/>
    <s v="High Risk"/>
  </r>
  <r>
    <n v="235"/>
    <x v="132"/>
    <x v="2"/>
    <x v="0"/>
    <n v="9"/>
    <d v="2022-03-24T00:00:00"/>
    <d v="2022-03-25T00:00:00"/>
    <n v="1"/>
    <n v="129162.55"/>
    <s v="Diabetes"/>
    <s v="Recovered"/>
    <n v="1"/>
    <s v="High"/>
    <s v="low risk"/>
  </r>
  <r>
    <n v="236"/>
    <x v="196"/>
    <x v="65"/>
    <x v="1"/>
    <n v="10"/>
    <d v="2024-11-21T00:00:00"/>
    <d v="2024-11-25T00:00:00"/>
    <n v="1"/>
    <n v="111319.59"/>
    <s v="Diabetes"/>
    <s v="Recovered"/>
    <n v="4"/>
    <s v="High"/>
    <s v="low risk"/>
  </r>
  <r>
    <n v="237"/>
    <x v="197"/>
    <x v="77"/>
    <x v="0"/>
    <n v="10"/>
    <d v="2023-11-20T00:00:00"/>
    <d v="2023-12-06T00:00:00"/>
    <n v="4"/>
    <n v="96990.32"/>
    <s v="Pneumonia"/>
    <s v="Referred"/>
    <n v="16"/>
    <s v="High"/>
    <s v="High Risk"/>
  </r>
  <r>
    <n v="238"/>
    <x v="198"/>
    <x v="21"/>
    <x v="1"/>
    <n v="6"/>
    <d v="2023-11-10T00:00:00"/>
    <d v="2023-12-01T00:00:00"/>
    <n v="1"/>
    <n v="76435.899999999994"/>
    <s v="Diabetes"/>
    <s v="Recovered"/>
    <n v="21"/>
    <s v="High"/>
    <s v="low risk"/>
  </r>
  <r>
    <n v="239"/>
    <x v="199"/>
    <x v="80"/>
    <x v="0"/>
    <n v="5"/>
    <d v="2025-09-04T00:00:00"/>
    <d v="2025-09-29T00:00:00"/>
    <n v="6"/>
    <n v="105179.19"/>
    <s v="Kidney Disease"/>
    <s v="Deceased"/>
    <n v="25"/>
    <s v="High"/>
    <s v="High Risk"/>
  </r>
  <r>
    <n v="240"/>
    <x v="200"/>
    <x v="40"/>
    <x v="0"/>
    <n v="3"/>
    <d v="2024-12-09T00:00:00"/>
    <d v="2024-12-29T00:00:00"/>
    <n v="3"/>
    <n v="139992.59"/>
    <s v="Asthma"/>
    <s v="Ongoing Treatment"/>
    <n v="20"/>
    <s v="High"/>
    <s v="High Risk"/>
  </r>
  <r>
    <n v="241"/>
    <x v="201"/>
    <x v="7"/>
    <x v="1"/>
    <n v="1"/>
    <d v="2025-03-18T00:00:00"/>
    <d v="2025-04-17T00:00:00"/>
    <n v="3"/>
    <n v="36364.22"/>
    <s v="Asthma"/>
    <s v="Ongoing Treatment"/>
    <n v="30"/>
    <s v="High"/>
    <s v="High Risk"/>
  </r>
  <r>
    <n v="242"/>
    <x v="202"/>
    <x v="53"/>
    <x v="1"/>
    <n v="7"/>
    <d v="2025-11-15T00:00:00"/>
    <d v="2025-11-21T00:00:00"/>
    <n v="2"/>
    <n v="140057.57999999999"/>
    <s v="Hypertension"/>
    <s v="Improved"/>
    <n v="6"/>
    <s v="High"/>
    <s v="High Risk"/>
  </r>
  <r>
    <n v="243"/>
    <x v="203"/>
    <x v="71"/>
    <x v="1"/>
    <n v="9"/>
    <d v="2023-03-01T00:00:00"/>
    <d v="2023-03-18T00:00:00"/>
    <n v="1"/>
    <n v="120045.26"/>
    <s v="Diabetes"/>
    <s v="Recovered"/>
    <n v="17"/>
    <s v="High"/>
    <s v="High Risk"/>
  </r>
  <r>
    <n v="244"/>
    <x v="204"/>
    <x v="25"/>
    <x v="1"/>
    <n v="8"/>
    <d v="2024-12-27T00:00:00"/>
    <d v="2025-01-06T00:00:00"/>
    <n v="2"/>
    <n v="122466.67"/>
    <s v="Hypertension"/>
    <s v="Improved"/>
    <n v="10"/>
    <s v="High"/>
    <s v="High Risk"/>
  </r>
  <r>
    <n v="245"/>
    <x v="156"/>
    <x v="68"/>
    <x v="1"/>
    <n v="4"/>
    <d v="2023-07-26T00:00:00"/>
    <d v="2023-08-12T00:00:00"/>
    <n v="1"/>
    <n v="169613.68"/>
    <s v="Diabetes"/>
    <s v="Recovered"/>
    <n v="17"/>
    <s v="High"/>
    <s v="low risk"/>
  </r>
  <r>
    <n v="246"/>
    <x v="205"/>
    <x v="71"/>
    <x v="1"/>
    <n v="8"/>
    <d v="2023-10-12T00:00:00"/>
    <d v="2023-10-27T00:00:00"/>
    <n v="1"/>
    <n v="168231.82"/>
    <s v="Diabetes"/>
    <s v="Recovered"/>
    <n v="15"/>
    <s v="High"/>
    <s v="High Risk"/>
  </r>
  <r>
    <n v="247"/>
    <x v="78"/>
    <x v="18"/>
    <x v="0"/>
    <n v="7"/>
    <d v="2026-08-04T00:00:00"/>
    <d v="2026-08-15T00:00:00"/>
    <n v="6"/>
    <n v="145319.31"/>
    <s v="Kidney Disease"/>
    <s v="Deceased"/>
    <n v="11"/>
    <s v="High"/>
    <s v="High Risk"/>
  </r>
  <r>
    <n v="248"/>
    <x v="206"/>
    <x v="44"/>
    <x v="1"/>
    <n v="6"/>
    <d v="2024-06-24T00:00:00"/>
    <d v="2024-07-14T00:00:00"/>
    <n v="1"/>
    <n v="87536.57"/>
    <s v="Diabetes"/>
    <s v="Recovered"/>
    <n v="20"/>
    <s v="High"/>
    <s v="low risk"/>
  </r>
  <r>
    <n v="249"/>
    <x v="207"/>
    <x v="32"/>
    <x v="0"/>
    <n v="3"/>
    <d v="2022-08-12T00:00:00"/>
    <d v="2022-08-31T00:00:00"/>
    <n v="3"/>
    <n v="44972.57"/>
    <s v="Asthma"/>
    <s v="Ongoing Treatment"/>
    <n v="19"/>
    <s v="High"/>
    <s v="High Risk"/>
  </r>
  <r>
    <n v="250"/>
    <x v="208"/>
    <x v="59"/>
    <x v="1"/>
    <n v="1"/>
    <d v="2022-07-25T00:00:00"/>
    <d v="2022-08-07T00:00:00"/>
    <n v="1"/>
    <n v="86351.69"/>
    <s v="Diabetes"/>
    <s v="Recovered"/>
    <n v="13"/>
    <s v="High"/>
    <s v="low risk"/>
  </r>
  <r>
    <n v="251"/>
    <x v="209"/>
    <x v="92"/>
    <x v="1"/>
    <n v="7"/>
    <d v="2025-08-30T00:00:00"/>
    <d v="2025-09-28T00:00:00"/>
    <n v="5"/>
    <n v="86936.69"/>
    <s v="Heart Disease"/>
    <s v="Readmitted"/>
    <n v="29"/>
    <s v="High"/>
    <s v="High Risk"/>
  </r>
  <r>
    <n v="252"/>
    <x v="210"/>
    <x v="85"/>
    <x v="0"/>
    <n v="1"/>
    <d v="2026-04-24T00:00:00"/>
    <d v="2026-04-26T00:00:00"/>
    <n v="3"/>
    <n v="43719.09"/>
    <s v="Asthma"/>
    <s v="Ongoing Treatment"/>
    <n v="2"/>
    <s v="High"/>
    <s v="High Risk"/>
  </r>
  <r>
    <n v="253"/>
    <x v="211"/>
    <x v="53"/>
    <x v="1"/>
    <n v="1"/>
    <d v="2026-09-09T00:00:00"/>
    <d v="2026-09-21T00:00:00"/>
    <n v="4"/>
    <n v="35570.31"/>
    <s v="Pneumonia"/>
    <s v="Referred"/>
    <n v="12"/>
    <s v="High"/>
    <s v="High Risk"/>
  </r>
  <r>
    <n v="254"/>
    <x v="206"/>
    <x v="31"/>
    <x v="0"/>
    <n v="10"/>
    <d v="2025-05-19T00:00:00"/>
    <d v="2025-05-22T00:00:00"/>
    <n v="5"/>
    <n v="61969.98"/>
    <s v="Heart Disease"/>
    <s v="Readmitted"/>
    <n v="3"/>
    <s v="High"/>
    <s v="High Risk"/>
  </r>
  <r>
    <n v="255"/>
    <x v="212"/>
    <x v="83"/>
    <x v="0"/>
    <n v="3"/>
    <d v="2024-10-29T00:00:00"/>
    <d v="2024-11-12T00:00:00"/>
    <n v="1"/>
    <n v="146064.46"/>
    <s v="Diabetes"/>
    <s v="Recovered"/>
    <n v="14"/>
    <s v="High"/>
    <s v="High Risk"/>
  </r>
  <r>
    <n v="256"/>
    <x v="213"/>
    <x v="6"/>
    <x v="0"/>
    <n v="5"/>
    <d v="2026-01-11T00:00:00"/>
    <d v="2026-01-16T00:00:00"/>
    <n v="1"/>
    <n v="62337.41"/>
    <s v="Diabetes"/>
    <s v="Recovered"/>
    <n v="5"/>
    <s v="High"/>
    <s v="High Risk"/>
  </r>
  <r>
    <n v="257"/>
    <x v="214"/>
    <x v="62"/>
    <x v="1"/>
    <n v="3"/>
    <d v="2025-06-05T00:00:00"/>
    <d v="2025-07-02T00:00:00"/>
    <n v="2"/>
    <n v="74474.539999999994"/>
    <s v="Hypertension"/>
    <s v="Improved"/>
    <n v="27"/>
    <s v="High"/>
    <s v="High Risk"/>
  </r>
  <r>
    <n v="258"/>
    <x v="215"/>
    <x v="85"/>
    <x v="1"/>
    <n v="7"/>
    <d v="2025-10-02T00:00:00"/>
    <d v="2025-10-05T00:00:00"/>
    <n v="1"/>
    <n v="27458.61"/>
    <s v="Diabetes"/>
    <s v="Recovered"/>
    <n v="3"/>
    <s v="High"/>
    <s v="low risk"/>
  </r>
  <r>
    <n v="259"/>
    <x v="216"/>
    <x v="19"/>
    <x v="0"/>
    <n v="7"/>
    <d v="2023-04-28T00:00:00"/>
    <d v="2023-05-12T00:00:00"/>
    <n v="3"/>
    <n v="171841.18"/>
    <s v="Asthma"/>
    <s v="Ongoing Treatment"/>
    <n v="14"/>
    <s v="High"/>
    <s v="High Risk"/>
  </r>
  <r>
    <n v="260"/>
    <x v="86"/>
    <x v="48"/>
    <x v="1"/>
    <n v="5"/>
    <d v="2025-08-31T00:00:00"/>
    <d v="2025-09-11T00:00:00"/>
    <n v="3"/>
    <n v="13527.07"/>
    <s v="Asthma"/>
    <s v="Ongoing Treatment"/>
    <n v="11"/>
    <s v="High"/>
    <s v="High Risk"/>
  </r>
  <r>
    <n v="261"/>
    <x v="217"/>
    <x v="38"/>
    <x v="1"/>
    <n v="7"/>
    <d v="2025-11-06T00:00:00"/>
    <d v="2025-11-22T00:00:00"/>
    <n v="5"/>
    <n v="160084.75"/>
    <s v="Heart Disease"/>
    <s v="Readmitted"/>
    <n v="16"/>
    <s v="High"/>
    <s v="High Risk"/>
  </r>
  <r>
    <n v="262"/>
    <x v="218"/>
    <x v="84"/>
    <x v="0"/>
    <n v="6"/>
    <d v="2025-06-12T00:00:00"/>
    <d v="2025-06-19T00:00:00"/>
    <n v="1"/>
    <n v="26208.46"/>
    <s v="Diabetes"/>
    <s v="Recovered"/>
    <n v="7"/>
    <s v="High"/>
    <s v="High Risk"/>
  </r>
  <r>
    <n v="263"/>
    <x v="101"/>
    <x v="41"/>
    <x v="0"/>
    <n v="7"/>
    <d v="2025-12-08T00:00:00"/>
    <d v="2025-12-25T00:00:00"/>
    <n v="5"/>
    <n v="136929.72"/>
    <s v="Heart Disease"/>
    <s v="Readmitted"/>
    <n v="17"/>
    <s v="High"/>
    <s v="High Risk"/>
  </r>
  <r>
    <n v="264"/>
    <x v="219"/>
    <x v="7"/>
    <x v="1"/>
    <n v="9"/>
    <d v="2024-07-03T00:00:00"/>
    <d v="2024-07-19T00:00:00"/>
    <n v="3"/>
    <n v="16363.23"/>
    <s v="Asthma"/>
    <s v="Ongoing Treatment"/>
    <n v="16"/>
    <s v="High"/>
    <s v="High Risk"/>
  </r>
  <r>
    <n v="265"/>
    <x v="220"/>
    <x v="16"/>
    <x v="1"/>
    <n v="10"/>
    <d v="2025-01-04T00:00:00"/>
    <d v="2025-01-08T00:00:00"/>
    <n v="1"/>
    <n v="154171.26999999999"/>
    <s v="Diabetes"/>
    <s v="Recovered"/>
    <n v="4"/>
    <s v="High"/>
    <s v="low risk"/>
  </r>
  <r>
    <n v="266"/>
    <x v="153"/>
    <x v="7"/>
    <x v="1"/>
    <n v="10"/>
    <d v="2024-09-28T00:00:00"/>
    <d v="2024-09-30T00:00:00"/>
    <n v="5"/>
    <n v="81573.179999999993"/>
    <s v="Heart Disease"/>
    <s v="Readmitted"/>
    <n v="2"/>
    <s v="High"/>
    <s v="High Risk"/>
  </r>
  <r>
    <n v="267"/>
    <x v="221"/>
    <x v="17"/>
    <x v="0"/>
    <n v="8"/>
    <d v="2025-02-28T00:00:00"/>
    <d v="2025-03-01T00:00:00"/>
    <n v="2"/>
    <n v="121916.27"/>
    <s v="Hypertension"/>
    <s v="Improved"/>
    <n v="1"/>
    <s v="High"/>
    <s v="High Risk"/>
  </r>
  <r>
    <n v="268"/>
    <x v="199"/>
    <x v="88"/>
    <x v="0"/>
    <n v="1"/>
    <d v="2026-03-08T00:00:00"/>
    <d v="2026-03-14T00:00:00"/>
    <n v="2"/>
    <n v="10538.94"/>
    <s v="Hypertension"/>
    <s v="Improved"/>
    <n v="6"/>
    <s v="High"/>
    <s v="High Risk"/>
  </r>
  <r>
    <n v="269"/>
    <x v="36"/>
    <x v="15"/>
    <x v="1"/>
    <n v="2"/>
    <d v="2024-08-24T00:00:00"/>
    <d v="2024-08-25T00:00:00"/>
    <n v="1"/>
    <n v="34446.69"/>
    <s v="Diabetes"/>
    <s v="Recovered"/>
    <n v="1"/>
    <s v="High"/>
    <s v="High Risk"/>
  </r>
  <r>
    <n v="270"/>
    <x v="222"/>
    <x v="51"/>
    <x v="0"/>
    <n v="8"/>
    <d v="2024-02-13T00:00:00"/>
    <d v="2024-02-25T00:00:00"/>
    <n v="1"/>
    <n v="173635.63"/>
    <s v="Diabetes"/>
    <s v="Recovered"/>
    <n v="12"/>
    <s v="High"/>
    <s v="low risk"/>
  </r>
  <r>
    <n v="271"/>
    <x v="19"/>
    <x v="24"/>
    <x v="0"/>
    <n v="2"/>
    <d v="2023-01-01T00:00:00"/>
    <d v="2023-01-18T00:00:00"/>
    <n v="2"/>
    <n v="25104.11"/>
    <s v="Hypertension"/>
    <s v="Improved"/>
    <n v="17"/>
    <s v="High"/>
    <s v="High Risk"/>
  </r>
  <r>
    <n v="272"/>
    <x v="223"/>
    <x v="56"/>
    <x v="0"/>
    <n v="8"/>
    <d v="2025-10-11T00:00:00"/>
    <d v="2025-11-03T00:00:00"/>
    <n v="2"/>
    <n v="96918.22"/>
    <s v="Hypertension"/>
    <s v="Improved"/>
    <n v="23"/>
    <s v="High"/>
    <s v="High Risk"/>
  </r>
  <r>
    <n v="273"/>
    <x v="224"/>
    <x v="65"/>
    <x v="0"/>
    <n v="3"/>
    <d v="2023-07-19T00:00:00"/>
    <d v="2023-07-25T00:00:00"/>
    <n v="5"/>
    <n v="131191.75"/>
    <s v="Heart Disease"/>
    <s v="Readmitted"/>
    <n v="6"/>
    <s v="High"/>
    <s v="High Risk"/>
  </r>
  <r>
    <n v="274"/>
    <x v="225"/>
    <x v="43"/>
    <x v="0"/>
    <n v="10"/>
    <d v="2026-04-18T00:00:00"/>
    <d v="2026-05-17T00:00:00"/>
    <n v="5"/>
    <n v="5277.13"/>
    <s v="Heart Disease"/>
    <s v="Readmitted"/>
    <n v="29"/>
    <s v="High"/>
    <s v="High Risk"/>
  </r>
  <r>
    <n v="275"/>
    <x v="226"/>
    <x v="72"/>
    <x v="1"/>
    <n v="8"/>
    <d v="2025-05-09T00:00:00"/>
    <d v="2025-05-30T00:00:00"/>
    <n v="3"/>
    <n v="11140.05"/>
    <s v="Asthma"/>
    <s v="Ongoing Treatment"/>
    <n v="21"/>
    <s v="High"/>
    <s v="High Risk"/>
  </r>
  <r>
    <n v="276"/>
    <x v="227"/>
    <x v="46"/>
    <x v="1"/>
    <n v="9"/>
    <d v="2023-03-21T00:00:00"/>
    <d v="2023-04-14T00:00:00"/>
    <n v="5"/>
    <n v="12518.82"/>
    <s v="Heart Disease"/>
    <s v="Readmitted"/>
    <n v="24"/>
    <s v="High"/>
    <s v="High Risk"/>
  </r>
  <r>
    <n v="277"/>
    <x v="228"/>
    <x v="73"/>
    <x v="0"/>
    <n v="10"/>
    <d v="2025-05-09T00:00:00"/>
    <d v="2025-06-02T00:00:00"/>
    <n v="3"/>
    <n v="59418.06"/>
    <s v="Asthma"/>
    <s v="Ongoing Treatment"/>
    <n v="24"/>
    <s v="High"/>
    <s v="High Risk"/>
  </r>
  <r>
    <n v="278"/>
    <x v="229"/>
    <x v="43"/>
    <x v="1"/>
    <n v="7"/>
    <d v="2023-09-08T00:00:00"/>
    <d v="2023-09-16T00:00:00"/>
    <n v="1"/>
    <n v="170862.35"/>
    <s v="Diabetes"/>
    <s v="Recovered"/>
    <n v="8"/>
    <s v="High"/>
    <s v="High Risk"/>
  </r>
  <r>
    <n v="279"/>
    <x v="230"/>
    <x v="82"/>
    <x v="0"/>
    <n v="1"/>
    <d v="2023-12-07T00:00:00"/>
    <d v="2024-01-06T00:00:00"/>
    <n v="2"/>
    <n v="70154.95"/>
    <s v="Hypertension"/>
    <s v="Improved"/>
    <n v="30"/>
    <s v="High"/>
    <s v="High Risk"/>
  </r>
  <r>
    <n v="280"/>
    <x v="231"/>
    <x v="70"/>
    <x v="0"/>
    <n v="7"/>
    <d v="2022-11-02T00:00:00"/>
    <d v="2022-11-11T00:00:00"/>
    <n v="2"/>
    <n v="136408.85999999999"/>
    <s v="Hypertension"/>
    <s v="Improved"/>
    <n v="9"/>
    <s v="High"/>
    <s v="High Risk"/>
  </r>
  <r>
    <n v="281"/>
    <x v="232"/>
    <x v="59"/>
    <x v="0"/>
    <n v="3"/>
    <d v="2026-07-09T00:00:00"/>
    <d v="2026-07-23T00:00:00"/>
    <n v="5"/>
    <n v="102323.51"/>
    <s v="Heart Disease"/>
    <s v="Readmitted"/>
    <n v="14"/>
    <s v="High"/>
    <s v="High Risk"/>
  </r>
  <r>
    <n v="282"/>
    <x v="233"/>
    <x v="83"/>
    <x v="1"/>
    <n v="7"/>
    <d v="2023-05-13T00:00:00"/>
    <d v="2023-05-21T00:00:00"/>
    <n v="1"/>
    <n v="117290.29"/>
    <s v="Diabetes"/>
    <s v="Recovered"/>
    <n v="8"/>
    <s v="High"/>
    <s v="High Risk"/>
  </r>
  <r>
    <n v="283"/>
    <x v="174"/>
    <x v="86"/>
    <x v="1"/>
    <n v="1"/>
    <d v="2023-07-04T00:00:00"/>
    <d v="2023-07-16T00:00:00"/>
    <n v="3"/>
    <n v="109518.66"/>
    <s v="Asthma"/>
    <s v="Ongoing Treatment"/>
    <n v="12"/>
    <s v="High"/>
    <s v="High Risk"/>
  </r>
  <r>
    <n v="284"/>
    <x v="234"/>
    <x v="1"/>
    <x v="1"/>
    <n v="8"/>
    <d v="2023-03-04T00:00:00"/>
    <d v="2023-03-31T00:00:00"/>
    <n v="5"/>
    <n v="56315.87"/>
    <s v="Heart Disease"/>
    <s v="Readmitted"/>
    <n v="27"/>
    <s v="High"/>
    <s v="High Risk"/>
  </r>
  <r>
    <n v="285"/>
    <x v="235"/>
    <x v="57"/>
    <x v="1"/>
    <n v="8"/>
    <d v="2023-05-12T00:00:00"/>
    <d v="2023-06-03T00:00:00"/>
    <n v="2"/>
    <n v="38801.08"/>
    <s v="Hypertension"/>
    <s v="Improved"/>
    <n v="22"/>
    <s v="High"/>
    <s v="High Risk"/>
  </r>
  <r>
    <n v="286"/>
    <x v="236"/>
    <x v="85"/>
    <x v="0"/>
    <n v="7"/>
    <d v="2024-08-12T00:00:00"/>
    <d v="2024-08-29T00:00:00"/>
    <n v="2"/>
    <n v="57244.959999999999"/>
    <s v="Hypertension"/>
    <s v="Improved"/>
    <n v="17"/>
    <s v="High"/>
    <s v="High Risk"/>
  </r>
  <r>
    <n v="287"/>
    <x v="126"/>
    <x v="90"/>
    <x v="0"/>
    <n v="2"/>
    <d v="2026-07-03T00:00:00"/>
    <d v="2026-07-26T00:00:00"/>
    <n v="2"/>
    <n v="151552.28"/>
    <s v="Hypertension"/>
    <s v="Improved"/>
    <n v="23"/>
    <s v="High"/>
    <s v="High Risk"/>
  </r>
  <r>
    <n v="288"/>
    <x v="74"/>
    <x v="25"/>
    <x v="0"/>
    <n v="1"/>
    <d v="2025-02-26T00:00:00"/>
    <d v="2025-03-25T00:00:00"/>
    <n v="1"/>
    <n v="28401.279999999999"/>
    <s v="Diabetes"/>
    <s v="Recovered"/>
    <n v="27"/>
    <s v="High"/>
    <s v="low risk"/>
  </r>
  <r>
    <n v="289"/>
    <x v="237"/>
    <x v="40"/>
    <x v="0"/>
    <n v="5"/>
    <d v="2022-11-09T00:00:00"/>
    <d v="2022-11-15T00:00:00"/>
    <n v="1"/>
    <n v="69921.56"/>
    <s v="Diabetes"/>
    <s v="Recovered"/>
    <n v="6"/>
    <s v="High"/>
    <s v="High Risk"/>
  </r>
  <r>
    <n v="290"/>
    <x v="238"/>
    <x v="92"/>
    <x v="0"/>
    <n v="5"/>
    <d v="2026-04-13T00:00:00"/>
    <d v="2026-05-09T00:00:00"/>
    <n v="2"/>
    <n v="130931.54"/>
    <s v="Hypertension"/>
    <s v="Improved"/>
    <n v="26"/>
    <s v="High"/>
    <s v="High Risk"/>
  </r>
  <r>
    <n v="291"/>
    <x v="76"/>
    <x v="93"/>
    <x v="0"/>
    <n v="3"/>
    <d v="2022-10-14T00:00:00"/>
    <d v="2022-11-06T00:00:00"/>
    <n v="2"/>
    <n v="35168.480000000003"/>
    <s v="Hypertension"/>
    <s v="Improved"/>
    <n v="23"/>
    <s v="High"/>
    <s v="High Risk"/>
  </r>
  <r>
    <n v="292"/>
    <x v="30"/>
    <x v="83"/>
    <x v="1"/>
    <n v="2"/>
    <d v="2026-08-03T00:00:00"/>
    <d v="2026-08-24T00:00:00"/>
    <n v="1"/>
    <n v="3633.13"/>
    <s v="Diabetes"/>
    <s v="Recovered"/>
    <n v="21"/>
    <s v="High"/>
    <s v="High Risk"/>
  </r>
  <r>
    <n v="293"/>
    <x v="182"/>
    <x v="47"/>
    <x v="1"/>
    <n v="1"/>
    <d v="2023-03-24T00:00:00"/>
    <d v="2023-04-09T00:00:00"/>
    <n v="2"/>
    <n v="13229.9"/>
    <s v="Hypertension"/>
    <s v="Improved"/>
    <n v="16"/>
    <s v="High"/>
    <s v="High Risk"/>
  </r>
  <r>
    <n v="294"/>
    <x v="239"/>
    <x v="43"/>
    <x v="0"/>
    <n v="1"/>
    <d v="2022-01-14T00:00:00"/>
    <d v="2022-01-31T00:00:00"/>
    <n v="2"/>
    <n v="4603.55"/>
    <s v="Hypertension"/>
    <s v="Improved"/>
    <n v="17"/>
    <s v="High"/>
    <s v="High Risk"/>
  </r>
  <r>
    <n v="295"/>
    <x v="240"/>
    <x v="42"/>
    <x v="0"/>
    <n v="1"/>
    <d v="2024-10-25T00:00:00"/>
    <d v="2024-11-20T00:00:00"/>
    <n v="3"/>
    <n v="78926.740000000005"/>
    <s v="Asthma"/>
    <s v="Ongoing Treatment"/>
    <n v="26"/>
    <s v="High"/>
    <s v="High Risk"/>
  </r>
  <r>
    <n v="296"/>
    <x v="241"/>
    <x v="72"/>
    <x v="1"/>
    <n v="4"/>
    <d v="2023-01-29T00:00:00"/>
    <d v="2023-02-17T00:00:00"/>
    <n v="2"/>
    <n v="147200.54999999999"/>
    <s v="Hypertension"/>
    <s v="Improved"/>
    <n v="19"/>
    <s v="High"/>
    <s v="High Risk"/>
  </r>
  <r>
    <n v="297"/>
    <x v="242"/>
    <x v="5"/>
    <x v="0"/>
    <n v="7"/>
    <d v="2024-07-29T00:00:00"/>
    <d v="2024-08-16T00:00:00"/>
    <n v="1"/>
    <n v="126259.45"/>
    <s v="Diabetes"/>
    <s v="Recovered"/>
    <n v="18"/>
    <s v="High"/>
    <s v="low risk"/>
  </r>
  <r>
    <n v="298"/>
    <x v="243"/>
    <x v="24"/>
    <x v="1"/>
    <n v="2"/>
    <d v="2024-04-10T00:00:00"/>
    <d v="2024-04-22T00:00:00"/>
    <n v="2"/>
    <n v="86990.91"/>
    <s v="Hypertension"/>
    <s v="Improved"/>
    <n v="12"/>
    <s v="High"/>
    <s v="High Risk"/>
  </r>
  <r>
    <n v="299"/>
    <x v="244"/>
    <x v="5"/>
    <x v="0"/>
    <n v="7"/>
    <d v="2025-08-13T00:00:00"/>
    <d v="2025-09-07T00:00:00"/>
    <n v="1"/>
    <n v="175975.94"/>
    <s v="Diabetes"/>
    <s v="Recovered"/>
    <n v="25"/>
    <s v="High"/>
    <s v="low risk"/>
  </r>
  <r>
    <n v="300"/>
    <x v="159"/>
    <x v="35"/>
    <x v="1"/>
    <n v="4"/>
    <d v="2025-11-18T00:00:00"/>
    <d v="2025-12-16T00:00:00"/>
    <n v="2"/>
    <n v="50619.37"/>
    <s v="Hypertension"/>
    <s v="Improved"/>
    <n v="28"/>
    <s v="High"/>
    <s v="High Risk"/>
  </r>
  <r>
    <n v="301"/>
    <x v="46"/>
    <x v="15"/>
    <x v="1"/>
    <n v="3"/>
    <d v="2023-10-07T00:00:00"/>
    <d v="2023-10-07T00:00:00"/>
    <n v="6"/>
    <n v="106698.91"/>
    <s v="Kidney Disease"/>
    <s v="Deceased"/>
    <n v="0"/>
    <s v="High"/>
    <s v="High Risk"/>
  </r>
  <r>
    <n v="302"/>
    <x v="106"/>
    <x v="94"/>
    <x v="1"/>
    <n v="10"/>
    <d v="2023-05-08T00:00:00"/>
    <d v="2023-05-26T00:00:00"/>
    <n v="4"/>
    <n v="71575.3"/>
    <s v="Pneumonia"/>
    <s v="Referred"/>
    <n v="18"/>
    <s v="High"/>
    <s v="High Risk"/>
  </r>
  <r>
    <n v="303"/>
    <x v="168"/>
    <x v="78"/>
    <x v="1"/>
    <n v="2"/>
    <d v="2024-10-22T00:00:00"/>
    <d v="2024-11-14T00:00:00"/>
    <n v="6"/>
    <n v="12031.12"/>
    <s v="Kidney Disease"/>
    <s v="Deceased"/>
    <n v="23"/>
    <s v="High"/>
    <s v="High Risk"/>
  </r>
  <r>
    <n v="304"/>
    <x v="245"/>
    <x v="34"/>
    <x v="0"/>
    <n v="10"/>
    <d v="2026-04-24T00:00:00"/>
    <d v="2026-05-13T00:00:00"/>
    <n v="6"/>
    <n v="72914.789999999994"/>
    <s v="Kidney Disease"/>
    <s v="Deceased"/>
    <n v="19"/>
    <s v="High"/>
    <s v="High Risk"/>
  </r>
  <r>
    <n v="305"/>
    <x v="246"/>
    <x v="84"/>
    <x v="0"/>
    <n v="8"/>
    <d v="2024-10-01T00:00:00"/>
    <d v="2024-10-08T00:00:00"/>
    <n v="2"/>
    <n v="169552.85"/>
    <s v="Hypertension"/>
    <s v="Improved"/>
    <n v="7"/>
    <s v="High"/>
    <s v="High Risk"/>
  </r>
  <r>
    <n v="306"/>
    <x v="27"/>
    <x v="7"/>
    <x v="0"/>
    <n v="2"/>
    <d v="2026-05-01T00:00:00"/>
    <d v="2026-05-20T00:00:00"/>
    <n v="1"/>
    <n v="46244.84"/>
    <s v="Diabetes"/>
    <s v="Recovered"/>
    <n v="19"/>
    <s v="High"/>
    <s v="High Risk"/>
  </r>
  <r>
    <n v="307"/>
    <x v="247"/>
    <x v="32"/>
    <x v="1"/>
    <n v="7"/>
    <d v="2025-12-28T00:00:00"/>
    <d v="2026-01-22T00:00:00"/>
    <n v="2"/>
    <n v="133788.81"/>
    <s v="Hypertension"/>
    <s v="Improved"/>
    <n v="25"/>
    <s v="High"/>
    <s v="High Risk"/>
  </r>
  <r>
    <n v="308"/>
    <x v="248"/>
    <x v="52"/>
    <x v="1"/>
    <n v="1"/>
    <d v="2023-09-24T00:00:00"/>
    <d v="2023-10-08T00:00:00"/>
    <n v="2"/>
    <n v="50383.54"/>
    <s v="Hypertension"/>
    <s v="Improved"/>
    <n v="14"/>
    <s v="High"/>
    <s v="High Risk"/>
  </r>
  <r>
    <n v="309"/>
    <x v="249"/>
    <x v="63"/>
    <x v="0"/>
    <n v="8"/>
    <d v="2025-02-14T00:00:00"/>
    <d v="2025-03-03T00:00:00"/>
    <n v="2"/>
    <n v="20834.490000000002"/>
    <s v="Hypertension"/>
    <s v="Improved"/>
    <n v="17"/>
    <s v="High"/>
    <s v="High Risk"/>
  </r>
  <r>
    <n v="310"/>
    <x v="250"/>
    <x v="92"/>
    <x v="1"/>
    <n v="10"/>
    <d v="2025-05-09T00:00:00"/>
    <d v="2025-06-03T00:00:00"/>
    <n v="1"/>
    <n v="70879.73"/>
    <s v="Diabetes"/>
    <s v="Recovered"/>
    <n v="25"/>
    <s v="High"/>
    <s v="High Risk"/>
  </r>
  <r>
    <n v="311"/>
    <x v="251"/>
    <x v="78"/>
    <x v="1"/>
    <n v="9"/>
    <d v="2023-05-13T00:00:00"/>
    <d v="2023-05-31T00:00:00"/>
    <n v="2"/>
    <n v="124143.59"/>
    <s v="Hypertension"/>
    <s v="Improved"/>
    <n v="18"/>
    <s v="High"/>
    <s v="High Risk"/>
  </r>
  <r>
    <n v="312"/>
    <x v="252"/>
    <x v="32"/>
    <x v="0"/>
    <n v="5"/>
    <d v="2024-10-06T00:00:00"/>
    <d v="2024-10-10T00:00:00"/>
    <n v="1"/>
    <n v="79655.039999999994"/>
    <s v="Diabetes"/>
    <s v="Recovered"/>
    <n v="4"/>
    <s v="High"/>
    <s v="low risk"/>
  </r>
  <r>
    <n v="313"/>
    <x v="253"/>
    <x v="68"/>
    <x v="1"/>
    <n v="6"/>
    <d v="2023-05-31T00:00:00"/>
    <d v="2023-06-30T00:00:00"/>
    <n v="1"/>
    <n v="113443.48"/>
    <s v="Diabetes"/>
    <s v="Recovered"/>
    <n v="30"/>
    <s v="High"/>
    <s v="low risk"/>
  </r>
  <r>
    <n v="314"/>
    <x v="85"/>
    <x v="2"/>
    <x v="0"/>
    <n v="2"/>
    <d v="2022-10-05T00:00:00"/>
    <d v="2022-10-14T00:00:00"/>
    <n v="1"/>
    <n v="72735.33"/>
    <s v="Diabetes"/>
    <s v="Recovered"/>
    <n v="9"/>
    <s v="High"/>
    <s v="low risk"/>
  </r>
  <r>
    <n v="315"/>
    <x v="254"/>
    <x v="64"/>
    <x v="0"/>
    <n v="6"/>
    <d v="2024-05-31T00:00:00"/>
    <d v="2024-06-26T00:00:00"/>
    <n v="4"/>
    <n v="118059.04"/>
    <s v="Pneumonia"/>
    <s v="Referred"/>
    <n v="26"/>
    <s v="High"/>
    <s v="High Risk"/>
  </r>
  <r>
    <n v="316"/>
    <x v="189"/>
    <x v="94"/>
    <x v="0"/>
    <n v="10"/>
    <d v="2025-11-24T00:00:00"/>
    <d v="2025-11-30T00:00:00"/>
    <n v="2"/>
    <n v="34030.620000000003"/>
    <s v="Hypertension"/>
    <s v="Improved"/>
    <n v="6"/>
    <s v="High"/>
    <s v="High Risk"/>
  </r>
  <r>
    <n v="317"/>
    <x v="255"/>
    <x v="13"/>
    <x v="0"/>
    <n v="10"/>
    <d v="2026-05-21T00:00:00"/>
    <d v="2026-05-28T00:00:00"/>
    <n v="1"/>
    <n v="52253.279999999999"/>
    <s v="Diabetes"/>
    <s v="Recovered"/>
    <n v="7"/>
    <s v="High"/>
    <s v="low risk"/>
  </r>
  <r>
    <n v="318"/>
    <x v="256"/>
    <x v="58"/>
    <x v="1"/>
    <n v="10"/>
    <d v="2025-01-22T00:00:00"/>
    <d v="2025-01-27T00:00:00"/>
    <n v="3"/>
    <n v="100142.6"/>
    <s v="Asthma"/>
    <s v="Ongoing Treatment"/>
    <n v="5"/>
    <s v="High"/>
    <s v="High Risk"/>
  </r>
  <r>
    <n v="319"/>
    <x v="257"/>
    <x v="46"/>
    <x v="0"/>
    <n v="2"/>
    <d v="2026-08-05T00:00:00"/>
    <d v="2026-09-01T00:00:00"/>
    <n v="4"/>
    <n v="75122.63"/>
    <s v="Pneumonia"/>
    <s v="Referred"/>
    <n v="27"/>
    <s v="High"/>
    <s v="High Risk"/>
  </r>
  <r>
    <n v="320"/>
    <x v="258"/>
    <x v="84"/>
    <x v="0"/>
    <n v="4"/>
    <d v="2023-06-02T00:00:00"/>
    <d v="2023-06-23T00:00:00"/>
    <n v="1"/>
    <n v="77605.210000000006"/>
    <s v="Diabetes"/>
    <s v="Recovered"/>
    <n v="21"/>
    <s v="High"/>
    <s v="High Risk"/>
  </r>
  <r>
    <n v="321"/>
    <x v="259"/>
    <x v="89"/>
    <x v="0"/>
    <n v="10"/>
    <d v="2024-03-31T00:00:00"/>
    <d v="2024-04-17T00:00:00"/>
    <n v="2"/>
    <n v="165869.60999999999"/>
    <s v="Hypertension"/>
    <s v="Improved"/>
    <n v="17"/>
    <s v="High"/>
    <s v="High Risk"/>
  </r>
  <r>
    <n v="322"/>
    <x v="233"/>
    <x v="75"/>
    <x v="0"/>
    <n v="9"/>
    <d v="2025-05-01T00:00:00"/>
    <d v="2025-05-21T00:00:00"/>
    <n v="5"/>
    <n v="21913.07"/>
    <s v="Heart Disease"/>
    <s v="Readmitted"/>
    <n v="20"/>
    <s v="High"/>
    <s v="High Risk"/>
  </r>
  <r>
    <n v="323"/>
    <x v="260"/>
    <x v="93"/>
    <x v="1"/>
    <n v="10"/>
    <d v="2025-08-14T00:00:00"/>
    <d v="2025-09-04T00:00:00"/>
    <n v="2"/>
    <n v="174108.98"/>
    <s v="Hypertension"/>
    <s v="Improved"/>
    <n v="21"/>
    <s v="High"/>
    <s v="High Risk"/>
  </r>
  <r>
    <n v="324"/>
    <x v="261"/>
    <x v="52"/>
    <x v="1"/>
    <n v="2"/>
    <d v="2023-06-14T00:00:00"/>
    <d v="2023-06-21T00:00:00"/>
    <n v="2"/>
    <n v="94586.6"/>
    <s v="Hypertension"/>
    <s v="Improved"/>
    <n v="7"/>
    <s v="High"/>
    <s v="High Risk"/>
  </r>
  <r>
    <n v="325"/>
    <x v="33"/>
    <x v="59"/>
    <x v="0"/>
    <n v="6"/>
    <d v="2024-03-12T00:00:00"/>
    <d v="2024-03-26T00:00:00"/>
    <n v="4"/>
    <n v="106974.72"/>
    <s v="Pneumonia"/>
    <s v="Referred"/>
    <n v="14"/>
    <s v="High"/>
    <s v="High Risk"/>
  </r>
  <r>
    <n v="326"/>
    <x v="262"/>
    <x v="39"/>
    <x v="1"/>
    <n v="8"/>
    <d v="2022-08-03T00:00:00"/>
    <d v="2022-08-12T00:00:00"/>
    <n v="2"/>
    <n v="173206.7"/>
    <s v="Hypertension"/>
    <s v="Improved"/>
    <n v="9"/>
    <s v="High"/>
    <s v="High Risk"/>
  </r>
  <r>
    <n v="327"/>
    <x v="13"/>
    <x v="39"/>
    <x v="0"/>
    <n v="6"/>
    <d v="2024-07-21T00:00:00"/>
    <d v="2024-08-15T00:00:00"/>
    <n v="1"/>
    <n v="88219.36"/>
    <s v="Diabetes"/>
    <s v="Recovered"/>
    <n v="25"/>
    <s v="High"/>
    <s v="low risk"/>
  </r>
  <r>
    <n v="328"/>
    <x v="263"/>
    <x v="46"/>
    <x v="0"/>
    <n v="6"/>
    <d v="2022-05-18T00:00:00"/>
    <d v="2022-05-27T00:00:00"/>
    <n v="1"/>
    <n v="128663.27"/>
    <s v="Diabetes"/>
    <s v="Recovered"/>
    <n v="9"/>
    <s v="High"/>
    <s v="low risk"/>
  </r>
  <r>
    <n v="329"/>
    <x v="264"/>
    <x v="87"/>
    <x v="1"/>
    <n v="3"/>
    <d v="2026-02-25T00:00:00"/>
    <d v="2026-03-04T00:00:00"/>
    <n v="2"/>
    <n v="100464.08"/>
    <s v="Hypertension"/>
    <s v="Improved"/>
    <n v="7"/>
    <s v="High"/>
    <s v="High Risk"/>
  </r>
  <r>
    <n v="330"/>
    <x v="265"/>
    <x v="22"/>
    <x v="0"/>
    <n v="4"/>
    <d v="2026-06-22T00:00:00"/>
    <d v="2026-07-04T00:00:00"/>
    <n v="2"/>
    <n v="35583.68"/>
    <s v="Hypertension"/>
    <s v="Improved"/>
    <n v="12"/>
    <s v="High"/>
    <s v="High Risk"/>
  </r>
  <r>
    <n v="331"/>
    <x v="266"/>
    <x v="67"/>
    <x v="1"/>
    <n v="8"/>
    <d v="2025-04-27T00:00:00"/>
    <d v="2025-05-10T00:00:00"/>
    <n v="2"/>
    <n v="127590.57"/>
    <s v="Hypertension"/>
    <s v="Improved"/>
    <n v="13"/>
    <s v="High"/>
    <s v="High Risk"/>
  </r>
  <r>
    <n v="332"/>
    <x v="87"/>
    <x v="71"/>
    <x v="1"/>
    <n v="10"/>
    <d v="2022-07-28T00:00:00"/>
    <d v="2022-08-22T00:00:00"/>
    <n v="5"/>
    <n v="35685.370000000003"/>
    <s v="Heart Disease"/>
    <s v="Readmitted"/>
    <n v="25"/>
    <s v="High"/>
    <s v="High Risk"/>
  </r>
  <r>
    <n v="333"/>
    <x v="102"/>
    <x v="65"/>
    <x v="1"/>
    <n v="5"/>
    <d v="2025-10-05T00:00:00"/>
    <d v="2025-11-01T00:00:00"/>
    <n v="2"/>
    <n v="173950.16"/>
    <s v="Hypertension"/>
    <s v="Improved"/>
    <n v="27"/>
    <s v="High"/>
    <s v="High Risk"/>
  </r>
  <r>
    <n v="334"/>
    <x v="93"/>
    <x v="78"/>
    <x v="0"/>
    <n v="10"/>
    <d v="2022-08-22T00:00:00"/>
    <d v="2022-09-02T00:00:00"/>
    <n v="2"/>
    <n v="83770.25"/>
    <s v="Hypertension"/>
    <s v="Improved"/>
    <n v="11"/>
    <s v="High"/>
    <s v="High Risk"/>
  </r>
  <r>
    <n v="335"/>
    <x v="267"/>
    <x v="77"/>
    <x v="1"/>
    <n v="3"/>
    <d v="2023-10-04T00:00:00"/>
    <d v="2023-10-07T00:00:00"/>
    <n v="1"/>
    <n v="23258.43"/>
    <s v="Diabetes"/>
    <s v="Recovered"/>
    <n v="3"/>
    <s v="High"/>
    <s v="High Risk"/>
  </r>
  <r>
    <n v="336"/>
    <x v="132"/>
    <x v="26"/>
    <x v="0"/>
    <n v="7"/>
    <d v="2025-05-06T00:00:00"/>
    <d v="2025-05-10T00:00:00"/>
    <n v="2"/>
    <n v="77589.38"/>
    <s v="Hypertension"/>
    <s v="Improved"/>
    <n v="4"/>
    <s v="High"/>
    <s v="High Risk"/>
  </r>
  <r>
    <n v="337"/>
    <x v="268"/>
    <x v="61"/>
    <x v="1"/>
    <n v="9"/>
    <d v="2022-12-08T00:00:00"/>
    <d v="2022-12-23T00:00:00"/>
    <n v="1"/>
    <n v="35710"/>
    <s v="Diabetes"/>
    <s v="Recovered"/>
    <n v="15"/>
    <s v="High"/>
    <s v="High Risk"/>
  </r>
  <r>
    <n v="338"/>
    <x v="160"/>
    <x v="66"/>
    <x v="0"/>
    <n v="1"/>
    <d v="2024-09-19T00:00:00"/>
    <d v="2024-09-23T00:00:00"/>
    <n v="1"/>
    <n v="70650.09"/>
    <s v="Diabetes"/>
    <s v="Recovered"/>
    <n v="4"/>
    <s v="High"/>
    <s v="low risk"/>
  </r>
  <r>
    <n v="339"/>
    <x v="269"/>
    <x v="24"/>
    <x v="0"/>
    <n v="7"/>
    <d v="2025-11-03T00:00:00"/>
    <d v="2025-11-18T00:00:00"/>
    <n v="2"/>
    <n v="151580.79"/>
    <s v="Hypertension"/>
    <s v="Improved"/>
    <n v="15"/>
    <s v="High"/>
    <s v="High Risk"/>
  </r>
  <r>
    <n v="340"/>
    <x v="270"/>
    <x v="5"/>
    <x v="1"/>
    <n v="4"/>
    <d v="2023-08-22T00:00:00"/>
    <d v="2023-08-23T00:00:00"/>
    <n v="1"/>
    <n v="97925.53"/>
    <s v="Diabetes"/>
    <s v="Recovered"/>
    <n v="1"/>
    <s v="High"/>
    <s v="low risk"/>
  </r>
  <r>
    <n v="341"/>
    <x v="271"/>
    <x v="27"/>
    <x v="0"/>
    <n v="9"/>
    <d v="2024-11-12T00:00:00"/>
    <d v="2024-11-15T00:00:00"/>
    <n v="2"/>
    <n v="50050.28"/>
    <s v="Hypertension"/>
    <s v="Improved"/>
    <n v="3"/>
    <s v="High"/>
    <s v="High Risk"/>
  </r>
  <r>
    <n v="342"/>
    <x v="272"/>
    <x v="15"/>
    <x v="1"/>
    <n v="8"/>
    <d v="2025-01-23T00:00:00"/>
    <d v="2025-01-29T00:00:00"/>
    <n v="6"/>
    <n v="20678.919999999998"/>
    <s v="Kidney Disease"/>
    <s v="Deceased"/>
    <n v="6"/>
    <s v="High"/>
    <s v="High Risk"/>
  </r>
  <r>
    <n v="343"/>
    <x v="273"/>
    <x v="75"/>
    <x v="0"/>
    <n v="5"/>
    <d v="2023-12-15T00:00:00"/>
    <d v="2024-01-11T00:00:00"/>
    <n v="4"/>
    <n v="80434.91"/>
    <s v="Pneumonia"/>
    <s v="Referred"/>
    <n v="27"/>
    <s v="High"/>
    <s v="High Risk"/>
  </r>
  <r>
    <n v="344"/>
    <x v="274"/>
    <x v="79"/>
    <x v="0"/>
    <n v="10"/>
    <d v="2025-07-19T00:00:00"/>
    <d v="2025-08-01T00:00:00"/>
    <n v="1"/>
    <n v="27214.21"/>
    <s v="Diabetes"/>
    <s v="Recovered"/>
    <n v="13"/>
    <s v="High"/>
    <s v="low risk"/>
  </r>
  <r>
    <n v="345"/>
    <x v="275"/>
    <x v="16"/>
    <x v="0"/>
    <n v="9"/>
    <d v="2023-07-30T00:00:00"/>
    <d v="2023-08-18T00:00:00"/>
    <n v="2"/>
    <n v="59948.52"/>
    <s v="Hypertension"/>
    <s v="Improved"/>
    <n v="19"/>
    <s v="High"/>
    <s v="High Risk"/>
  </r>
  <r>
    <n v="346"/>
    <x v="276"/>
    <x v="74"/>
    <x v="0"/>
    <n v="9"/>
    <d v="2025-10-23T00:00:00"/>
    <d v="2025-11-18T00:00:00"/>
    <n v="1"/>
    <n v="173392.03"/>
    <s v="Diabetes"/>
    <s v="Recovered"/>
    <n v="26"/>
    <s v="High"/>
    <s v="High Risk"/>
  </r>
  <r>
    <n v="347"/>
    <x v="277"/>
    <x v="23"/>
    <x v="1"/>
    <n v="3"/>
    <d v="2023-05-27T00:00:00"/>
    <d v="2023-05-31T00:00:00"/>
    <n v="3"/>
    <n v="149555.51999999999"/>
    <s v="Asthma"/>
    <s v="Ongoing Treatment"/>
    <n v="4"/>
    <s v="High"/>
    <s v="High Risk"/>
  </r>
  <r>
    <n v="348"/>
    <x v="278"/>
    <x v="45"/>
    <x v="0"/>
    <n v="7"/>
    <d v="2024-02-08T00:00:00"/>
    <d v="2024-02-22T00:00:00"/>
    <n v="1"/>
    <n v="143541.26"/>
    <s v="Diabetes"/>
    <s v="Recovered"/>
    <n v="14"/>
    <s v="High"/>
    <s v="low risk"/>
  </r>
  <r>
    <n v="349"/>
    <x v="192"/>
    <x v="26"/>
    <x v="0"/>
    <n v="6"/>
    <d v="2024-07-20T00:00:00"/>
    <d v="2024-08-19T00:00:00"/>
    <n v="2"/>
    <n v="105797.11"/>
    <s v="Hypertension"/>
    <s v="Improved"/>
    <n v="30"/>
    <s v="High"/>
    <s v="High Risk"/>
  </r>
  <r>
    <n v="350"/>
    <x v="279"/>
    <x v="84"/>
    <x v="0"/>
    <n v="2"/>
    <d v="2026-06-18T00:00:00"/>
    <d v="2026-07-05T00:00:00"/>
    <n v="2"/>
    <n v="174342.82"/>
    <s v="Hypertension"/>
    <s v="Improved"/>
    <n v="17"/>
    <s v="High"/>
    <s v="High Risk"/>
  </r>
  <r>
    <n v="351"/>
    <x v="280"/>
    <x v="32"/>
    <x v="0"/>
    <n v="5"/>
    <d v="2023-11-23T00:00:00"/>
    <d v="2023-12-10T00:00:00"/>
    <n v="2"/>
    <n v="102990.22"/>
    <s v="Hypertension"/>
    <s v="Improved"/>
    <n v="17"/>
    <s v="High"/>
    <s v="High Risk"/>
  </r>
  <r>
    <n v="352"/>
    <x v="281"/>
    <x v="7"/>
    <x v="1"/>
    <n v="1"/>
    <d v="2022-07-23T00:00:00"/>
    <d v="2022-08-12T00:00:00"/>
    <n v="4"/>
    <n v="84075.76"/>
    <s v="Pneumonia"/>
    <s v="Referred"/>
    <n v="20"/>
    <s v="High"/>
    <s v="High Risk"/>
  </r>
  <r>
    <n v="353"/>
    <x v="282"/>
    <x v="46"/>
    <x v="0"/>
    <n v="1"/>
    <d v="2024-05-26T00:00:00"/>
    <d v="2024-06-01T00:00:00"/>
    <n v="6"/>
    <n v="163919.78"/>
    <s v="Kidney Disease"/>
    <s v="Deceased"/>
    <n v="6"/>
    <s v="High"/>
    <s v="High Risk"/>
  </r>
  <r>
    <n v="354"/>
    <x v="181"/>
    <x v="23"/>
    <x v="1"/>
    <n v="6"/>
    <d v="2023-05-28T00:00:00"/>
    <d v="2023-05-30T00:00:00"/>
    <n v="2"/>
    <n v="162924.54999999999"/>
    <s v="Hypertension"/>
    <s v="Improved"/>
    <n v="2"/>
    <s v="High"/>
    <s v="High Risk"/>
  </r>
  <r>
    <n v="355"/>
    <x v="31"/>
    <x v="88"/>
    <x v="0"/>
    <n v="4"/>
    <d v="2024-05-29T00:00:00"/>
    <d v="2024-06-18T00:00:00"/>
    <n v="1"/>
    <n v="19395.099999999999"/>
    <s v="Diabetes"/>
    <s v="Recovered"/>
    <n v="20"/>
    <s v="High"/>
    <s v="low risk"/>
  </r>
  <r>
    <n v="356"/>
    <x v="280"/>
    <x v="34"/>
    <x v="1"/>
    <n v="10"/>
    <d v="2023-04-09T00:00:00"/>
    <d v="2023-04-25T00:00:00"/>
    <n v="3"/>
    <n v="4148.43"/>
    <s v="Asthma"/>
    <s v="Ongoing Treatment"/>
    <n v="16"/>
    <s v="High"/>
    <s v="High Risk"/>
  </r>
  <r>
    <n v="357"/>
    <x v="15"/>
    <x v="22"/>
    <x v="1"/>
    <n v="8"/>
    <d v="2022-05-26T00:00:00"/>
    <d v="2022-06-02T00:00:00"/>
    <n v="2"/>
    <n v="132210.5"/>
    <s v="Hypertension"/>
    <s v="Improved"/>
    <n v="7"/>
    <s v="High"/>
    <s v="High Risk"/>
  </r>
  <r>
    <n v="358"/>
    <x v="283"/>
    <x v="25"/>
    <x v="0"/>
    <n v="5"/>
    <d v="2022-10-08T00:00:00"/>
    <d v="2022-10-20T00:00:00"/>
    <n v="4"/>
    <n v="136185.51"/>
    <s v="Pneumonia"/>
    <s v="Referred"/>
    <n v="12"/>
    <s v="High"/>
    <s v="High Risk"/>
  </r>
  <r>
    <n v="359"/>
    <x v="284"/>
    <x v="47"/>
    <x v="1"/>
    <n v="10"/>
    <d v="2025-08-24T00:00:00"/>
    <d v="2025-08-29T00:00:00"/>
    <n v="2"/>
    <n v="130731.68"/>
    <s v="Hypertension"/>
    <s v="Improved"/>
    <n v="5"/>
    <s v="High"/>
    <s v="High Risk"/>
  </r>
  <r>
    <n v="360"/>
    <x v="162"/>
    <x v="77"/>
    <x v="0"/>
    <n v="4"/>
    <d v="2022-06-27T00:00:00"/>
    <d v="2022-07-25T00:00:00"/>
    <n v="1"/>
    <n v="136059.1"/>
    <s v="Diabetes"/>
    <s v="Recovered"/>
    <n v="28"/>
    <s v="High"/>
    <s v="High Risk"/>
  </r>
  <r>
    <n v="361"/>
    <x v="285"/>
    <x v="39"/>
    <x v="0"/>
    <n v="6"/>
    <d v="2026-06-09T00:00:00"/>
    <d v="2026-06-13T00:00:00"/>
    <n v="1"/>
    <n v="116920.15"/>
    <s v="Diabetes"/>
    <s v="Recovered"/>
    <n v="4"/>
    <s v="High"/>
    <s v="low risk"/>
  </r>
  <r>
    <n v="362"/>
    <x v="236"/>
    <x v="80"/>
    <x v="0"/>
    <n v="1"/>
    <d v="2025-09-10T00:00:00"/>
    <d v="2025-10-08T00:00:00"/>
    <n v="1"/>
    <n v="94400.47"/>
    <s v="Diabetes"/>
    <s v="Recovered"/>
    <n v="28"/>
    <s v="High"/>
    <s v="High Risk"/>
  </r>
  <r>
    <n v="363"/>
    <x v="286"/>
    <x v="88"/>
    <x v="0"/>
    <n v="1"/>
    <d v="2026-05-25T00:00:00"/>
    <d v="2026-06-22T00:00:00"/>
    <n v="4"/>
    <n v="44983.040000000001"/>
    <s v="Pneumonia"/>
    <s v="Referred"/>
    <n v="28"/>
    <s v="High"/>
    <s v="High Risk"/>
  </r>
  <r>
    <n v="364"/>
    <x v="4"/>
    <x v="20"/>
    <x v="0"/>
    <n v="10"/>
    <d v="2022-05-26T00:00:00"/>
    <d v="2022-06-11T00:00:00"/>
    <n v="5"/>
    <n v="4641.8900000000003"/>
    <s v="Heart Disease"/>
    <s v="Readmitted"/>
    <n v="16"/>
    <s v="High"/>
    <s v="High Risk"/>
  </r>
  <r>
    <n v="365"/>
    <x v="287"/>
    <x v="17"/>
    <x v="0"/>
    <n v="10"/>
    <d v="2024-05-11T00:00:00"/>
    <d v="2024-05-22T00:00:00"/>
    <n v="2"/>
    <n v="33166.730000000003"/>
    <s v="Hypertension"/>
    <s v="Improved"/>
    <n v="11"/>
    <s v="High"/>
    <s v="High Risk"/>
  </r>
  <r>
    <n v="366"/>
    <x v="288"/>
    <x v="56"/>
    <x v="1"/>
    <n v="1"/>
    <d v="2023-06-21T00:00:00"/>
    <d v="2023-06-27T00:00:00"/>
    <n v="1"/>
    <n v="13233.22"/>
    <s v="Diabetes"/>
    <s v="Recovered"/>
    <n v="6"/>
    <s v="High"/>
    <s v="low risk"/>
  </r>
  <r>
    <n v="367"/>
    <x v="147"/>
    <x v="44"/>
    <x v="0"/>
    <n v="7"/>
    <d v="2025-12-08T00:00:00"/>
    <d v="2025-12-20T00:00:00"/>
    <n v="1"/>
    <n v="97740.25"/>
    <s v="Diabetes"/>
    <s v="Recovered"/>
    <n v="12"/>
    <s v="High"/>
    <s v="low risk"/>
  </r>
  <r>
    <n v="368"/>
    <x v="289"/>
    <x v="23"/>
    <x v="1"/>
    <n v="5"/>
    <d v="2022-06-11T00:00:00"/>
    <d v="2022-06-27T00:00:00"/>
    <n v="5"/>
    <n v="175440.63"/>
    <s v="Heart Disease"/>
    <s v="Readmitted"/>
    <n v="16"/>
    <s v="High"/>
    <s v="High Risk"/>
  </r>
  <r>
    <n v="369"/>
    <x v="290"/>
    <x v="85"/>
    <x v="0"/>
    <n v="10"/>
    <d v="2025-07-23T00:00:00"/>
    <d v="2025-08-16T00:00:00"/>
    <n v="4"/>
    <n v="123387.38"/>
    <s v="Pneumonia"/>
    <s v="Referred"/>
    <n v="24"/>
    <s v="High"/>
    <s v="High Risk"/>
  </r>
  <r>
    <n v="370"/>
    <x v="291"/>
    <x v="70"/>
    <x v="0"/>
    <n v="4"/>
    <d v="2022-04-29T00:00:00"/>
    <d v="2022-05-06T00:00:00"/>
    <n v="1"/>
    <n v="79620.84"/>
    <s v="Diabetes"/>
    <s v="Recovered"/>
    <n v="7"/>
    <s v="High"/>
    <s v="High Risk"/>
  </r>
  <r>
    <n v="371"/>
    <x v="35"/>
    <x v="41"/>
    <x v="1"/>
    <n v="5"/>
    <d v="2025-09-26T00:00:00"/>
    <d v="2025-10-19T00:00:00"/>
    <n v="3"/>
    <n v="33677.15"/>
    <s v="Asthma"/>
    <s v="Ongoing Treatment"/>
    <n v="23"/>
    <s v="High"/>
    <s v="High Risk"/>
  </r>
  <r>
    <n v="372"/>
    <x v="105"/>
    <x v="70"/>
    <x v="1"/>
    <n v="3"/>
    <d v="2024-10-13T00:00:00"/>
    <d v="2024-11-12T00:00:00"/>
    <n v="1"/>
    <n v="94307.05"/>
    <s v="Diabetes"/>
    <s v="Recovered"/>
    <n v="30"/>
    <s v="High"/>
    <s v="High Risk"/>
  </r>
  <r>
    <n v="373"/>
    <x v="47"/>
    <x v="51"/>
    <x v="1"/>
    <n v="5"/>
    <d v="2026-02-10T00:00:00"/>
    <d v="2026-03-10T00:00:00"/>
    <n v="1"/>
    <n v="162231.79"/>
    <s v="Diabetes"/>
    <s v="Recovered"/>
    <n v="28"/>
    <s v="High"/>
    <s v="low risk"/>
  </r>
  <r>
    <n v="374"/>
    <x v="261"/>
    <x v="32"/>
    <x v="1"/>
    <n v="5"/>
    <d v="2025-12-29T00:00:00"/>
    <d v="2026-01-16T00:00:00"/>
    <n v="2"/>
    <n v="90566.19"/>
    <s v="Hypertension"/>
    <s v="Improved"/>
    <n v="18"/>
    <s v="High"/>
    <s v="High Risk"/>
  </r>
  <r>
    <n v="375"/>
    <x v="163"/>
    <x v="16"/>
    <x v="0"/>
    <n v="10"/>
    <d v="2022-12-08T00:00:00"/>
    <d v="2022-12-19T00:00:00"/>
    <n v="1"/>
    <n v="139765.89000000001"/>
    <s v="Diabetes"/>
    <s v="Recovered"/>
    <n v="11"/>
    <s v="High"/>
    <s v="low risk"/>
  </r>
  <r>
    <n v="376"/>
    <x v="220"/>
    <x v="73"/>
    <x v="1"/>
    <n v="1"/>
    <d v="2022-01-26T00:00:00"/>
    <d v="2022-02-02T00:00:00"/>
    <n v="1"/>
    <n v="67105.83"/>
    <s v="Diabetes"/>
    <s v="Recovered"/>
    <n v="7"/>
    <s v="High"/>
    <s v="low risk"/>
  </r>
  <r>
    <n v="377"/>
    <x v="292"/>
    <x v="75"/>
    <x v="0"/>
    <n v="4"/>
    <d v="2023-10-22T00:00:00"/>
    <d v="2023-10-29T00:00:00"/>
    <n v="2"/>
    <n v="130351.11"/>
    <s v="Hypertension"/>
    <s v="Improved"/>
    <n v="7"/>
    <s v="High"/>
    <s v="High Risk"/>
  </r>
  <r>
    <n v="378"/>
    <x v="10"/>
    <x v="74"/>
    <x v="0"/>
    <n v="2"/>
    <d v="2024-10-25T00:00:00"/>
    <d v="2024-11-15T00:00:00"/>
    <n v="5"/>
    <n v="34333.620000000003"/>
    <s v="Heart Disease"/>
    <s v="Readmitted"/>
    <n v="21"/>
    <s v="High"/>
    <s v="High Risk"/>
  </r>
  <r>
    <n v="379"/>
    <x v="293"/>
    <x v="10"/>
    <x v="1"/>
    <n v="8"/>
    <d v="2023-08-02T00:00:00"/>
    <d v="2023-08-26T00:00:00"/>
    <n v="4"/>
    <n v="60595.91"/>
    <s v="Pneumonia"/>
    <s v="Referred"/>
    <n v="24"/>
    <s v="High"/>
    <s v="High Risk"/>
  </r>
  <r>
    <n v="380"/>
    <x v="294"/>
    <x v="31"/>
    <x v="0"/>
    <n v="4"/>
    <d v="2023-08-21T00:00:00"/>
    <d v="2023-09-08T00:00:00"/>
    <n v="4"/>
    <n v="133774.74"/>
    <s v="Pneumonia"/>
    <s v="Referred"/>
    <n v="18"/>
    <s v="High"/>
    <s v="High Risk"/>
  </r>
  <r>
    <n v="381"/>
    <x v="295"/>
    <x v="51"/>
    <x v="0"/>
    <n v="4"/>
    <d v="2026-02-09T00:00:00"/>
    <d v="2026-03-09T00:00:00"/>
    <n v="2"/>
    <n v="143785.29999999999"/>
    <s v="Hypertension"/>
    <s v="Improved"/>
    <n v="28"/>
    <s v="High"/>
    <s v="High Risk"/>
  </r>
  <r>
    <n v="382"/>
    <x v="296"/>
    <x v="36"/>
    <x v="1"/>
    <n v="4"/>
    <d v="2025-01-14T00:00:00"/>
    <d v="2025-01-25T00:00:00"/>
    <n v="2"/>
    <n v="125589.29"/>
    <s v="Hypertension"/>
    <s v="Improved"/>
    <n v="11"/>
    <s v="High"/>
    <s v="High Risk"/>
  </r>
  <r>
    <n v="383"/>
    <x v="39"/>
    <x v="19"/>
    <x v="0"/>
    <n v="5"/>
    <d v="2022-08-01T00:00:00"/>
    <d v="2022-08-07T00:00:00"/>
    <n v="2"/>
    <n v="44774.75"/>
    <s v="Hypertension"/>
    <s v="Improved"/>
    <n v="6"/>
    <s v="High"/>
    <s v="High Risk"/>
  </r>
  <r>
    <n v="384"/>
    <x v="104"/>
    <x v="45"/>
    <x v="0"/>
    <n v="2"/>
    <d v="2022-03-31T00:00:00"/>
    <d v="2022-04-29T00:00:00"/>
    <n v="1"/>
    <n v="152577"/>
    <s v="Diabetes"/>
    <s v="Recovered"/>
    <n v="29"/>
    <s v="High"/>
    <s v="low risk"/>
  </r>
  <r>
    <n v="385"/>
    <x v="297"/>
    <x v="65"/>
    <x v="1"/>
    <n v="10"/>
    <d v="2022-07-15T00:00:00"/>
    <d v="2022-07-31T00:00:00"/>
    <n v="1"/>
    <n v="148043.41"/>
    <s v="Diabetes"/>
    <s v="Recovered"/>
    <n v="16"/>
    <s v="High"/>
    <s v="low risk"/>
  </r>
  <r>
    <n v="386"/>
    <x v="298"/>
    <x v="27"/>
    <x v="1"/>
    <n v="7"/>
    <d v="2025-09-18T00:00:00"/>
    <d v="2025-10-18T00:00:00"/>
    <n v="1"/>
    <n v="54272.49"/>
    <s v="Diabetes"/>
    <s v="Recovered"/>
    <n v="30"/>
    <s v="High"/>
    <s v="High Risk"/>
  </r>
  <r>
    <n v="387"/>
    <x v="299"/>
    <x v="70"/>
    <x v="0"/>
    <n v="6"/>
    <d v="2024-07-16T00:00:00"/>
    <d v="2024-07-24T00:00:00"/>
    <n v="1"/>
    <n v="169980.96"/>
    <s v="Diabetes"/>
    <s v="Recovered"/>
    <n v="8"/>
    <s v="High"/>
    <s v="High Risk"/>
  </r>
  <r>
    <n v="388"/>
    <x v="123"/>
    <x v="52"/>
    <x v="1"/>
    <n v="2"/>
    <d v="2022-12-03T00:00:00"/>
    <d v="2022-12-17T00:00:00"/>
    <n v="2"/>
    <n v="74655.98"/>
    <s v="Hypertension"/>
    <s v="Improved"/>
    <n v="14"/>
    <s v="High"/>
    <s v="High Risk"/>
  </r>
  <r>
    <n v="389"/>
    <x v="272"/>
    <x v="79"/>
    <x v="0"/>
    <n v="5"/>
    <d v="2024-08-06T00:00:00"/>
    <d v="2024-08-14T00:00:00"/>
    <n v="5"/>
    <n v="18549.71"/>
    <s v="Heart Disease"/>
    <s v="Readmitted"/>
    <n v="8"/>
    <s v="High"/>
    <s v="High Risk"/>
  </r>
  <r>
    <n v="390"/>
    <x v="91"/>
    <x v="35"/>
    <x v="1"/>
    <n v="6"/>
    <d v="2022-10-31T00:00:00"/>
    <d v="2022-11-02T00:00:00"/>
    <n v="3"/>
    <n v="174391"/>
    <s v="Asthma"/>
    <s v="Ongoing Treatment"/>
    <n v="2"/>
    <s v="High"/>
    <s v="High Risk"/>
  </r>
  <r>
    <n v="391"/>
    <x v="147"/>
    <x v="66"/>
    <x v="0"/>
    <n v="5"/>
    <d v="2026-08-07T00:00:00"/>
    <d v="2026-08-12T00:00:00"/>
    <n v="1"/>
    <n v="74279.62"/>
    <s v="Diabetes"/>
    <s v="Recovered"/>
    <n v="5"/>
    <s v="High"/>
    <s v="low risk"/>
  </r>
  <r>
    <n v="392"/>
    <x v="300"/>
    <x v="92"/>
    <x v="1"/>
    <n v="2"/>
    <d v="2024-08-04T00:00:00"/>
    <d v="2024-08-07T00:00:00"/>
    <n v="4"/>
    <n v="27313.26"/>
    <s v="Pneumonia"/>
    <s v="Referred"/>
    <n v="3"/>
    <s v="High"/>
    <s v="High Risk"/>
  </r>
  <r>
    <n v="393"/>
    <x v="301"/>
    <x v="59"/>
    <x v="1"/>
    <n v="4"/>
    <d v="2026-08-14T00:00:00"/>
    <d v="2026-08-26T00:00:00"/>
    <n v="2"/>
    <n v="114377.81"/>
    <s v="Hypertension"/>
    <s v="Improved"/>
    <n v="12"/>
    <s v="High"/>
    <s v="High Risk"/>
  </r>
  <r>
    <n v="394"/>
    <x v="302"/>
    <x v="1"/>
    <x v="0"/>
    <n v="2"/>
    <d v="2022-02-14T00:00:00"/>
    <d v="2022-02-16T00:00:00"/>
    <n v="1"/>
    <n v="117162.67"/>
    <s v="Diabetes"/>
    <s v="Recovered"/>
    <n v="2"/>
    <s v="High"/>
    <s v="High Risk"/>
  </r>
  <r>
    <n v="395"/>
    <x v="249"/>
    <x v="64"/>
    <x v="1"/>
    <n v="1"/>
    <d v="2024-08-02T00:00:00"/>
    <d v="2024-08-03T00:00:00"/>
    <n v="1"/>
    <n v="104364.45"/>
    <s v="Diabetes"/>
    <s v="Recovered"/>
    <n v="1"/>
    <s v="High"/>
    <s v="low risk"/>
  </r>
  <r>
    <n v="396"/>
    <x v="278"/>
    <x v="67"/>
    <x v="0"/>
    <n v="7"/>
    <d v="2022-12-20T00:00:00"/>
    <d v="2022-12-31T00:00:00"/>
    <n v="1"/>
    <n v="35719.32"/>
    <s v="Diabetes"/>
    <s v="Recovered"/>
    <n v="11"/>
    <s v="High"/>
    <s v="low risk"/>
  </r>
  <r>
    <n v="397"/>
    <x v="303"/>
    <x v="50"/>
    <x v="1"/>
    <n v="10"/>
    <d v="2025-06-22T00:00:00"/>
    <d v="2025-07-11T00:00:00"/>
    <n v="1"/>
    <n v="54881.17"/>
    <s v="Diabetes"/>
    <s v="Recovered"/>
    <n v="19"/>
    <s v="High"/>
    <s v="low risk"/>
  </r>
  <r>
    <n v="398"/>
    <x v="233"/>
    <x v="68"/>
    <x v="1"/>
    <n v="2"/>
    <d v="2023-07-27T00:00:00"/>
    <d v="2023-08-08T00:00:00"/>
    <n v="1"/>
    <n v="37903.760000000002"/>
    <s v="Diabetes"/>
    <s v="Recovered"/>
    <n v="12"/>
    <s v="High"/>
    <s v="low risk"/>
  </r>
  <r>
    <n v="399"/>
    <x v="304"/>
    <x v="11"/>
    <x v="1"/>
    <n v="7"/>
    <d v="2026-05-21T00:00:00"/>
    <d v="2026-06-12T00:00:00"/>
    <n v="2"/>
    <n v="99151.91"/>
    <s v="Hypertension"/>
    <s v="Improved"/>
    <n v="22"/>
    <s v="High"/>
    <s v="High Risk"/>
  </r>
  <r>
    <n v="400"/>
    <x v="305"/>
    <x v="27"/>
    <x v="0"/>
    <n v="7"/>
    <d v="2023-07-08T00:00:00"/>
    <d v="2023-07-13T00:00:00"/>
    <n v="1"/>
    <n v="108488.15"/>
    <s v="Diabetes"/>
    <s v="Recovered"/>
    <n v="5"/>
    <s v="High"/>
    <s v="High Risk"/>
  </r>
  <r>
    <n v="401"/>
    <x v="306"/>
    <x v="16"/>
    <x v="0"/>
    <n v="9"/>
    <d v="2024-01-03T00:00:00"/>
    <d v="2024-01-27T00:00:00"/>
    <n v="2"/>
    <n v="43815.28"/>
    <s v="Hypertension"/>
    <s v="Improved"/>
    <n v="24"/>
    <s v="High"/>
    <s v="High Risk"/>
  </r>
  <r>
    <n v="402"/>
    <x v="307"/>
    <x v="30"/>
    <x v="1"/>
    <n v="5"/>
    <d v="2024-12-28T00:00:00"/>
    <d v="2025-01-23T00:00:00"/>
    <n v="4"/>
    <n v="133328.17000000001"/>
    <s v="Pneumonia"/>
    <s v="Referred"/>
    <n v="26"/>
    <s v="High"/>
    <s v="High Risk"/>
  </r>
  <r>
    <n v="403"/>
    <x v="308"/>
    <x v="78"/>
    <x v="0"/>
    <n v="3"/>
    <d v="2022-12-27T00:00:00"/>
    <d v="2023-01-03T00:00:00"/>
    <n v="2"/>
    <n v="145602.32"/>
    <s v="Hypertension"/>
    <s v="Improved"/>
    <n v="7"/>
    <s v="High"/>
    <s v="High Risk"/>
  </r>
  <r>
    <n v="404"/>
    <x v="309"/>
    <x v="67"/>
    <x v="0"/>
    <n v="10"/>
    <d v="2025-02-28T00:00:00"/>
    <d v="2025-03-04T00:00:00"/>
    <n v="2"/>
    <n v="35911.480000000003"/>
    <s v="Hypertension"/>
    <s v="Improved"/>
    <n v="4"/>
    <s v="High"/>
    <s v="High Risk"/>
  </r>
  <r>
    <n v="405"/>
    <x v="268"/>
    <x v="38"/>
    <x v="1"/>
    <n v="8"/>
    <d v="2022-03-19T00:00:00"/>
    <d v="2022-03-21T00:00:00"/>
    <n v="1"/>
    <n v="109295.14"/>
    <s v="Diabetes"/>
    <s v="Recovered"/>
    <n v="2"/>
    <s v="High"/>
    <s v="low risk"/>
  </r>
  <r>
    <n v="406"/>
    <x v="310"/>
    <x v="68"/>
    <x v="1"/>
    <n v="6"/>
    <d v="2025-06-11T00:00:00"/>
    <d v="2025-06-17T00:00:00"/>
    <n v="4"/>
    <n v="62984.73"/>
    <s v="Pneumonia"/>
    <s v="Referred"/>
    <n v="6"/>
    <s v="High"/>
    <s v="High Risk"/>
  </r>
  <r>
    <n v="407"/>
    <x v="311"/>
    <x v="16"/>
    <x v="1"/>
    <n v="3"/>
    <d v="2025-04-16T00:00:00"/>
    <d v="2025-05-08T00:00:00"/>
    <n v="5"/>
    <n v="139950.04999999999"/>
    <s v="Heart Disease"/>
    <s v="Readmitted"/>
    <n v="22"/>
    <s v="High"/>
    <s v="High Risk"/>
  </r>
  <r>
    <n v="408"/>
    <x v="184"/>
    <x v="34"/>
    <x v="0"/>
    <n v="7"/>
    <d v="2025-04-15T00:00:00"/>
    <d v="2025-04-18T00:00:00"/>
    <n v="1"/>
    <n v="59762.07"/>
    <s v="Diabetes"/>
    <s v="Recovered"/>
    <n v="3"/>
    <s v="High"/>
    <s v="low risk"/>
  </r>
  <r>
    <n v="409"/>
    <x v="3"/>
    <x v="84"/>
    <x v="0"/>
    <n v="6"/>
    <d v="2022-12-23T00:00:00"/>
    <d v="2023-01-14T00:00:00"/>
    <n v="6"/>
    <n v="125606.97"/>
    <s v="Kidney Disease"/>
    <s v="Deceased"/>
    <n v="22"/>
    <s v="High"/>
    <s v="High Risk"/>
  </r>
  <r>
    <n v="410"/>
    <x v="312"/>
    <x v="59"/>
    <x v="1"/>
    <n v="7"/>
    <d v="2023-09-21T00:00:00"/>
    <d v="2023-10-14T00:00:00"/>
    <n v="3"/>
    <n v="25104.33"/>
    <s v="Asthma"/>
    <s v="Ongoing Treatment"/>
    <n v="23"/>
    <s v="High"/>
    <s v="High Risk"/>
  </r>
  <r>
    <n v="411"/>
    <x v="313"/>
    <x v="88"/>
    <x v="1"/>
    <n v="3"/>
    <d v="2025-05-18T00:00:00"/>
    <d v="2025-05-28T00:00:00"/>
    <n v="5"/>
    <n v="174236.87"/>
    <s v="Heart Disease"/>
    <s v="Readmitted"/>
    <n v="10"/>
    <s v="High"/>
    <s v="High Risk"/>
  </r>
  <r>
    <n v="412"/>
    <x v="308"/>
    <x v="52"/>
    <x v="0"/>
    <n v="3"/>
    <d v="2023-11-10T00:00:00"/>
    <d v="2023-12-03T00:00:00"/>
    <n v="1"/>
    <n v="64058.8"/>
    <s v="Diabetes"/>
    <s v="Recovered"/>
    <n v="23"/>
    <s v="High"/>
    <s v="low risk"/>
  </r>
  <r>
    <n v="413"/>
    <x v="314"/>
    <x v="84"/>
    <x v="1"/>
    <n v="6"/>
    <d v="2024-07-03T00:00:00"/>
    <d v="2024-07-03T00:00:00"/>
    <n v="1"/>
    <n v="46793.5"/>
    <s v="Diabetes"/>
    <s v="Recovered"/>
    <n v="0"/>
    <s v="High"/>
    <s v="High Risk"/>
  </r>
  <r>
    <n v="414"/>
    <x v="167"/>
    <x v="12"/>
    <x v="1"/>
    <n v="1"/>
    <d v="2022-04-09T00:00:00"/>
    <d v="2022-04-21T00:00:00"/>
    <n v="2"/>
    <n v="76988.45"/>
    <s v="Hypertension"/>
    <s v="Improved"/>
    <n v="12"/>
    <s v="High"/>
    <s v="High Risk"/>
  </r>
  <r>
    <n v="415"/>
    <x v="3"/>
    <x v="90"/>
    <x v="0"/>
    <n v="6"/>
    <d v="2025-01-23T00:00:00"/>
    <d v="2025-02-04T00:00:00"/>
    <n v="1"/>
    <n v="87609.34"/>
    <s v="Diabetes"/>
    <s v="Recovered"/>
    <n v="12"/>
    <s v="High"/>
    <s v="low risk"/>
  </r>
  <r>
    <n v="416"/>
    <x v="315"/>
    <x v="37"/>
    <x v="0"/>
    <n v="2"/>
    <d v="2026-06-25T00:00:00"/>
    <d v="2026-07-22T00:00:00"/>
    <n v="1"/>
    <n v="6063.84"/>
    <s v="Diabetes"/>
    <s v="Recovered"/>
    <n v="27"/>
    <s v="High"/>
    <s v="low risk"/>
  </r>
  <r>
    <n v="417"/>
    <x v="316"/>
    <x v="34"/>
    <x v="0"/>
    <n v="3"/>
    <d v="2024-02-08T00:00:00"/>
    <d v="2024-02-13T00:00:00"/>
    <n v="3"/>
    <n v="99600.71"/>
    <s v="Asthma"/>
    <s v="Ongoing Treatment"/>
    <n v="5"/>
    <s v="High"/>
    <s v="High Risk"/>
  </r>
  <r>
    <n v="418"/>
    <x v="173"/>
    <x v="80"/>
    <x v="0"/>
    <n v="1"/>
    <d v="2024-06-02T00:00:00"/>
    <d v="2024-07-02T00:00:00"/>
    <n v="3"/>
    <n v="110298.88"/>
    <s v="Asthma"/>
    <s v="Ongoing Treatment"/>
    <n v="30"/>
    <s v="High"/>
    <s v="High Risk"/>
  </r>
  <r>
    <n v="419"/>
    <x v="27"/>
    <x v="66"/>
    <x v="1"/>
    <n v="6"/>
    <d v="2023-02-25T00:00:00"/>
    <d v="2023-03-03T00:00:00"/>
    <n v="2"/>
    <n v="100854.96"/>
    <s v="Hypertension"/>
    <s v="Improved"/>
    <n v="6"/>
    <s v="High"/>
    <s v="High Risk"/>
  </r>
  <r>
    <n v="420"/>
    <x v="317"/>
    <x v="43"/>
    <x v="0"/>
    <n v="5"/>
    <d v="2023-05-02T00:00:00"/>
    <d v="2023-05-05T00:00:00"/>
    <n v="1"/>
    <n v="103989.14"/>
    <s v="Diabetes"/>
    <s v="Recovered"/>
    <n v="3"/>
    <s v="High"/>
    <s v="High Risk"/>
  </r>
  <r>
    <n v="421"/>
    <x v="258"/>
    <x v="66"/>
    <x v="0"/>
    <n v="1"/>
    <d v="2024-05-25T00:00:00"/>
    <d v="2024-05-27T00:00:00"/>
    <n v="1"/>
    <n v="120008.59"/>
    <s v="Diabetes"/>
    <s v="Recovered"/>
    <n v="2"/>
    <s v="High"/>
    <s v="low risk"/>
  </r>
  <r>
    <n v="422"/>
    <x v="318"/>
    <x v="2"/>
    <x v="1"/>
    <n v="1"/>
    <d v="2023-02-28T00:00:00"/>
    <d v="2023-03-05T00:00:00"/>
    <n v="2"/>
    <n v="175927.74"/>
    <s v="Hypertension"/>
    <s v="Improved"/>
    <n v="5"/>
    <s v="High"/>
    <s v="High Risk"/>
  </r>
  <r>
    <n v="423"/>
    <x v="263"/>
    <x v="38"/>
    <x v="0"/>
    <n v="8"/>
    <d v="2024-09-28T00:00:00"/>
    <d v="2024-10-26T00:00:00"/>
    <n v="3"/>
    <n v="18676.8"/>
    <s v="Asthma"/>
    <s v="Ongoing Treatment"/>
    <n v="28"/>
    <s v="High"/>
    <s v="High Risk"/>
  </r>
  <r>
    <n v="424"/>
    <x v="319"/>
    <x v="63"/>
    <x v="0"/>
    <n v="7"/>
    <d v="2024-01-27T00:00:00"/>
    <d v="2024-02-01T00:00:00"/>
    <n v="2"/>
    <n v="49235.03"/>
    <s v="Hypertension"/>
    <s v="Improved"/>
    <n v="5"/>
    <s v="High"/>
    <s v="High Risk"/>
  </r>
  <r>
    <n v="425"/>
    <x v="67"/>
    <x v="59"/>
    <x v="0"/>
    <n v="10"/>
    <d v="2022-05-07T00:00:00"/>
    <d v="2022-05-11T00:00:00"/>
    <n v="3"/>
    <n v="120975.65"/>
    <s v="Asthma"/>
    <s v="Ongoing Treatment"/>
    <n v="4"/>
    <s v="High"/>
    <s v="High Risk"/>
  </r>
  <r>
    <n v="426"/>
    <x v="250"/>
    <x v="15"/>
    <x v="0"/>
    <n v="10"/>
    <d v="2023-04-11T00:00:00"/>
    <d v="2023-04-28T00:00:00"/>
    <n v="1"/>
    <n v="71211.33"/>
    <s v="Diabetes"/>
    <s v="Recovered"/>
    <n v="17"/>
    <s v="High"/>
    <s v="High Risk"/>
  </r>
  <r>
    <n v="427"/>
    <x v="183"/>
    <x v="42"/>
    <x v="0"/>
    <n v="10"/>
    <d v="2023-04-28T00:00:00"/>
    <d v="2023-05-13T00:00:00"/>
    <n v="1"/>
    <n v="72577.77"/>
    <s v="Diabetes"/>
    <s v="Recovered"/>
    <n v="15"/>
    <s v="High"/>
    <s v="High Risk"/>
  </r>
  <r>
    <n v="428"/>
    <x v="320"/>
    <x v="74"/>
    <x v="1"/>
    <n v="2"/>
    <d v="2026-03-31T00:00:00"/>
    <d v="2026-04-14T00:00:00"/>
    <n v="1"/>
    <n v="177225.32"/>
    <s v="Diabetes"/>
    <s v="Recovered"/>
    <n v="14"/>
    <s v="High"/>
    <s v="High Risk"/>
  </r>
  <r>
    <n v="429"/>
    <x v="275"/>
    <x v="17"/>
    <x v="1"/>
    <n v="7"/>
    <d v="2022-06-10T00:00:00"/>
    <d v="2022-07-01T00:00:00"/>
    <n v="2"/>
    <n v="179515.29"/>
    <s v="Hypertension"/>
    <s v="Improved"/>
    <n v="21"/>
    <s v="High"/>
    <s v="High Risk"/>
  </r>
  <r>
    <n v="430"/>
    <x v="321"/>
    <x v="9"/>
    <x v="0"/>
    <n v="2"/>
    <d v="2022-06-28T00:00:00"/>
    <d v="2022-07-10T00:00:00"/>
    <n v="2"/>
    <n v="100489.62"/>
    <s v="Hypertension"/>
    <s v="Improved"/>
    <n v="12"/>
    <s v="High"/>
    <s v="High Risk"/>
  </r>
  <r>
    <n v="431"/>
    <x v="92"/>
    <x v="65"/>
    <x v="1"/>
    <n v="10"/>
    <d v="2025-04-18T00:00:00"/>
    <d v="2025-05-04T00:00:00"/>
    <n v="4"/>
    <n v="22472.09"/>
    <s v="Pneumonia"/>
    <s v="Referred"/>
    <n v="16"/>
    <s v="High"/>
    <s v="High Risk"/>
  </r>
  <r>
    <n v="432"/>
    <x v="84"/>
    <x v="27"/>
    <x v="1"/>
    <n v="2"/>
    <d v="2025-02-26T00:00:00"/>
    <d v="2025-03-22T00:00:00"/>
    <n v="1"/>
    <n v="53281.48"/>
    <s v="Diabetes"/>
    <s v="Recovered"/>
    <n v="24"/>
    <s v="High"/>
    <s v="High Risk"/>
  </r>
  <r>
    <n v="433"/>
    <x v="272"/>
    <x v="36"/>
    <x v="0"/>
    <n v="7"/>
    <d v="2025-09-03T00:00:00"/>
    <d v="2025-09-18T00:00:00"/>
    <n v="2"/>
    <n v="86465.77"/>
    <s v="Hypertension"/>
    <s v="Improved"/>
    <n v="15"/>
    <s v="High"/>
    <s v="High Risk"/>
  </r>
  <r>
    <n v="434"/>
    <x v="125"/>
    <x v="10"/>
    <x v="1"/>
    <n v="10"/>
    <d v="2025-05-31T00:00:00"/>
    <d v="2025-06-21T00:00:00"/>
    <n v="3"/>
    <n v="9383.9"/>
    <s v="Asthma"/>
    <s v="Ongoing Treatment"/>
    <n v="21"/>
    <s v="High"/>
    <s v="High Risk"/>
  </r>
  <r>
    <n v="435"/>
    <x v="322"/>
    <x v="66"/>
    <x v="0"/>
    <n v="5"/>
    <d v="2024-02-02T00:00:00"/>
    <d v="2024-02-02T00:00:00"/>
    <n v="1"/>
    <n v="143373.24"/>
    <s v="Diabetes"/>
    <s v="Recovered"/>
    <n v="0"/>
    <s v="High"/>
    <s v="low risk"/>
  </r>
  <r>
    <n v="436"/>
    <x v="323"/>
    <x v="33"/>
    <x v="1"/>
    <n v="4"/>
    <d v="2022-10-03T00:00:00"/>
    <d v="2022-10-12T00:00:00"/>
    <n v="6"/>
    <n v="81152.13"/>
    <s v="Kidney Disease"/>
    <s v="Deceased"/>
    <n v="9"/>
    <s v="High"/>
    <s v="High Risk"/>
  </r>
  <r>
    <n v="437"/>
    <x v="324"/>
    <x v="6"/>
    <x v="0"/>
    <n v="10"/>
    <d v="2025-08-15T00:00:00"/>
    <d v="2025-08-17T00:00:00"/>
    <n v="1"/>
    <n v="40021.81"/>
    <s v="Diabetes"/>
    <s v="Recovered"/>
    <n v="2"/>
    <s v="High"/>
    <s v="High Risk"/>
  </r>
  <r>
    <n v="438"/>
    <x v="325"/>
    <x v="28"/>
    <x v="0"/>
    <n v="1"/>
    <d v="2024-11-21T00:00:00"/>
    <d v="2024-12-16T00:00:00"/>
    <n v="1"/>
    <n v="57724.35"/>
    <s v="Diabetes"/>
    <s v="Recovered"/>
    <n v="25"/>
    <s v="High"/>
    <s v="High Risk"/>
  </r>
  <r>
    <n v="439"/>
    <x v="326"/>
    <x v="69"/>
    <x v="1"/>
    <n v="3"/>
    <d v="2023-01-30T00:00:00"/>
    <d v="2023-02-27T00:00:00"/>
    <n v="4"/>
    <n v="151063.35999999999"/>
    <s v="Pneumonia"/>
    <s v="Referred"/>
    <n v="28"/>
    <s v="High"/>
    <s v="High Risk"/>
  </r>
  <r>
    <n v="440"/>
    <x v="327"/>
    <x v="65"/>
    <x v="1"/>
    <n v="6"/>
    <d v="2025-12-14T00:00:00"/>
    <d v="2025-12-20T00:00:00"/>
    <n v="1"/>
    <n v="148672.37"/>
    <s v="Diabetes"/>
    <s v="Recovered"/>
    <n v="6"/>
    <s v="High"/>
    <s v="low risk"/>
  </r>
  <r>
    <n v="441"/>
    <x v="326"/>
    <x v="84"/>
    <x v="1"/>
    <n v="1"/>
    <d v="2023-05-11T00:00:00"/>
    <d v="2023-05-22T00:00:00"/>
    <n v="2"/>
    <n v="81683.360000000001"/>
    <s v="Hypertension"/>
    <s v="Improved"/>
    <n v="11"/>
    <s v="High"/>
    <s v="High Risk"/>
  </r>
  <r>
    <n v="442"/>
    <x v="328"/>
    <x v="92"/>
    <x v="0"/>
    <n v="6"/>
    <d v="2022-12-01T00:00:00"/>
    <d v="2022-12-27T00:00:00"/>
    <n v="5"/>
    <n v="135440.6"/>
    <s v="Heart Disease"/>
    <s v="Readmitted"/>
    <n v="26"/>
    <s v="High"/>
    <s v="High Risk"/>
  </r>
  <r>
    <n v="443"/>
    <x v="329"/>
    <x v="67"/>
    <x v="0"/>
    <n v="1"/>
    <d v="2022-11-30T00:00:00"/>
    <d v="2022-12-27T00:00:00"/>
    <n v="2"/>
    <n v="173772.88"/>
    <s v="Hypertension"/>
    <s v="Improved"/>
    <n v="27"/>
    <s v="High"/>
    <s v="High Risk"/>
  </r>
  <r>
    <n v="444"/>
    <x v="224"/>
    <x v="62"/>
    <x v="1"/>
    <n v="5"/>
    <d v="2025-08-27T00:00:00"/>
    <d v="2025-09-09T00:00:00"/>
    <n v="2"/>
    <n v="155971.81"/>
    <s v="Hypertension"/>
    <s v="Improved"/>
    <n v="13"/>
    <s v="High"/>
    <s v="High Risk"/>
  </r>
  <r>
    <n v="445"/>
    <x v="330"/>
    <x v="17"/>
    <x v="1"/>
    <n v="10"/>
    <d v="2026-06-29T00:00:00"/>
    <d v="2026-06-29T00:00:00"/>
    <n v="1"/>
    <n v="110481.04"/>
    <s v="Diabetes"/>
    <s v="Recovered"/>
    <n v="0"/>
    <s v="High"/>
    <s v="low risk"/>
  </r>
  <r>
    <n v="446"/>
    <x v="323"/>
    <x v="22"/>
    <x v="0"/>
    <n v="6"/>
    <d v="2024-07-29T00:00:00"/>
    <d v="2024-08-06T00:00:00"/>
    <n v="1"/>
    <n v="56130.75"/>
    <s v="Diabetes"/>
    <s v="Recovered"/>
    <n v="8"/>
    <s v="High"/>
    <s v="low risk"/>
  </r>
  <r>
    <n v="447"/>
    <x v="331"/>
    <x v="88"/>
    <x v="1"/>
    <n v="1"/>
    <d v="2024-11-13T00:00:00"/>
    <d v="2024-12-04T00:00:00"/>
    <n v="6"/>
    <n v="151489.67000000001"/>
    <s v="Kidney Disease"/>
    <s v="Deceased"/>
    <n v="21"/>
    <s v="High"/>
    <s v="High Risk"/>
  </r>
  <r>
    <n v="448"/>
    <x v="332"/>
    <x v="41"/>
    <x v="0"/>
    <n v="5"/>
    <d v="2025-11-02T00:00:00"/>
    <d v="2025-11-05T00:00:00"/>
    <n v="2"/>
    <n v="62190.35"/>
    <s v="Hypertension"/>
    <s v="Improved"/>
    <n v="3"/>
    <s v="High"/>
    <s v="High Risk"/>
  </r>
  <r>
    <n v="449"/>
    <x v="333"/>
    <x v="23"/>
    <x v="0"/>
    <n v="5"/>
    <d v="2023-01-21T00:00:00"/>
    <d v="2023-01-25T00:00:00"/>
    <n v="2"/>
    <n v="45153.62"/>
    <s v="Hypertension"/>
    <s v="Improved"/>
    <n v="4"/>
    <s v="High"/>
    <s v="High Risk"/>
  </r>
  <r>
    <n v="450"/>
    <x v="334"/>
    <x v="10"/>
    <x v="0"/>
    <n v="3"/>
    <d v="2026-01-17T00:00:00"/>
    <d v="2026-01-17T00:00:00"/>
    <n v="3"/>
    <n v="179550.77"/>
    <s v="Asthma"/>
    <s v="Ongoing Treatment"/>
    <n v="0"/>
    <s v="High"/>
    <s v="High Risk"/>
  </r>
  <r>
    <n v="451"/>
    <x v="335"/>
    <x v="10"/>
    <x v="0"/>
    <n v="1"/>
    <d v="2025-04-09T00:00:00"/>
    <d v="2025-05-01T00:00:00"/>
    <n v="6"/>
    <n v="147342.60999999999"/>
    <s v="Kidney Disease"/>
    <s v="Deceased"/>
    <n v="22"/>
    <s v="High"/>
    <s v="High Risk"/>
  </r>
  <r>
    <n v="452"/>
    <x v="322"/>
    <x v="7"/>
    <x v="0"/>
    <n v="6"/>
    <d v="2024-11-04T00:00:00"/>
    <d v="2024-11-13T00:00:00"/>
    <n v="4"/>
    <n v="151713.37"/>
    <s v="Pneumonia"/>
    <s v="Referred"/>
    <n v="9"/>
    <s v="High"/>
    <s v="High Risk"/>
  </r>
  <r>
    <n v="453"/>
    <x v="336"/>
    <x v="13"/>
    <x v="1"/>
    <n v="8"/>
    <d v="2022-09-20T00:00:00"/>
    <d v="2022-10-13T00:00:00"/>
    <n v="1"/>
    <n v="145981.04"/>
    <s v="Diabetes"/>
    <s v="Recovered"/>
    <n v="23"/>
    <s v="High"/>
    <s v="low risk"/>
  </r>
  <r>
    <n v="454"/>
    <x v="311"/>
    <x v="24"/>
    <x v="1"/>
    <n v="4"/>
    <d v="2023-12-29T00:00:00"/>
    <d v="2024-01-05T00:00:00"/>
    <n v="3"/>
    <n v="57007.64"/>
    <s v="Asthma"/>
    <s v="Ongoing Treatment"/>
    <n v="7"/>
    <s v="High"/>
    <s v="High Risk"/>
  </r>
  <r>
    <n v="455"/>
    <x v="137"/>
    <x v="9"/>
    <x v="0"/>
    <n v="8"/>
    <d v="2022-08-30T00:00:00"/>
    <d v="2022-09-14T00:00:00"/>
    <n v="1"/>
    <n v="115105.42"/>
    <s v="Diabetes"/>
    <s v="Recovered"/>
    <n v="15"/>
    <s v="High"/>
    <s v="low risk"/>
  </r>
  <r>
    <n v="456"/>
    <x v="337"/>
    <x v="34"/>
    <x v="0"/>
    <n v="4"/>
    <d v="2024-10-21T00:00:00"/>
    <d v="2024-10-24T00:00:00"/>
    <n v="5"/>
    <n v="70246.289999999994"/>
    <s v="Heart Disease"/>
    <s v="Readmitted"/>
    <n v="3"/>
    <s v="High"/>
    <s v="High Risk"/>
  </r>
  <r>
    <n v="457"/>
    <x v="338"/>
    <x v="66"/>
    <x v="1"/>
    <n v="3"/>
    <d v="2023-02-15T00:00:00"/>
    <d v="2023-02-25T00:00:00"/>
    <n v="2"/>
    <n v="103569.14"/>
    <s v="Hypertension"/>
    <s v="Improved"/>
    <n v="10"/>
    <s v="High"/>
    <s v="High Risk"/>
  </r>
  <r>
    <n v="458"/>
    <x v="11"/>
    <x v="25"/>
    <x v="1"/>
    <n v="2"/>
    <d v="2024-09-25T00:00:00"/>
    <d v="2024-10-05T00:00:00"/>
    <n v="2"/>
    <n v="33886.31"/>
    <s v="Hypertension"/>
    <s v="Improved"/>
    <n v="10"/>
    <s v="High"/>
    <s v="High Risk"/>
  </r>
  <r>
    <n v="459"/>
    <x v="339"/>
    <x v="89"/>
    <x v="0"/>
    <n v="4"/>
    <d v="2026-04-08T00:00:00"/>
    <d v="2026-05-02T00:00:00"/>
    <n v="1"/>
    <n v="138195.85999999999"/>
    <s v="Diabetes"/>
    <s v="Recovered"/>
    <n v="24"/>
    <s v="High"/>
    <s v="low risk"/>
  </r>
  <r>
    <n v="460"/>
    <x v="340"/>
    <x v="17"/>
    <x v="0"/>
    <n v="7"/>
    <d v="2024-04-06T00:00:00"/>
    <d v="2024-04-19T00:00:00"/>
    <n v="6"/>
    <n v="70538.66"/>
    <s v="Kidney Disease"/>
    <s v="Deceased"/>
    <n v="13"/>
    <s v="High"/>
    <s v="High Risk"/>
  </r>
  <r>
    <n v="461"/>
    <x v="341"/>
    <x v="2"/>
    <x v="0"/>
    <n v="1"/>
    <d v="2023-10-22T00:00:00"/>
    <d v="2023-11-15T00:00:00"/>
    <n v="4"/>
    <n v="36327.370000000003"/>
    <s v="Pneumonia"/>
    <s v="Referred"/>
    <n v="24"/>
    <s v="High"/>
    <s v="High Risk"/>
  </r>
  <r>
    <n v="462"/>
    <x v="342"/>
    <x v="59"/>
    <x v="0"/>
    <n v="5"/>
    <d v="2022-09-22T00:00:00"/>
    <d v="2022-09-25T00:00:00"/>
    <n v="2"/>
    <n v="106989.05"/>
    <s v="Hypertension"/>
    <s v="Improved"/>
    <n v="3"/>
    <s v="High"/>
    <s v="High Risk"/>
  </r>
  <r>
    <n v="463"/>
    <x v="53"/>
    <x v="35"/>
    <x v="0"/>
    <n v="5"/>
    <d v="2024-07-22T00:00:00"/>
    <d v="2024-08-14T00:00:00"/>
    <n v="2"/>
    <n v="95530.880000000005"/>
    <s v="Hypertension"/>
    <s v="Improved"/>
    <n v="23"/>
    <s v="High"/>
    <s v="High Risk"/>
  </r>
  <r>
    <n v="464"/>
    <x v="41"/>
    <x v="3"/>
    <x v="0"/>
    <n v="6"/>
    <d v="2026-03-17T00:00:00"/>
    <d v="2026-03-23T00:00:00"/>
    <n v="1"/>
    <n v="163473.73000000001"/>
    <s v="Diabetes"/>
    <s v="Recovered"/>
    <n v="6"/>
    <s v="High"/>
    <s v="low risk"/>
  </r>
  <r>
    <n v="465"/>
    <x v="343"/>
    <x v="73"/>
    <x v="1"/>
    <n v="3"/>
    <d v="2023-03-09T00:00:00"/>
    <d v="2023-04-01T00:00:00"/>
    <n v="1"/>
    <n v="92072.46"/>
    <s v="Diabetes"/>
    <s v="Recovered"/>
    <n v="23"/>
    <s v="High"/>
    <s v="low risk"/>
  </r>
  <r>
    <n v="466"/>
    <x v="344"/>
    <x v="81"/>
    <x v="1"/>
    <n v="7"/>
    <d v="2025-08-04T00:00:00"/>
    <d v="2025-08-12T00:00:00"/>
    <n v="4"/>
    <n v="113106.42"/>
    <s v="Pneumonia"/>
    <s v="Referred"/>
    <n v="8"/>
    <s v="High"/>
    <s v="High Risk"/>
  </r>
  <r>
    <n v="467"/>
    <x v="345"/>
    <x v="43"/>
    <x v="1"/>
    <n v="1"/>
    <d v="2022-04-09T00:00:00"/>
    <d v="2022-05-01T00:00:00"/>
    <n v="1"/>
    <n v="81365.789999999994"/>
    <s v="Diabetes"/>
    <s v="Recovered"/>
    <n v="22"/>
    <s v="High"/>
    <s v="High Risk"/>
  </r>
  <r>
    <n v="468"/>
    <x v="346"/>
    <x v="12"/>
    <x v="0"/>
    <n v="3"/>
    <d v="2023-02-25T00:00:00"/>
    <d v="2023-03-19T00:00:00"/>
    <n v="3"/>
    <n v="4151.5600000000004"/>
    <s v="Asthma"/>
    <s v="Ongoing Treatment"/>
    <n v="22"/>
    <s v="High"/>
    <s v="High Risk"/>
  </r>
  <r>
    <n v="469"/>
    <x v="119"/>
    <x v="43"/>
    <x v="0"/>
    <n v="10"/>
    <d v="2025-05-25T00:00:00"/>
    <d v="2025-06-16T00:00:00"/>
    <n v="1"/>
    <n v="149940.85999999999"/>
    <s v="Diabetes"/>
    <s v="Recovered"/>
    <n v="22"/>
    <s v="High"/>
    <s v="High Risk"/>
  </r>
  <r>
    <n v="470"/>
    <x v="159"/>
    <x v="48"/>
    <x v="1"/>
    <n v="5"/>
    <d v="2022-08-22T00:00:00"/>
    <d v="2022-09-16T00:00:00"/>
    <n v="1"/>
    <n v="37759.78"/>
    <s v="Diabetes"/>
    <s v="Recovered"/>
    <n v="25"/>
    <s v="High"/>
    <s v="High Risk"/>
  </r>
  <r>
    <n v="471"/>
    <x v="347"/>
    <x v="28"/>
    <x v="1"/>
    <n v="6"/>
    <d v="2025-12-11T00:00:00"/>
    <d v="2025-12-24T00:00:00"/>
    <n v="1"/>
    <n v="9494.51"/>
    <s v="Diabetes"/>
    <s v="Recovered"/>
    <n v="13"/>
    <s v="High"/>
    <s v="High Risk"/>
  </r>
  <r>
    <n v="472"/>
    <x v="348"/>
    <x v="61"/>
    <x v="0"/>
    <n v="6"/>
    <d v="2023-04-26T00:00:00"/>
    <d v="2023-04-26T00:00:00"/>
    <n v="1"/>
    <n v="18298"/>
    <s v="Diabetes"/>
    <s v="Recovered"/>
    <n v="0"/>
    <s v="High"/>
    <s v="High Risk"/>
  </r>
  <r>
    <n v="473"/>
    <x v="70"/>
    <x v="29"/>
    <x v="0"/>
    <n v="3"/>
    <d v="2022-07-04T00:00:00"/>
    <d v="2022-07-28T00:00:00"/>
    <n v="2"/>
    <n v="130932.54"/>
    <s v="Hypertension"/>
    <s v="Improved"/>
    <n v="24"/>
    <s v="High"/>
    <s v="High Risk"/>
  </r>
  <r>
    <n v="474"/>
    <x v="349"/>
    <x v="87"/>
    <x v="1"/>
    <n v="8"/>
    <d v="2023-08-30T00:00:00"/>
    <d v="2023-09-07T00:00:00"/>
    <n v="2"/>
    <n v="20216.080000000002"/>
    <s v="Hypertension"/>
    <s v="Improved"/>
    <n v="8"/>
    <s v="High"/>
    <s v="High Risk"/>
  </r>
  <r>
    <n v="475"/>
    <x v="350"/>
    <x v="13"/>
    <x v="0"/>
    <n v="6"/>
    <d v="2024-05-22T00:00:00"/>
    <d v="2024-06-14T00:00:00"/>
    <n v="1"/>
    <n v="153596.15"/>
    <s v="Diabetes"/>
    <s v="Recovered"/>
    <n v="23"/>
    <s v="High"/>
    <s v="low risk"/>
  </r>
  <r>
    <n v="476"/>
    <x v="351"/>
    <x v="69"/>
    <x v="1"/>
    <n v="6"/>
    <d v="2024-01-03T00:00:00"/>
    <d v="2024-01-31T00:00:00"/>
    <n v="2"/>
    <n v="112870.75"/>
    <s v="Hypertension"/>
    <s v="Improved"/>
    <n v="28"/>
    <s v="High"/>
    <s v="High Risk"/>
  </r>
  <r>
    <n v="477"/>
    <x v="250"/>
    <x v="3"/>
    <x v="1"/>
    <n v="2"/>
    <d v="2024-03-31T00:00:00"/>
    <d v="2024-04-12T00:00:00"/>
    <n v="6"/>
    <n v="50750.37"/>
    <s v="Kidney Disease"/>
    <s v="Deceased"/>
    <n v="12"/>
    <s v="High"/>
    <s v="High Risk"/>
  </r>
  <r>
    <n v="478"/>
    <x v="352"/>
    <x v="53"/>
    <x v="1"/>
    <n v="2"/>
    <d v="2022-09-29T00:00:00"/>
    <d v="2022-10-21T00:00:00"/>
    <n v="3"/>
    <n v="176728.53"/>
    <s v="Asthma"/>
    <s v="Ongoing Treatment"/>
    <n v="22"/>
    <s v="High"/>
    <s v="High Risk"/>
  </r>
  <r>
    <n v="479"/>
    <x v="307"/>
    <x v="53"/>
    <x v="0"/>
    <n v="10"/>
    <d v="2025-10-21T00:00:00"/>
    <d v="2025-11-04T00:00:00"/>
    <n v="1"/>
    <n v="69905.759999999995"/>
    <s v="Diabetes"/>
    <s v="Recovered"/>
    <n v="14"/>
    <s v="High"/>
    <s v="low risk"/>
  </r>
  <r>
    <n v="480"/>
    <x v="353"/>
    <x v="67"/>
    <x v="1"/>
    <n v="8"/>
    <d v="2024-09-26T00:00:00"/>
    <d v="2024-09-29T00:00:00"/>
    <n v="5"/>
    <n v="80722.100000000006"/>
    <s v="Heart Disease"/>
    <s v="Readmitted"/>
    <n v="3"/>
    <s v="High"/>
    <s v="High Risk"/>
  </r>
  <r>
    <n v="481"/>
    <x v="46"/>
    <x v="24"/>
    <x v="0"/>
    <n v="1"/>
    <d v="2025-12-13T00:00:00"/>
    <d v="2026-01-09T00:00:00"/>
    <n v="3"/>
    <n v="138736.35"/>
    <s v="Asthma"/>
    <s v="Ongoing Treatment"/>
    <n v="27"/>
    <s v="High"/>
    <s v="High Risk"/>
  </r>
  <r>
    <n v="482"/>
    <x v="24"/>
    <x v="59"/>
    <x v="0"/>
    <n v="9"/>
    <d v="2024-12-07T00:00:00"/>
    <d v="2024-12-29T00:00:00"/>
    <n v="3"/>
    <n v="19405.48"/>
    <s v="Asthma"/>
    <s v="Ongoing Treatment"/>
    <n v="22"/>
    <s v="High"/>
    <s v="High Risk"/>
  </r>
  <r>
    <n v="483"/>
    <x v="238"/>
    <x v="39"/>
    <x v="0"/>
    <n v="3"/>
    <d v="2026-09-15T00:00:00"/>
    <d v="2026-10-11T00:00:00"/>
    <n v="2"/>
    <n v="177833.01"/>
    <s v="Hypertension"/>
    <s v="Improved"/>
    <n v="26"/>
    <s v="High"/>
    <s v="High Risk"/>
  </r>
  <r>
    <n v="484"/>
    <x v="339"/>
    <x v="87"/>
    <x v="1"/>
    <n v="9"/>
    <d v="2024-08-19T00:00:00"/>
    <d v="2024-09-15T00:00:00"/>
    <n v="2"/>
    <n v="31859.19"/>
    <s v="Hypertension"/>
    <s v="Improved"/>
    <n v="27"/>
    <s v="High"/>
    <s v="High Risk"/>
  </r>
  <r>
    <n v="485"/>
    <x v="281"/>
    <x v="20"/>
    <x v="0"/>
    <n v="5"/>
    <d v="2022-04-14T00:00:00"/>
    <d v="2022-04-30T00:00:00"/>
    <n v="1"/>
    <n v="116688.82"/>
    <s v="Diabetes"/>
    <s v="Recovered"/>
    <n v="16"/>
    <s v="High"/>
    <s v="low risk"/>
  </r>
  <r>
    <n v="486"/>
    <x v="354"/>
    <x v="5"/>
    <x v="0"/>
    <n v="8"/>
    <d v="2026-06-29T00:00:00"/>
    <d v="2026-07-17T00:00:00"/>
    <n v="2"/>
    <n v="154544.59"/>
    <s v="Hypertension"/>
    <s v="Improved"/>
    <n v="18"/>
    <s v="High"/>
    <s v="High Risk"/>
  </r>
  <r>
    <n v="487"/>
    <x v="202"/>
    <x v="18"/>
    <x v="0"/>
    <n v="1"/>
    <d v="2022-07-30T00:00:00"/>
    <d v="2022-08-11T00:00:00"/>
    <n v="2"/>
    <n v="101390.75"/>
    <s v="Hypertension"/>
    <s v="Improved"/>
    <n v="12"/>
    <s v="High"/>
    <s v="High Risk"/>
  </r>
  <r>
    <n v="488"/>
    <x v="355"/>
    <x v="41"/>
    <x v="0"/>
    <n v="9"/>
    <d v="2025-02-25T00:00:00"/>
    <d v="2025-03-03T00:00:00"/>
    <n v="3"/>
    <n v="83476.91"/>
    <s v="Asthma"/>
    <s v="Ongoing Treatment"/>
    <n v="6"/>
    <s v="High"/>
    <s v="High Risk"/>
  </r>
  <r>
    <n v="489"/>
    <x v="137"/>
    <x v="66"/>
    <x v="1"/>
    <n v="8"/>
    <d v="2023-11-11T00:00:00"/>
    <d v="2023-11-28T00:00:00"/>
    <n v="3"/>
    <n v="108991.33"/>
    <s v="Asthma"/>
    <s v="Ongoing Treatment"/>
    <n v="17"/>
    <s v="High"/>
    <s v="High Risk"/>
  </r>
  <r>
    <n v="490"/>
    <x v="356"/>
    <x v="58"/>
    <x v="1"/>
    <n v="4"/>
    <d v="2022-01-05T00:00:00"/>
    <d v="2022-01-15T00:00:00"/>
    <n v="2"/>
    <n v="114974.86"/>
    <s v="Hypertension"/>
    <s v="Improved"/>
    <n v="10"/>
    <s v="High"/>
    <s v="High Risk"/>
  </r>
  <r>
    <n v="491"/>
    <x v="51"/>
    <x v="28"/>
    <x v="0"/>
    <n v="2"/>
    <d v="2022-04-04T00:00:00"/>
    <d v="2022-05-02T00:00:00"/>
    <n v="1"/>
    <n v="27429.73"/>
    <s v="Diabetes"/>
    <s v="Recovered"/>
    <n v="28"/>
    <s v="High"/>
    <s v="High Risk"/>
  </r>
  <r>
    <n v="492"/>
    <x v="119"/>
    <x v="12"/>
    <x v="1"/>
    <n v="4"/>
    <d v="2022-09-05T00:00:00"/>
    <d v="2022-10-04T00:00:00"/>
    <n v="5"/>
    <n v="40767.14"/>
    <s v="Heart Disease"/>
    <s v="Readmitted"/>
    <n v="29"/>
    <s v="High"/>
    <s v="High Risk"/>
  </r>
  <r>
    <n v="493"/>
    <x v="357"/>
    <x v="52"/>
    <x v="0"/>
    <n v="1"/>
    <d v="2025-07-20T00:00:00"/>
    <d v="2025-08-15T00:00:00"/>
    <n v="3"/>
    <n v="24371.41"/>
    <s v="Asthma"/>
    <s v="Ongoing Treatment"/>
    <n v="26"/>
    <s v="High"/>
    <s v="High Risk"/>
  </r>
  <r>
    <n v="494"/>
    <x v="358"/>
    <x v="43"/>
    <x v="1"/>
    <n v="8"/>
    <d v="2022-01-09T00:00:00"/>
    <d v="2022-01-25T00:00:00"/>
    <n v="3"/>
    <n v="100697.67"/>
    <s v="Asthma"/>
    <s v="Ongoing Treatment"/>
    <n v="16"/>
    <s v="High"/>
    <s v="High Risk"/>
  </r>
  <r>
    <n v="495"/>
    <x v="12"/>
    <x v="68"/>
    <x v="1"/>
    <n v="10"/>
    <d v="2022-12-22T00:00:00"/>
    <d v="2023-01-14T00:00:00"/>
    <n v="4"/>
    <n v="20880.830000000002"/>
    <s v="Pneumonia"/>
    <s v="Referred"/>
    <n v="23"/>
    <s v="High"/>
    <s v="High Risk"/>
  </r>
  <r>
    <n v="496"/>
    <x v="85"/>
    <x v="85"/>
    <x v="0"/>
    <n v="7"/>
    <d v="2025-06-01T00:00:00"/>
    <d v="2025-06-30T00:00:00"/>
    <n v="3"/>
    <n v="46562.39"/>
    <s v="Asthma"/>
    <s v="Ongoing Treatment"/>
    <n v="29"/>
    <s v="High"/>
    <s v="High Risk"/>
  </r>
  <r>
    <n v="497"/>
    <x v="255"/>
    <x v="13"/>
    <x v="0"/>
    <n v="3"/>
    <d v="2022-10-10T00:00:00"/>
    <d v="2022-10-23T00:00:00"/>
    <n v="2"/>
    <n v="159842.54"/>
    <s v="Hypertension"/>
    <s v="Improved"/>
    <n v="13"/>
    <s v="High"/>
    <s v="High Risk"/>
  </r>
  <r>
    <n v="498"/>
    <x v="228"/>
    <x v="70"/>
    <x v="0"/>
    <n v="9"/>
    <d v="2025-07-19T00:00:00"/>
    <d v="2025-07-25T00:00:00"/>
    <n v="1"/>
    <n v="113289.75"/>
    <s v="Diabetes"/>
    <s v="Recovered"/>
    <n v="6"/>
    <s v="High"/>
    <s v="High Risk"/>
  </r>
  <r>
    <n v="499"/>
    <x v="359"/>
    <x v="62"/>
    <x v="1"/>
    <n v="3"/>
    <d v="2024-10-28T00:00:00"/>
    <d v="2024-11-14T00:00:00"/>
    <n v="3"/>
    <n v="59722.7"/>
    <s v="Asthma"/>
    <s v="Ongoing Treatment"/>
    <n v="17"/>
    <s v="High"/>
    <s v="High Risk"/>
  </r>
  <r>
    <n v="500"/>
    <x v="344"/>
    <x v="82"/>
    <x v="0"/>
    <n v="10"/>
    <d v="2025-03-14T00:00:00"/>
    <d v="2025-04-13T00:00:00"/>
    <n v="3"/>
    <n v="76602.33"/>
    <s v="Asthma"/>
    <s v="Ongoing Treatment"/>
    <n v="30"/>
    <s v="High"/>
    <s v="High Risk"/>
  </r>
  <r>
    <n v="501"/>
    <x v="188"/>
    <x v="22"/>
    <x v="1"/>
    <n v="9"/>
    <d v="2022-08-07T00:00:00"/>
    <d v="2022-08-07T00:00:00"/>
    <n v="2"/>
    <n v="11919.04"/>
    <s v="Hypertension"/>
    <s v="Improved"/>
    <n v="0"/>
    <s v="High"/>
    <s v="High Risk"/>
  </r>
  <r>
    <n v="502"/>
    <x v="360"/>
    <x v="32"/>
    <x v="1"/>
    <n v="5"/>
    <d v="2025-10-31T00:00:00"/>
    <d v="2025-11-08T00:00:00"/>
    <n v="1"/>
    <n v="13510.83"/>
    <s v="Diabetes"/>
    <s v="Recovered"/>
    <n v="8"/>
    <s v="High"/>
    <s v="low risk"/>
  </r>
  <r>
    <n v="503"/>
    <x v="361"/>
    <x v="15"/>
    <x v="1"/>
    <n v="6"/>
    <d v="2026-07-26T00:00:00"/>
    <d v="2026-08-09T00:00:00"/>
    <n v="1"/>
    <n v="156576.28"/>
    <s v="Diabetes"/>
    <s v="Recovered"/>
    <n v="14"/>
    <s v="High"/>
    <s v="High Risk"/>
  </r>
  <r>
    <n v="504"/>
    <x v="9"/>
    <x v="87"/>
    <x v="0"/>
    <n v="4"/>
    <d v="2024-11-12T00:00:00"/>
    <d v="2024-12-07T00:00:00"/>
    <n v="4"/>
    <n v="126062.81"/>
    <s v="Pneumonia"/>
    <s v="Referred"/>
    <n v="25"/>
    <s v="High"/>
    <s v="High Risk"/>
  </r>
  <r>
    <n v="505"/>
    <x v="362"/>
    <x v="78"/>
    <x v="0"/>
    <n v="6"/>
    <d v="2025-02-04T00:00:00"/>
    <d v="2025-02-05T00:00:00"/>
    <n v="1"/>
    <n v="47113.05"/>
    <s v="Diabetes"/>
    <s v="Recovered"/>
    <n v="1"/>
    <s v="High"/>
    <s v="low risk"/>
  </r>
  <r>
    <n v="506"/>
    <x v="146"/>
    <x v="59"/>
    <x v="0"/>
    <n v="10"/>
    <d v="2025-01-24T00:00:00"/>
    <d v="2025-02-16T00:00:00"/>
    <n v="2"/>
    <n v="140266.04999999999"/>
    <s v="Hypertension"/>
    <s v="Improved"/>
    <n v="23"/>
    <s v="High"/>
    <s v="High Risk"/>
  </r>
  <r>
    <n v="507"/>
    <x v="210"/>
    <x v="89"/>
    <x v="1"/>
    <n v="2"/>
    <d v="2023-01-18T00:00:00"/>
    <d v="2023-02-17T00:00:00"/>
    <n v="1"/>
    <n v="93707.82"/>
    <s v="Diabetes"/>
    <s v="Recovered"/>
    <n v="30"/>
    <s v="High"/>
    <s v="low risk"/>
  </r>
  <r>
    <n v="508"/>
    <x v="363"/>
    <x v="22"/>
    <x v="0"/>
    <n v="9"/>
    <d v="2023-06-26T00:00:00"/>
    <d v="2023-06-30T00:00:00"/>
    <n v="1"/>
    <n v="152667.51999999999"/>
    <s v="Diabetes"/>
    <s v="Recovered"/>
    <n v="4"/>
    <s v="High"/>
    <s v="low risk"/>
  </r>
  <r>
    <n v="509"/>
    <x v="39"/>
    <x v="55"/>
    <x v="1"/>
    <n v="1"/>
    <d v="2022-11-11T00:00:00"/>
    <d v="2022-12-10T00:00:00"/>
    <n v="1"/>
    <n v="11526.84"/>
    <s v="Diabetes"/>
    <s v="Recovered"/>
    <n v="29"/>
    <s v="High"/>
    <s v="low risk"/>
  </r>
  <r>
    <n v="510"/>
    <x v="364"/>
    <x v="33"/>
    <x v="0"/>
    <n v="2"/>
    <d v="2026-05-25T00:00:00"/>
    <d v="2026-06-16T00:00:00"/>
    <n v="1"/>
    <n v="41543.26"/>
    <s v="Diabetes"/>
    <s v="Recovered"/>
    <n v="22"/>
    <s v="High"/>
    <s v="low risk"/>
  </r>
  <r>
    <n v="511"/>
    <x v="365"/>
    <x v="47"/>
    <x v="1"/>
    <n v="7"/>
    <d v="2025-01-17T00:00:00"/>
    <d v="2025-02-03T00:00:00"/>
    <n v="2"/>
    <n v="64519.02"/>
    <s v="Hypertension"/>
    <s v="Improved"/>
    <n v="17"/>
    <s v="High"/>
    <s v="High Risk"/>
  </r>
  <r>
    <n v="512"/>
    <x v="158"/>
    <x v="64"/>
    <x v="0"/>
    <n v="5"/>
    <d v="2023-03-24T00:00:00"/>
    <d v="2023-04-23T00:00:00"/>
    <n v="3"/>
    <n v="96663.55"/>
    <s v="Asthma"/>
    <s v="Ongoing Treatment"/>
    <n v="30"/>
    <s v="High"/>
    <s v="High Risk"/>
  </r>
  <r>
    <n v="513"/>
    <x v="136"/>
    <x v="58"/>
    <x v="0"/>
    <n v="8"/>
    <d v="2023-05-08T00:00:00"/>
    <d v="2023-06-05T00:00:00"/>
    <n v="2"/>
    <n v="165552.79999999999"/>
    <s v="Hypertension"/>
    <s v="Improved"/>
    <n v="28"/>
    <s v="High"/>
    <s v="High Risk"/>
  </r>
  <r>
    <n v="514"/>
    <x v="327"/>
    <x v="7"/>
    <x v="0"/>
    <n v="7"/>
    <d v="2026-06-19T00:00:00"/>
    <d v="2026-07-19T00:00:00"/>
    <n v="1"/>
    <n v="48044.82"/>
    <s v="Diabetes"/>
    <s v="Recovered"/>
    <n v="30"/>
    <s v="High"/>
    <s v="High Risk"/>
  </r>
  <r>
    <n v="515"/>
    <x v="366"/>
    <x v="28"/>
    <x v="0"/>
    <n v="9"/>
    <d v="2026-07-03T00:00:00"/>
    <d v="2026-07-19T00:00:00"/>
    <n v="2"/>
    <n v="10283.67"/>
    <s v="Hypertension"/>
    <s v="Improved"/>
    <n v="16"/>
    <s v="High"/>
    <s v="High Risk"/>
  </r>
  <r>
    <n v="516"/>
    <x v="357"/>
    <x v="26"/>
    <x v="1"/>
    <n v="2"/>
    <d v="2022-12-09T00:00:00"/>
    <d v="2023-01-08T00:00:00"/>
    <n v="4"/>
    <n v="97144.03"/>
    <s v="Pneumonia"/>
    <s v="Referred"/>
    <n v="30"/>
    <s v="High"/>
    <s v="High Risk"/>
  </r>
  <r>
    <n v="517"/>
    <x v="234"/>
    <x v="29"/>
    <x v="1"/>
    <n v="7"/>
    <d v="2026-09-08T00:00:00"/>
    <d v="2026-09-11T00:00:00"/>
    <n v="1"/>
    <n v="149602.89000000001"/>
    <s v="Diabetes"/>
    <s v="Recovered"/>
    <n v="3"/>
    <s v="High"/>
    <s v="High Risk"/>
  </r>
  <r>
    <n v="518"/>
    <x v="367"/>
    <x v="7"/>
    <x v="1"/>
    <n v="1"/>
    <d v="2024-07-29T00:00:00"/>
    <d v="2024-08-20T00:00:00"/>
    <n v="1"/>
    <n v="18034.96"/>
    <s v="Diabetes"/>
    <s v="Recovered"/>
    <n v="22"/>
    <s v="High"/>
    <s v="High Risk"/>
  </r>
  <r>
    <n v="519"/>
    <x v="368"/>
    <x v="12"/>
    <x v="1"/>
    <n v="10"/>
    <d v="2026-08-10T00:00:00"/>
    <d v="2026-08-17T00:00:00"/>
    <n v="5"/>
    <n v="74854.820000000007"/>
    <s v="Heart Disease"/>
    <s v="Readmitted"/>
    <n v="7"/>
    <s v="High"/>
    <s v="High Risk"/>
  </r>
  <r>
    <n v="520"/>
    <x v="369"/>
    <x v="54"/>
    <x v="0"/>
    <n v="1"/>
    <d v="2024-03-08T00:00:00"/>
    <d v="2024-03-29T00:00:00"/>
    <n v="1"/>
    <n v="3547.06"/>
    <s v="Diabetes"/>
    <s v="Recovered"/>
    <n v="21"/>
    <s v="High"/>
    <s v="low risk"/>
  </r>
  <r>
    <n v="521"/>
    <x v="370"/>
    <x v="40"/>
    <x v="1"/>
    <n v="2"/>
    <d v="2024-01-03T00:00:00"/>
    <d v="2024-02-01T00:00:00"/>
    <n v="2"/>
    <n v="53946"/>
    <s v="Hypertension"/>
    <s v="Improved"/>
    <n v="29"/>
    <s v="High"/>
    <s v="High Risk"/>
  </r>
  <r>
    <n v="522"/>
    <x v="91"/>
    <x v="86"/>
    <x v="0"/>
    <n v="8"/>
    <d v="2024-02-21T00:00:00"/>
    <d v="2024-03-04T00:00:00"/>
    <n v="4"/>
    <n v="7970.4"/>
    <s v="Pneumonia"/>
    <s v="Referred"/>
    <n v="12"/>
    <s v="High"/>
    <s v="High Risk"/>
  </r>
  <r>
    <n v="523"/>
    <x v="8"/>
    <x v="59"/>
    <x v="1"/>
    <n v="7"/>
    <d v="2026-06-20T00:00:00"/>
    <d v="2026-07-15T00:00:00"/>
    <n v="4"/>
    <n v="54858.68"/>
    <s v="Pneumonia"/>
    <s v="Referred"/>
    <n v="25"/>
    <s v="High"/>
    <s v="High Risk"/>
  </r>
  <r>
    <n v="524"/>
    <x v="371"/>
    <x v="62"/>
    <x v="0"/>
    <n v="1"/>
    <d v="2025-02-07T00:00:00"/>
    <d v="2025-03-06T00:00:00"/>
    <n v="2"/>
    <n v="24374.240000000002"/>
    <s v="Hypertension"/>
    <s v="Improved"/>
    <n v="27"/>
    <s v="High"/>
    <s v="High Risk"/>
  </r>
  <r>
    <n v="525"/>
    <x v="313"/>
    <x v="80"/>
    <x v="0"/>
    <n v="9"/>
    <d v="2025-01-26T00:00:00"/>
    <d v="2025-02-25T00:00:00"/>
    <n v="1"/>
    <n v="39784.39"/>
    <s v="Diabetes"/>
    <s v="Recovered"/>
    <n v="30"/>
    <s v="High"/>
    <s v="High Risk"/>
  </r>
  <r>
    <n v="526"/>
    <x v="372"/>
    <x v="36"/>
    <x v="1"/>
    <n v="3"/>
    <d v="2023-01-12T00:00:00"/>
    <d v="2023-01-19T00:00:00"/>
    <n v="2"/>
    <n v="47361.67"/>
    <s v="Hypertension"/>
    <s v="Improved"/>
    <n v="7"/>
    <s v="High"/>
    <s v="High Risk"/>
  </r>
  <r>
    <n v="527"/>
    <x v="282"/>
    <x v="29"/>
    <x v="1"/>
    <n v="9"/>
    <d v="2024-08-02T00:00:00"/>
    <d v="2024-08-22T00:00:00"/>
    <n v="2"/>
    <n v="54090.85"/>
    <s v="Hypertension"/>
    <s v="Improved"/>
    <n v="20"/>
    <s v="High"/>
    <s v="High Risk"/>
  </r>
  <r>
    <n v="528"/>
    <x v="46"/>
    <x v="72"/>
    <x v="1"/>
    <n v="10"/>
    <d v="2024-09-24T00:00:00"/>
    <d v="2024-10-24T00:00:00"/>
    <n v="1"/>
    <n v="25258.19"/>
    <s v="Diabetes"/>
    <s v="Recovered"/>
    <n v="30"/>
    <s v="High"/>
    <s v="low risk"/>
  </r>
  <r>
    <n v="529"/>
    <x v="42"/>
    <x v="44"/>
    <x v="1"/>
    <n v="4"/>
    <d v="2023-10-13T00:00:00"/>
    <d v="2023-10-28T00:00:00"/>
    <n v="2"/>
    <n v="111900.78"/>
    <s v="Hypertension"/>
    <s v="Improved"/>
    <n v="15"/>
    <s v="High"/>
    <s v="High Risk"/>
  </r>
  <r>
    <n v="530"/>
    <x v="86"/>
    <x v="50"/>
    <x v="0"/>
    <n v="6"/>
    <d v="2024-05-27T00:00:00"/>
    <d v="2024-06-01T00:00:00"/>
    <n v="1"/>
    <n v="46196.09"/>
    <s v="Diabetes"/>
    <s v="Recovered"/>
    <n v="5"/>
    <s v="High"/>
    <s v="low risk"/>
  </r>
  <r>
    <n v="531"/>
    <x v="130"/>
    <x v="23"/>
    <x v="0"/>
    <n v="3"/>
    <d v="2025-10-23T00:00:00"/>
    <d v="2025-11-15T00:00:00"/>
    <n v="1"/>
    <n v="87691.83"/>
    <s v="Diabetes"/>
    <s v="Recovered"/>
    <n v="23"/>
    <s v="High"/>
    <s v="low risk"/>
  </r>
  <r>
    <n v="532"/>
    <x v="174"/>
    <x v="38"/>
    <x v="0"/>
    <n v="9"/>
    <d v="2022-08-11T00:00:00"/>
    <d v="2022-08-16T00:00:00"/>
    <n v="2"/>
    <n v="17050.330000000002"/>
    <s v="Hypertension"/>
    <s v="Improved"/>
    <n v="5"/>
    <s v="High"/>
    <s v="High Risk"/>
  </r>
  <r>
    <n v="533"/>
    <x v="373"/>
    <x v="42"/>
    <x v="1"/>
    <n v="5"/>
    <d v="2026-02-11T00:00:00"/>
    <d v="2026-03-11T00:00:00"/>
    <n v="2"/>
    <n v="131618"/>
    <s v="Hypertension"/>
    <s v="Improved"/>
    <n v="28"/>
    <s v="High"/>
    <s v="High Risk"/>
  </r>
  <r>
    <n v="534"/>
    <x v="310"/>
    <x v="11"/>
    <x v="1"/>
    <n v="10"/>
    <d v="2025-03-31T00:00:00"/>
    <d v="2025-04-12T00:00:00"/>
    <n v="3"/>
    <n v="40265.019999999997"/>
    <s v="Asthma"/>
    <s v="Ongoing Treatment"/>
    <n v="12"/>
    <s v="High"/>
    <s v="High Risk"/>
  </r>
  <r>
    <n v="535"/>
    <x v="341"/>
    <x v="9"/>
    <x v="0"/>
    <n v="3"/>
    <d v="2024-01-20T00:00:00"/>
    <d v="2024-02-01T00:00:00"/>
    <n v="1"/>
    <n v="139555.71"/>
    <s v="Diabetes"/>
    <s v="Recovered"/>
    <n v="12"/>
    <s v="High"/>
    <s v="low risk"/>
  </r>
  <r>
    <n v="536"/>
    <x v="374"/>
    <x v="55"/>
    <x v="1"/>
    <n v="7"/>
    <d v="2024-01-16T00:00:00"/>
    <d v="2024-02-01T00:00:00"/>
    <n v="1"/>
    <n v="44901.34"/>
    <s v="Diabetes"/>
    <s v="Recovered"/>
    <n v="16"/>
    <s v="High"/>
    <s v="low risk"/>
  </r>
  <r>
    <n v="537"/>
    <x v="375"/>
    <x v="26"/>
    <x v="1"/>
    <n v="8"/>
    <d v="2022-11-23T00:00:00"/>
    <d v="2022-11-28T00:00:00"/>
    <n v="2"/>
    <n v="102931.72"/>
    <s v="Hypertension"/>
    <s v="Improved"/>
    <n v="5"/>
    <s v="High"/>
    <s v="High Risk"/>
  </r>
  <r>
    <n v="538"/>
    <x v="376"/>
    <x v="4"/>
    <x v="1"/>
    <n v="4"/>
    <d v="2026-04-09T00:00:00"/>
    <d v="2026-04-24T00:00:00"/>
    <n v="1"/>
    <n v="49423.39"/>
    <s v="Diabetes"/>
    <s v="Recovered"/>
    <n v="15"/>
    <s v="High"/>
    <s v="low risk"/>
  </r>
  <r>
    <n v="539"/>
    <x v="200"/>
    <x v="29"/>
    <x v="1"/>
    <n v="9"/>
    <d v="2026-06-09T00:00:00"/>
    <d v="2026-06-20T00:00:00"/>
    <n v="2"/>
    <n v="165427.6"/>
    <s v="Hypertension"/>
    <s v="Improved"/>
    <n v="11"/>
    <s v="High"/>
    <s v="High Risk"/>
  </r>
  <r>
    <n v="540"/>
    <x v="377"/>
    <x v="24"/>
    <x v="0"/>
    <n v="2"/>
    <d v="2025-12-12T00:00:00"/>
    <d v="2026-01-11T00:00:00"/>
    <n v="2"/>
    <n v="149762.37"/>
    <s v="Hypertension"/>
    <s v="Improved"/>
    <n v="30"/>
    <s v="High"/>
    <s v="High Risk"/>
  </r>
  <r>
    <n v="541"/>
    <x v="117"/>
    <x v="15"/>
    <x v="1"/>
    <n v="7"/>
    <d v="2025-08-31T00:00:00"/>
    <d v="2025-09-12T00:00:00"/>
    <n v="2"/>
    <n v="118467.24"/>
    <s v="Hypertension"/>
    <s v="Improved"/>
    <n v="12"/>
    <s v="High"/>
    <s v="High Risk"/>
  </r>
  <r>
    <n v="542"/>
    <x v="23"/>
    <x v="12"/>
    <x v="0"/>
    <n v="4"/>
    <d v="2024-11-23T00:00:00"/>
    <d v="2024-12-05T00:00:00"/>
    <n v="2"/>
    <n v="156520.20000000001"/>
    <s v="Hypertension"/>
    <s v="Improved"/>
    <n v="12"/>
    <s v="High"/>
    <s v="High Risk"/>
  </r>
  <r>
    <n v="543"/>
    <x v="378"/>
    <x v="41"/>
    <x v="1"/>
    <n v="9"/>
    <d v="2022-10-12T00:00:00"/>
    <d v="2022-10-26T00:00:00"/>
    <n v="1"/>
    <n v="16183.16"/>
    <s v="Diabetes"/>
    <s v="Recovered"/>
    <n v="14"/>
    <s v="High"/>
    <s v="High Risk"/>
  </r>
  <r>
    <n v="544"/>
    <x v="379"/>
    <x v="50"/>
    <x v="1"/>
    <n v="3"/>
    <d v="2024-01-12T00:00:00"/>
    <d v="2024-01-31T00:00:00"/>
    <n v="3"/>
    <n v="23503.61"/>
    <s v="Asthma"/>
    <s v="Ongoing Treatment"/>
    <n v="19"/>
    <s v="High"/>
    <s v="High Risk"/>
  </r>
  <r>
    <n v="545"/>
    <x v="130"/>
    <x v="64"/>
    <x v="1"/>
    <n v="8"/>
    <d v="2025-10-14T00:00:00"/>
    <d v="2025-10-29T00:00:00"/>
    <n v="2"/>
    <n v="107365.38"/>
    <s v="Hypertension"/>
    <s v="Improved"/>
    <n v="15"/>
    <s v="High"/>
    <s v="High Risk"/>
  </r>
  <r>
    <n v="546"/>
    <x v="380"/>
    <x v="30"/>
    <x v="1"/>
    <n v="3"/>
    <d v="2025-03-20T00:00:00"/>
    <d v="2025-04-07T00:00:00"/>
    <n v="1"/>
    <n v="114243.43"/>
    <s v="Diabetes"/>
    <s v="Recovered"/>
    <n v="18"/>
    <s v="High"/>
    <s v="low risk"/>
  </r>
  <r>
    <n v="547"/>
    <x v="381"/>
    <x v="45"/>
    <x v="1"/>
    <n v="3"/>
    <d v="2023-06-13T00:00:00"/>
    <d v="2023-07-12T00:00:00"/>
    <n v="1"/>
    <n v="172587.3"/>
    <s v="Diabetes"/>
    <s v="Recovered"/>
    <n v="29"/>
    <s v="High"/>
    <s v="low risk"/>
  </r>
  <r>
    <n v="548"/>
    <x v="382"/>
    <x v="84"/>
    <x v="1"/>
    <n v="5"/>
    <d v="2022-06-25T00:00:00"/>
    <d v="2022-07-01T00:00:00"/>
    <n v="2"/>
    <n v="178717.71"/>
    <s v="Hypertension"/>
    <s v="Improved"/>
    <n v="6"/>
    <s v="High"/>
    <s v="High Risk"/>
  </r>
  <r>
    <n v="549"/>
    <x v="383"/>
    <x v="59"/>
    <x v="0"/>
    <n v="10"/>
    <d v="2022-10-20T00:00:00"/>
    <d v="2022-11-14T00:00:00"/>
    <n v="2"/>
    <n v="138729.49"/>
    <s v="Hypertension"/>
    <s v="Improved"/>
    <n v="25"/>
    <s v="High"/>
    <s v="High Risk"/>
  </r>
  <r>
    <n v="550"/>
    <x v="37"/>
    <x v="9"/>
    <x v="1"/>
    <n v="6"/>
    <d v="2024-07-17T00:00:00"/>
    <d v="2024-08-05T00:00:00"/>
    <n v="2"/>
    <n v="43291.95"/>
    <s v="Hypertension"/>
    <s v="Improved"/>
    <n v="19"/>
    <s v="High"/>
    <s v="High Risk"/>
  </r>
  <r>
    <n v="551"/>
    <x v="201"/>
    <x v="52"/>
    <x v="1"/>
    <n v="4"/>
    <d v="2024-12-06T00:00:00"/>
    <d v="2025-01-02T00:00:00"/>
    <n v="5"/>
    <n v="123975.29"/>
    <s v="Heart Disease"/>
    <s v="Readmitted"/>
    <n v="27"/>
    <s v="High"/>
    <s v="High Risk"/>
  </r>
  <r>
    <n v="552"/>
    <x v="321"/>
    <x v="72"/>
    <x v="1"/>
    <n v="8"/>
    <d v="2025-06-13T00:00:00"/>
    <d v="2025-07-02T00:00:00"/>
    <n v="1"/>
    <n v="141636.60999999999"/>
    <s v="Diabetes"/>
    <s v="Recovered"/>
    <n v="19"/>
    <s v="High"/>
    <s v="low risk"/>
  </r>
  <r>
    <n v="553"/>
    <x v="141"/>
    <x v="86"/>
    <x v="0"/>
    <n v="3"/>
    <d v="2025-05-20T00:00:00"/>
    <d v="2025-06-06T00:00:00"/>
    <n v="4"/>
    <n v="161711.99"/>
    <s v="Pneumonia"/>
    <s v="Referred"/>
    <n v="17"/>
    <s v="High"/>
    <s v="High Risk"/>
  </r>
  <r>
    <n v="554"/>
    <x v="215"/>
    <x v="53"/>
    <x v="0"/>
    <n v="1"/>
    <d v="2025-11-29T00:00:00"/>
    <d v="2025-12-15T00:00:00"/>
    <n v="2"/>
    <n v="169069.84"/>
    <s v="Hypertension"/>
    <s v="Improved"/>
    <n v="16"/>
    <s v="High"/>
    <s v="High Risk"/>
  </r>
  <r>
    <n v="555"/>
    <x v="384"/>
    <x v="39"/>
    <x v="1"/>
    <n v="7"/>
    <d v="2022-10-02T00:00:00"/>
    <d v="2022-10-10T00:00:00"/>
    <n v="2"/>
    <n v="43771.040000000001"/>
    <s v="Hypertension"/>
    <s v="Improved"/>
    <n v="8"/>
    <s v="High"/>
    <s v="High Risk"/>
  </r>
  <r>
    <n v="556"/>
    <x v="329"/>
    <x v="80"/>
    <x v="0"/>
    <n v="5"/>
    <d v="2023-01-23T00:00:00"/>
    <d v="2023-01-23T00:00:00"/>
    <n v="3"/>
    <n v="142622.49"/>
    <s v="Asthma"/>
    <s v="Ongoing Treatment"/>
    <n v="0"/>
    <s v="High"/>
    <s v="High Risk"/>
  </r>
  <r>
    <n v="557"/>
    <x v="385"/>
    <x v="18"/>
    <x v="1"/>
    <n v="7"/>
    <d v="2025-09-02T00:00:00"/>
    <d v="2025-09-08T00:00:00"/>
    <n v="3"/>
    <n v="58572.55"/>
    <s v="Asthma"/>
    <s v="Ongoing Treatment"/>
    <n v="6"/>
    <s v="High"/>
    <s v="High Risk"/>
  </r>
  <r>
    <n v="558"/>
    <x v="386"/>
    <x v="50"/>
    <x v="0"/>
    <n v="10"/>
    <d v="2023-06-04T00:00:00"/>
    <d v="2023-06-12T00:00:00"/>
    <n v="5"/>
    <n v="77682.17"/>
    <s v="Heart Disease"/>
    <s v="Readmitted"/>
    <n v="8"/>
    <s v="High"/>
    <s v="High Risk"/>
  </r>
  <r>
    <n v="559"/>
    <x v="387"/>
    <x v="23"/>
    <x v="0"/>
    <n v="4"/>
    <d v="2024-04-26T00:00:00"/>
    <d v="2024-05-13T00:00:00"/>
    <n v="4"/>
    <n v="88138.03"/>
    <s v="Pneumonia"/>
    <s v="Referred"/>
    <n v="17"/>
    <s v="High"/>
    <s v="High Risk"/>
  </r>
  <r>
    <n v="560"/>
    <x v="388"/>
    <x v="82"/>
    <x v="0"/>
    <n v="5"/>
    <d v="2023-09-21T00:00:00"/>
    <d v="2023-10-09T00:00:00"/>
    <n v="1"/>
    <n v="127725.29"/>
    <s v="Diabetes"/>
    <s v="Recovered"/>
    <n v="18"/>
    <s v="High"/>
    <s v="High Risk"/>
  </r>
  <r>
    <n v="561"/>
    <x v="389"/>
    <x v="73"/>
    <x v="0"/>
    <n v="3"/>
    <d v="2022-07-25T00:00:00"/>
    <d v="2022-07-31T00:00:00"/>
    <n v="2"/>
    <n v="142029.4"/>
    <s v="Hypertension"/>
    <s v="Improved"/>
    <n v="6"/>
    <s v="High"/>
    <s v="High Risk"/>
  </r>
  <r>
    <n v="562"/>
    <x v="332"/>
    <x v="70"/>
    <x v="1"/>
    <n v="3"/>
    <d v="2024-03-07T00:00:00"/>
    <d v="2024-04-06T00:00:00"/>
    <n v="2"/>
    <n v="145275.56"/>
    <s v="Hypertension"/>
    <s v="Improved"/>
    <n v="30"/>
    <s v="High"/>
    <s v="High Risk"/>
  </r>
  <r>
    <n v="563"/>
    <x v="376"/>
    <x v="80"/>
    <x v="0"/>
    <n v="2"/>
    <d v="2022-05-12T00:00:00"/>
    <d v="2022-05-20T00:00:00"/>
    <n v="1"/>
    <n v="16707.05"/>
    <s v="Diabetes"/>
    <s v="Recovered"/>
    <n v="8"/>
    <s v="High"/>
    <s v="High Risk"/>
  </r>
  <r>
    <n v="564"/>
    <x v="227"/>
    <x v="10"/>
    <x v="0"/>
    <n v="10"/>
    <d v="2022-04-28T00:00:00"/>
    <d v="2022-05-28T00:00:00"/>
    <n v="4"/>
    <n v="33610.629999999997"/>
    <s v="Pneumonia"/>
    <s v="Referred"/>
    <n v="30"/>
    <s v="High"/>
    <s v="High Risk"/>
  </r>
  <r>
    <n v="565"/>
    <x v="76"/>
    <x v="31"/>
    <x v="1"/>
    <n v="9"/>
    <d v="2023-08-09T00:00:00"/>
    <d v="2023-08-15T00:00:00"/>
    <n v="1"/>
    <n v="108913.9"/>
    <s v="Diabetes"/>
    <s v="Recovered"/>
    <n v="6"/>
    <s v="High"/>
    <s v="low risk"/>
  </r>
  <r>
    <n v="566"/>
    <x v="304"/>
    <x v="77"/>
    <x v="1"/>
    <n v="1"/>
    <d v="2024-01-07T00:00:00"/>
    <d v="2024-01-14T00:00:00"/>
    <n v="3"/>
    <n v="175677.15"/>
    <s v="Asthma"/>
    <s v="Ongoing Treatment"/>
    <n v="7"/>
    <s v="High"/>
    <s v="High Risk"/>
  </r>
  <r>
    <n v="567"/>
    <x v="140"/>
    <x v="10"/>
    <x v="0"/>
    <n v="7"/>
    <d v="2024-04-10T00:00:00"/>
    <d v="2024-04-28T00:00:00"/>
    <n v="1"/>
    <n v="5227.5600000000004"/>
    <s v="Diabetes"/>
    <s v="Recovered"/>
    <n v="18"/>
    <s v="High"/>
    <s v="low risk"/>
  </r>
  <r>
    <n v="568"/>
    <x v="247"/>
    <x v="92"/>
    <x v="0"/>
    <n v="9"/>
    <d v="2025-04-08T00:00:00"/>
    <d v="2025-04-19T00:00:00"/>
    <n v="1"/>
    <n v="147253.89000000001"/>
    <s v="Diabetes"/>
    <s v="Recovered"/>
    <n v="11"/>
    <s v="High"/>
    <s v="High Risk"/>
  </r>
  <r>
    <n v="569"/>
    <x v="390"/>
    <x v="57"/>
    <x v="0"/>
    <n v="7"/>
    <d v="2025-03-23T00:00:00"/>
    <d v="2025-03-23T00:00:00"/>
    <n v="1"/>
    <n v="74766.399999999994"/>
    <s v="Diabetes"/>
    <s v="Recovered"/>
    <n v="0"/>
    <s v="High"/>
    <s v="low risk"/>
  </r>
  <r>
    <n v="570"/>
    <x v="391"/>
    <x v="34"/>
    <x v="0"/>
    <n v="6"/>
    <d v="2022-08-28T00:00:00"/>
    <d v="2022-09-22T00:00:00"/>
    <n v="2"/>
    <n v="48240.58"/>
    <s v="Hypertension"/>
    <s v="Improved"/>
    <n v="25"/>
    <s v="High"/>
    <s v="High Risk"/>
  </r>
  <r>
    <n v="571"/>
    <x v="392"/>
    <x v="12"/>
    <x v="0"/>
    <n v="7"/>
    <d v="2025-02-27T00:00:00"/>
    <d v="2025-03-14T00:00:00"/>
    <n v="3"/>
    <n v="136951.51"/>
    <s v="Asthma"/>
    <s v="Ongoing Treatment"/>
    <n v="15"/>
    <s v="High"/>
    <s v="High Risk"/>
  </r>
  <r>
    <n v="572"/>
    <x v="393"/>
    <x v="1"/>
    <x v="1"/>
    <n v="8"/>
    <d v="2022-08-27T00:00:00"/>
    <d v="2022-09-04T00:00:00"/>
    <n v="1"/>
    <n v="114974.97"/>
    <s v="Diabetes"/>
    <s v="Recovered"/>
    <n v="8"/>
    <s v="High"/>
    <s v="High Risk"/>
  </r>
  <r>
    <n v="573"/>
    <x v="224"/>
    <x v="25"/>
    <x v="0"/>
    <n v="6"/>
    <d v="2024-11-23T00:00:00"/>
    <d v="2024-12-10T00:00:00"/>
    <n v="1"/>
    <n v="150211.43"/>
    <s v="Diabetes"/>
    <s v="Recovered"/>
    <n v="17"/>
    <s v="High"/>
    <s v="low risk"/>
  </r>
  <r>
    <n v="574"/>
    <x v="273"/>
    <x v="86"/>
    <x v="0"/>
    <n v="6"/>
    <d v="2022-06-05T00:00:00"/>
    <d v="2022-06-22T00:00:00"/>
    <n v="5"/>
    <n v="87088.59"/>
    <s v="Heart Disease"/>
    <s v="Readmitted"/>
    <n v="17"/>
    <s v="High"/>
    <s v="High Risk"/>
  </r>
  <r>
    <n v="575"/>
    <x v="372"/>
    <x v="74"/>
    <x v="0"/>
    <n v="3"/>
    <d v="2026-03-09T00:00:00"/>
    <d v="2026-03-30T00:00:00"/>
    <n v="5"/>
    <n v="36254.730000000003"/>
    <s v="Heart Disease"/>
    <s v="Readmitted"/>
    <n v="21"/>
    <s v="High"/>
    <s v="High Risk"/>
  </r>
  <r>
    <n v="576"/>
    <x v="394"/>
    <x v="0"/>
    <x v="1"/>
    <n v="5"/>
    <d v="2023-02-28T00:00:00"/>
    <d v="2023-03-07T00:00:00"/>
    <n v="1"/>
    <n v="46820.94"/>
    <s v="Diabetes"/>
    <s v="Recovered"/>
    <n v="7"/>
    <s v="High"/>
    <s v="High Risk"/>
  </r>
  <r>
    <n v="577"/>
    <x v="312"/>
    <x v="50"/>
    <x v="1"/>
    <n v="2"/>
    <d v="2022-06-10T00:00:00"/>
    <d v="2022-07-01T00:00:00"/>
    <n v="6"/>
    <n v="89948.01"/>
    <s v="Kidney Disease"/>
    <s v="Deceased"/>
    <n v="21"/>
    <s v="High"/>
    <s v="High Risk"/>
  </r>
  <r>
    <n v="578"/>
    <x v="395"/>
    <x v="35"/>
    <x v="0"/>
    <n v="6"/>
    <d v="2025-06-25T00:00:00"/>
    <d v="2025-07-05T00:00:00"/>
    <n v="2"/>
    <n v="177401.64"/>
    <s v="Hypertension"/>
    <s v="Improved"/>
    <n v="10"/>
    <s v="High"/>
    <s v="High Risk"/>
  </r>
  <r>
    <n v="579"/>
    <x v="187"/>
    <x v="33"/>
    <x v="1"/>
    <n v="9"/>
    <d v="2023-07-28T00:00:00"/>
    <d v="2023-08-09T00:00:00"/>
    <n v="1"/>
    <n v="104858.07"/>
    <s v="Diabetes"/>
    <s v="Recovered"/>
    <n v="12"/>
    <s v="High"/>
    <s v="low risk"/>
  </r>
  <r>
    <n v="580"/>
    <x v="208"/>
    <x v="22"/>
    <x v="0"/>
    <n v="9"/>
    <d v="2022-03-08T00:00:00"/>
    <d v="2022-03-24T00:00:00"/>
    <n v="1"/>
    <n v="155221.01999999999"/>
    <s v="Diabetes"/>
    <s v="Recovered"/>
    <n v="16"/>
    <s v="High"/>
    <s v="low risk"/>
  </r>
  <r>
    <n v="581"/>
    <x v="180"/>
    <x v="18"/>
    <x v="0"/>
    <n v="6"/>
    <d v="2025-11-12T00:00:00"/>
    <d v="2025-11-12T00:00:00"/>
    <n v="1"/>
    <n v="39908.550000000003"/>
    <s v="Diabetes"/>
    <s v="Recovered"/>
    <n v="0"/>
    <s v="High"/>
    <s v="low risk"/>
  </r>
  <r>
    <n v="582"/>
    <x v="396"/>
    <x v="85"/>
    <x v="0"/>
    <n v="10"/>
    <d v="2023-06-16T00:00:00"/>
    <d v="2023-06-21T00:00:00"/>
    <n v="2"/>
    <n v="44592.2"/>
    <s v="Hypertension"/>
    <s v="Improved"/>
    <n v="5"/>
    <s v="High"/>
    <s v="High Risk"/>
  </r>
  <r>
    <n v="583"/>
    <x v="397"/>
    <x v="3"/>
    <x v="0"/>
    <n v="3"/>
    <d v="2024-10-18T00:00:00"/>
    <d v="2024-10-31T00:00:00"/>
    <n v="1"/>
    <n v="126876.49"/>
    <s v="Diabetes"/>
    <s v="Recovered"/>
    <n v="13"/>
    <s v="High"/>
    <s v="low risk"/>
  </r>
  <r>
    <n v="584"/>
    <x v="398"/>
    <x v="10"/>
    <x v="0"/>
    <n v="8"/>
    <d v="2023-01-04T00:00:00"/>
    <d v="2023-01-22T00:00:00"/>
    <n v="1"/>
    <n v="104720.96000000001"/>
    <s v="Diabetes"/>
    <s v="Recovered"/>
    <n v="18"/>
    <s v="High"/>
    <s v="low risk"/>
  </r>
  <r>
    <n v="585"/>
    <x v="98"/>
    <x v="48"/>
    <x v="0"/>
    <n v="4"/>
    <d v="2025-02-11T00:00:00"/>
    <d v="2025-02-24T00:00:00"/>
    <n v="5"/>
    <n v="37301.22"/>
    <s v="Heart Disease"/>
    <s v="Readmitted"/>
    <n v="13"/>
    <s v="High"/>
    <s v="High Risk"/>
  </r>
  <r>
    <n v="586"/>
    <x v="376"/>
    <x v="31"/>
    <x v="1"/>
    <n v="7"/>
    <d v="2024-10-20T00:00:00"/>
    <d v="2024-10-24T00:00:00"/>
    <n v="6"/>
    <n v="153266.71"/>
    <s v="Kidney Disease"/>
    <s v="Deceased"/>
    <n v="4"/>
    <s v="High"/>
    <s v="High Risk"/>
  </r>
  <r>
    <n v="587"/>
    <x v="399"/>
    <x v="48"/>
    <x v="0"/>
    <n v="8"/>
    <d v="2023-09-07T00:00:00"/>
    <d v="2023-09-15T00:00:00"/>
    <n v="2"/>
    <n v="103290.63"/>
    <s v="Hypertension"/>
    <s v="Improved"/>
    <n v="8"/>
    <s v="High"/>
    <s v="High Risk"/>
  </r>
  <r>
    <n v="588"/>
    <x v="32"/>
    <x v="61"/>
    <x v="1"/>
    <n v="1"/>
    <d v="2023-03-18T00:00:00"/>
    <d v="2023-04-13T00:00:00"/>
    <n v="1"/>
    <n v="151417.48000000001"/>
    <s v="Diabetes"/>
    <s v="Recovered"/>
    <n v="26"/>
    <s v="High"/>
    <s v="High Risk"/>
  </r>
  <r>
    <n v="589"/>
    <x v="400"/>
    <x v="64"/>
    <x v="0"/>
    <n v="6"/>
    <d v="2024-01-08T00:00:00"/>
    <d v="2024-01-25T00:00:00"/>
    <n v="2"/>
    <n v="146277.82"/>
    <s v="Hypertension"/>
    <s v="Improved"/>
    <n v="17"/>
    <s v="High"/>
    <s v="High Risk"/>
  </r>
  <r>
    <n v="590"/>
    <x v="401"/>
    <x v="36"/>
    <x v="1"/>
    <n v="6"/>
    <d v="2025-10-23T00:00:00"/>
    <d v="2025-11-22T00:00:00"/>
    <n v="2"/>
    <n v="104891.54"/>
    <s v="Hypertension"/>
    <s v="Improved"/>
    <n v="30"/>
    <s v="High"/>
    <s v="High Risk"/>
  </r>
  <r>
    <n v="591"/>
    <x v="402"/>
    <x v="44"/>
    <x v="0"/>
    <n v="6"/>
    <d v="2025-10-10T00:00:00"/>
    <d v="2025-10-26T00:00:00"/>
    <n v="2"/>
    <n v="133233.39000000001"/>
    <s v="Hypertension"/>
    <s v="Improved"/>
    <n v="16"/>
    <s v="High"/>
    <s v="High Risk"/>
  </r>
  <r>
    <n v="592"/>
    <x v="192"/>
    <x v="77"/>
    <x v="0"/>
    <n v="8"/>
    <d v="2025-07-17T00:00:00"/>
    <d v="2025-08-16T00:00:00"/>
    <n v="1"/>
    <n v="32244.66"/>
    <s v="Diabetes"/>
    <s v="Recovered"/>
    <n v="30"/>
    <s v="High"/>
    <s v="High Risk"/>
  </r>
  <r>
    <n v="593"/>
    <x v="261"/>
    <x v="11"/>
    <x v="0"/>
    <n v="2"/>
    <d v="2022-06-12T00:00:00"/>
    <d v="2022-06-17T00:00:00"/>
    <n v="1"/>
    <n v="58143.07"/>
    <s v="Diabetes"/>
    <s v="Recovered"/>
    <n v="5"/>
    <s v="High"/>
    <s v="High Risk"/>
  </r>
  <r>
    <n v="594"/>
    <x v="403"/>
    <x v="41"/>
    <x v="0"/>
    <n v="5"/>
    <d v="2024-06-30T00:00:00"/>
    <d v="2024-07-24T00:00:00"/>
    <n v="5"/>
    <n v="66961.759999999995"/>
    <s v="Heart Disease"/>
    <s v="Readmitted"/>
    <n v="24"/>
    <s v="High"/>
    <s v="High Risk"/>
  </r>
  <r>
    <n v="595"/>
    <x v="404"/>
    <x v="89"/>
    <x v="0"/>
    <n v="3"/>
    <d v="2023-01-12T00:00:00"/>
    <d v="2023-02-08T00:00:00"/>
    <n v="1"/>
    <n v="131679.6"/>
    <s v="Diabetes"/>
    <s v="Recovered"/>
    <n v="27"/>
    <s v="High"/>
    <s v="low risk"/>
  </r>
  <r>
    <n v="596"/>
    <x v="405"/>
    <x v="79"/>
    <x v="1"/>
    <n v="7"/>
    <d v="2022-07-30T00:00:00"/>
    <d v="2022-08-02T00:00:00"/>
    <n v="1"/>
    <n v="158467.65"/>
    <s v="Diabetes"/>
    <s v="Recovered"/>
    <n v="3"/>
    <s v="High"/>
    <s v="low risk"/>
  </r>
  <r>
    <n v="597"/>
    <x v="96"/>
    <x v="67"/>
    <x v="0"/>
    <n v="9"/>
    <d v="2026-04-16T00:00:00"/>
    <d v="2026-04-18T00:00:00"/>
    <n v="1"/>
    <n v="112213.14"/>
    <s v="Diabetes"/>
    <s v="Recovered"/>
    <n v="2"/>
    <s v="High"/>
    <s v="low risk"/>
  </r>
  <r>
    <n v="598"/>
    <x v="192"/>
    <x v="38"/>
    <x v="1"/>
    <n v="4"/>
    <d v="2026-02-19T00:00:00"/>
    <d v="2026-02-28T00:00:00"/>
    <n v="2"/>
    <n v="24938.080000000002"/>
    <s v="Hypertension"/>
    <s v="Improved"/>
    <n v="9"/>
    <s v="High"/>
    <s v="High Risk"/>
  </r>
  <r>
    <n v="599"/>
    <x v="406"/>
    <x v="67"/>
    <x v="1"/>
    <n v="6"/>
    <d v="2023-10-29T00:00:00"/>
    <d v="2023-11-25T00:00:00"/>
    <n v="2"/>
    <n v="175559.22"/>
    <s v="Hypertension"/>
    <s v="Improved"/>
    <n v="27"/>
    <s v="High"/>
    <s v="High Risk"/>
  </r>
  <r>
    <n v="600"/>
    <x v="317"/>
    <x v="92"/>
    <x v="0"/>
    <n v="3"/>
    <d v="2025-11-29T00:00:00"/>
    <d v="2025-12-16T00:00:00"/>
    <n v="1"/>
    <n v="108571.2"/>
    <s v="Diabetes"/>
    <s v="Recovered"/>
    <n v="17"/>
    <s v="High"/>
    <s v="High Risk"/>
  </r>
  <r>
    <n v="601"/>
    <x v="407"/>
    <x v="83"/>
    <x v="0"/>
    <n v="6"/>
    <d v="2024-09-13T00:00:00"/>
    <d v="2024-09-30T00:00:00"/>
    <n v="1"/>
    <n v="18395.84"/>
    <s v="Diabetes"/>
    <s v="Recovered"/>
    <n v="17"/>
    <s v="High"/>
    <s v="High Risk"/>
  </r>
  <r>
    <n v="602"/>
    <x v="408"/>
    <x v="36"/>
    <x v="0"/>
    <n v="3"/>
    <d v="2023-09-14T00:00:00"/>
    <d v="2023-09-14T00:00:00"/>
    <n v="1"/>
    <n v="147229.91"/>
    <s v="Diabetes"/>
    <s v="Recovered"/>
    <n v="0"/>
    <s v="High"/>
    <s v="low risk"/>
  </r>
  <r>
    <n v="603"/>
    <x v="409"/>
    <x v="44"/>
    <x v="0"/>
    <n v="9"/>
    <d v="2022-01-18T00:00:00"/>
    <d v="2022-02-09T00:00:00"/>
    <n v="5"/>
    <n v="170584.95999999999"/>
    <s v="Heart Disease"/>
    <s v="Readmitted"/>
    <n v="22"/>
    <s v="High"/>
    <s v="High Risk"/>
  </r>
  <r>
    <n v="604"/>
    <x v="115"/>
    <x v="31"/>
    <x v="0"/>
    <n v="5"/>
    <d v="2025-05-07T00:00:00"/>
    <d v="2025-05-14T00:00:00"/>
    <n v="4"/>
    <n v="99807.66"/>
    <s v="Pneumonia"/>
    <s v="Referred"/>
    <n v="7"/>
    <s v="High"/>
    <s v="High Risk"/>
  </r>
  <r>
    <n v="605"/>
    <x v="90"/>
    <x v="82"/>
    <x v="0"/>
    <n v="7"/>
    <d v="2023-05-27T00:00:00"/>
    <d v="2023-06-01T00:00:00"/>
    <n v="3"/>
    <n v="117163.37"/>
    <s v="Asthma"/>
    <s v="Ongoing Treatment"/>
    <n v="5"/>
    <s v="High"/>
    <s v="High Risk"/>
  </r>
  <r>
    <n v="606"/>
    <x v="410"/>
    <x v="9"/>
    <x v="1"/>
    <n v="7"/>
    <d v="2025-07-04T00:00:00"/>
    <d v="2025-07-11T00:00:00"/>
    <n v="2"/>
    <n v="144492.73000000001"/>
    <s v="Hypertension"/>
    <s v="Improved"/>
    <n v="7"/>
    <s v="High"/>
    <s v="High Risk"/>
  </r>
  <r>
    <n v="607"/>
    <x v="411"/>
    <x v="44"/>
    <x v="0"/>
    <n v="7"/>
    <d v="2023-01-21T00:00:00"/>
    <d v="2023-02-17T00:00:00"/>
    <n v="1"/>
    <n v="26750.77"/>
    <s v="Diabetes"/>
    <s v="Recovered"/>
    <n v="27"/>
    <s v="High"/>
    <s v="low risk"/>
  </r>
  <r>
    <n v="608"/>
    <x v="217"/>
    <x v="60"/>
    <x v="0"/>
    <n v="5"/>
    <d v="2025-12-05T00:00:00"/>
    <d v="2025-12-24T00:00:00"/>
    <n v="2"/>
    <n v="59414.26"/>
    <s v="Hypertension"/>
    <s v="Improved"/>
    <n v="19"/>
    <s v="High"/>
    <s v="High Risk"/>
  </r>
  <r>
    <n v="609"/>
    <x v="412"/>
    <x v="42"/>
    <x v="1"/>
    <n v="3"/>
    <d v="2022-07-29T00:00:00"/>
    <d v="2022-08-07T00:00:00"/>
    <n v="1"/>
    <n v="129447.28"/>
    <s v="Diabetes"/>
    <s v="Recovered"/>
    <n v="9"/>
    <s v="High"/>
    <s v="High Risk"/>
  </r>
  <r>
    <n v="610"/>
    <x v="342"/>
    <x v="86"/>
    <x v="1"/>
    <n v="1"/>
    <d v="2024-10-07T00:00:00"/>
    <d v="2024-10-13T00:00:00"/>
    <n v="1"/>
    <n v="57804.86"/>
    <s v="Diabetes"/>
    <s v="Recovered"/>
    <n v="6"/>
    <s v="High"/>
    <s v="low risk"/>
  </r>
  <r>
    <n v="611"/>
    <x v="305"/>
    <x v="55"/>
    <x v="1"/>
    <n v="6"/>
    <d v="2022-06-14T00:00:00"/>
    <d v="2022-07-10T00:00:00"/>
    <n v="3"/>
    <n v="28430.59"/>
    <s v="Asthma"/>
    <s v="Ongoing Treatment"/>
    <n v="26"/>
    <s v="High"/>
    <s v="High Risk"/>
  </r>
  <r>
    <n v="612"/>
    <x v="242"/>
    <x v="34"/>
    <x v="0"/>
    <n v="3"/>
    <d v="2023-01-29T00:00:00"/>
    <d v="2023-02-26T00:00:00"/>
    <n v="4"/>
    <n v="147562"/>
    <s v="Pneumonia"/>
    <s v="Referred"/>
    <n v="28"/>
    <s v="High"/>
    <s v="High Risk"/>
  </r>
  <r>
    <n v="613"/>
    <x v="40"/>
    <x v="81"/>
    <x v="1"/>
    <n v="7"/>
    <d v="2026-04-29T00:00:00"/>
    <d v="2026-05-13T00:00:00"/>
    <n v="1"/>
    <n v="179030.04"/>
    <s v="Diabetes"/>
    <s v="Recovered"/>
    <n v="14"/>
    <s v="High"/>
    <s v="High Risk"/>
  </r>
  <r>
    <n v="614"/>
    <x v="413"/>
    <x v="0"/>
    <x v="1"/>
    <n v="9"/>
    <d v="2025-09-25T00:00:00"/>
    <d v="2025-10-01T00:00:00"/>
    <n v="2"/>
    <n v="123456.01"/>
    <s v="Hypertension"/>
    <s v="Improved"/>
    <n v="6"/>
    <s v="High"/>
    <s v="High Risk"/>
  </r>
  <r>
    <n v="615"/>
    <x v="414"/>
    <x v="37"/>
    <x v="1"/>
    <n v="9"/>
    <d v="2024-12-02T00:00:00"/>
    <d v="2024-12-05T00:00:00"/>
    <n v="1"/>
    <n v="115837.3"/>
    <s v="Diabetes"/>
    <s v="Recovered"/>
    <n v="3"/>
    <s v="High"/>
    <s v="low risk"/>
  </r>
  <r>
    <n v="616"/>
    <x v="415"/>
    <x v="66"/>
    <x v="1"/>
    <n v="2"/>
    <d v="2023-04-29T00:00:00"/>
    <d v="2023-05-19T00:00:00"/>
    <n v="2"/>
    <n v="5174.5200000000004"/>
    <s v="Hypertension"/>
    <s v="Improved"/>
    <n v="20"/>
    <s v="High"/>
    <s v="High Risk"/>
  </r>
  <r>
    <n v="617"/>
    <x v="135"/>
    <x v="18"/>
    <x v="0"/>
    <n v="4"/>
    <d v="2022-01-19T00:00:00"/>
    <d v="2022-01-20T00:00:00"/>
    <n v="2"/>
    <n v="125108.38"/>
    <s v="Hypertension"/>
    <s v="Improved"/>
    <n v="1"/>
    <s v="High"/>
    <s v="High Risk"/>
  </r>
  <r>
    <n v="618"/>
    <x v="189"/>
    <x v="51"/>
    <x v="1"/>
    <n v="4"/>
    <d v="2022-11-19T00:00:00"/>
    <d v="2022-12-04T00:00:00"/>
    <n v="1"/>
    <n v="112309.46"/>
    <s v="Diabetes"/>
    <s v="Recovered"/>
    <n v="15"/>
    <s v="High"/>
    <s v="low risk"/>
  </r>
  <r>
    <n v="619"/>
    <x v="416"/>
    <x v="4"/>
    <x v="1"/>
    <n v="9"/>
    <d v="2026-06-09T00:00:00"/>
    <d v="2026-06-12T00:00:00"/>
    <n v="1"/>
    <n v="43799.75"/>
    <s v="Diabetes"/>
    <s v="Recovered"/>
    <n v="3"/>
    <s v="High"/>
    <s v="low risk"/>
  </r>
  <r>
    <n v="620"/>
    <x v="417"/>
    <x v="46"/>
    <x v="1"/>
    <n v="1"/>
    <d v="2025-11-12T00:00:00"/>
    <d v="2025-11-24T00:00:00"/>
    <n v="2"/>
    <n v="26414.959999999999"/>
    <s v="Hypertension"/>
    <s v="Improved"/>
    <n v="12"/>
    <s v="High"/>
    <s v="High Risk"/>
  </r>
  <r>
    <n v="621"/>
    <x v="418"/>
    <x v="71"/>
    <x v="0"/>
    <n v="9"/>
    <d v="2023-08-27T00:00:00"/>
    <d v="2023-09-13T00:00:00"/>
    <n v="3"/>
    <n v="36185.21"/>
    <s v="Asthma"/>
    <s v="Ongoing Treatment"/>
    <n v="17"/>
    <s v="High"/>
    <s v="High Risk"/>
  </r>
  <r>
    <n v="622"/>
    <x v="419"/>
    <x v="39"/>
    <x v="0"/>
    <n v="8"/>
    <d v="2023-07-18T00:00:00"/>
    <d v="2023-08-14T00:00:00"/>
    <n v="4"/>
    <n v="164819.14000000001"/>
    <s v="Pneumonia"/>
    <s v="Referred"/>
    <n v="27"/>
    <s v="High"/>
    <s v="High Risk"/>
  </r>
  <r>
    <n v="623"/>
    <x v="336"/>
    <x v="47"/>
    <x v="1"/>
    <n v="8"/>
    <d v="2023-08-29T00:00:00"/>
    <d v="2023-09-24T00:00:00"/>
    <n v="1"/>
    <n v="67662.509999999995"/>
    <s v="Diabetes"/>
    <s v="Recovered"/>
    <n v="26"/>
    <s v="High"/>
    <s v="low risk"/>
  </r>
  <r>
    <n v="624"/>
    <x v="49"/>
    <x v="49"/>
    <x v="1"/>
    <n v="1"/>
    <d v="2025-06-23T00:00:00"/>
    <d v="2025-07-20T00:00:00"/>
    <n v="2"/>
    <n v="112585.02"/>
    <s v="Hypertension"/>
    <s v="Improved"/>
    <n v="27"/>
    <s v="High"/>
    <s v="High Risk"/>
  </r>
  <r>
    <n v="625"/>
    <x v="420"/>
    <x v="43"/>
    <x v="0"/>
    <n v="4"/>
    <d v="2024-12-09T00:00:00"/>
    <d v="2024-12-30T00:00:00"/>
    <n v="2"/>
    <n v="100385.54"/>
    <s v="Hypertension"/>
    <s v="Improved"/>
    <n v="21"/>
    <s v="High"/>
    <s v="High Risk"/>
  </r>
  <r>
    <n v="626"/>
    <x v="364"/>
    <x v="85"/>
    <x v="0"/>
    <n v="6"/>
    <d v="2022-08-15T00:00:00"/>
    <d v="2022-08-18T00:00:00"/>
    <n v="2"/>
    <n v="14335.67"/>
    <s v="Hypertension"/>
    <s v="Improved"/>
    <n v="3"/>
    <s v="High"/>
    <s v="High Risk"/>
  </r>
  <r>
    <n v="627"/>
    <x v="421"/>
    <x v="75"/>
    <x v="1"/>
    <n v="2"/>
    <d v="2024-09-21T00:00:00"/>
    <d v="2024-09-27T00:00:00"/>
    <n v="1"/>
    <n v="103854.66"/>
    <s v="Diabetes"/>
    <s v="Recovered"/>
    <n v="6"/>
    <s v="High"/>
    <s v="low risk"/>
  </r>
  <r>
    <n v="628"/>
    <x v="352"/>
    <x v="83"/>
    <x v="0"/>
    <n v="1"/>
    <d v="2024-01-21T00:00:00"/>
    <d v="2024-01-28T00:00:00"/>
    <n v="2"/>
    <n v="15080.13"/>
    <s v="Hypertension"/>
    <s v="Improved"/>
    <n v="7"/>
    <s v="High"/>
    <s v="High Risk"/>
  </r>
  <r>
    <n v="629"/>
    <x v="280"/>
    <x v="5"/>
    <x v="0"/>
    <n v="1"/>
    <d v="2024-01-10T00:00:00"/>
    <d v="2024-01-27T00:00:00"/>
    <n v="3"/>
    <n v="160551.43"/>
    <s v="Asthma"/>
    <s v="Ongoing Treatment"/>
    <n v="17"/>
    <s v="High"/>
    <s v="High Risk"/>
  </r>
  <r>
    <n v="630"/>
    <x v="422"/>
    <x v="77"/>
    <x v="0"/>
    <n v="9"/>
    <d v="2022-03-25T00:00:00"/>
    <d v="2022-04-17T00:00:00"/>
    <n v="1"/>
    <n v="56443.06"/>
    <s v="Diabetes"/>
    <s v="Recovered"/>
    <n v="23"/>
    <s v="High"/>
    <s v="High Risk"/>
  </r>
  <r>
    <n v="631"/>
    <x v="423"/>
    <x v="72"/>
    <x v="1"/>
    <n v="4"/>
    <d v="2024-12-24T00:00:00"/>
    <d v="2025-01-05T00:00:00"/>
    <n v="1"/>
    <n v="95899.08"/>
    <s v="Diabetes"/>
    <s v="Recovered"/>
    <n v="12"/>
    <s v="High"/>
    <s v="low risk"/>
  </r>
  <r>
    <n v="632"/>
    <x v="424"/>
    <x v="11"/>
    <x v="1"/>
    <n v="9"/>
    <d v="2026-03-15T00:00:00"/>
    <d v="2026-04-01T00:00:00"/>
    <n v="2"/>
    <n v="21228.77"/>
    <s v="Hypertension"/>
    <s v="Improved"/>
    <n v="17"/>
    <s v="High"/>
    <s v="High Risk"/>
  </r>
  <r>
    <n v="633"/>
    <x v="112"/>
    <x v="62"/>
    <x v="0"/>
    <n v="7"/>
    <d v="2022-08-02T00:00:00"/>
    <d v="2022-08-07T00:00:00"/>
    <n v="4"/>
    <n v="100118.87"/>
    <s v="Pneumonia"/>
    <s v="Referred"/>
    <n v="5"/>
    <s v="High"/>
    <s v="High Risk"/>
  </r>
  <r>
    <n v="634"/>
    <x v="425"/>
    <x v="43"/>
    <x v="1"/>
    <n v="9"/>
    <d v="2025-05-13T00:00:00"/>
    <d v="2025-05-27T00:00:00"/>
    <n v="5"/>
    <n v="162691.07999999999"/>
    <s v="Heart Disease"/>
    <s v="Readmitted"/>
    <n v="14"/>
    <s v="High"/>
    <s v="High Risk"/>
  </r>
  <r>
    <n v="635"/>
    <x v="118"/>
    <x v="51"/>
    <x v="0"/>
    <n v="7"/>
    <d v="2026-08-19T00:00:00"/>
    <d v="2026-09-11T00:00:00"/>
    <n v="1"/>
    <n v="45228.25"/>
    <s v="Diabetes"/>
    <s v="Recovered"/>
    <n v="23"/>
    <s v="High"/>
    <s v="low risk"/>
  </r>
  <r>
    <n v="636"/>
    <x v="426"/>
    <x v="49"/>
    <x v="0"/>
    <n v="6"/>
    <d v="2024-07-15T00:00:00"/>
    <d v="2024-07-29T00:00:00"/>
    <n v="6"/>
    <n v="2534.7199999999998"/>
    <s v="Kidney Disease"/>
    <s v="Deceased"/>
    <n v="14"/>
    <s v="High"/>
    <s v="High Risk"/>
  </r>
  <r>
    <n v="637"/>
    <x v="427"/>
    <x v="80"/>
    <x v="1"/>
    <n v="9"/>
    <d v="2022-10-04T00:00:00"/>
    <d v="2022-11-01T00:00:00"/>
    <n v="1"/>
    <n v="55809.279999999999"/>
    <s v="Diabetes"/>
    <s v="Recovered"/>
    <n v="28"/>
    <s v="High"/>
    <s v="High Risk"/>
  </r>
  <r>
    <n v="638"/>
    <x v="54"/>
    <x v="25"/>
    <x v="1"/>
    <n v="5"/>
    <d v="2025-02-07T00:00:00"/>
    <d v="2025-02-23T00:00:00"/>
    <n v="2"/>
    <n v="166851.23000000001"/>
    <s v="Hypertension"/>
    <s v="Improved"/>
    <n v="16"/>
    <s v="High"/>
    <s v="High Risk"/>
  </r>
  <r>
    <n v="639"/>
    <x v="428"/>
    <x v="75"/>
    <x v="0"/>
    <n v="6"/>
    <d v="2022-11-16T00:00:00"/>
    <d v="2022-11-20T00:00:00"/>
    <n v="1"/>
    <n v="160408.5"/>
    <s v="Diabetes"/>
    <s v="Recovered"/>
    <n v="4"/>
    <s v="High"/>
    <s v="low risk"/>
  </r>
  <r>
    <n v="640"/>
    <x v="429"/>
    <x v="12"/>
    <x v="0"/>
    <n v="2"/>
    <d v="2025-03-14T00:00:00"/>
    <d v="2025-03-26T00:00:00"/>
    <n v="2"/>
    <n v="41095.120000000003"/>
    <s v="Hypertension"/>
    <s v="Improved"/>
    <n v="12"/>
    <s v="High"/>
    <s v="High Risk"/>
  </r>
  <r>
    <n v="641"/>
    <x v="430"/>
    <x v="68"/>
    <x v="1"/>
    <n v="8"/>
    <d v="2026-08-19T00:00:00"/>
    <d v="2026-09-16T00:00:00"/>
    <n v="3"/>
    <n v="104781.26"/>
    <s v="Asthma"/>
    <s v="Ongoing Treatment"/>
    <n v="28"/>
    <s v="High"/>
    <s v="High Risk"/>
  </r>
  <r>
    <n v="642"/>
    <x v="431"/>
    <x v="87"/>
    <x v="0"/>
    <n v="1"/>
    <d v="2026-02-05T00:00:00"/>
    <d v="2026-03-02T00:00:00"/>
    <n v="2"/>
    <n v="16429.740000000002"/>
    <s v="Hypertension"/>
    <s v="Improved"/>
    <n v="25"/>
    <s v="High"/>
    <s v="High Risk"/>
  </r>
  <r>
    <n v="643"/>
    <x v="171"/>
    <x v="39"/>
    <x v="0"/>
    <n v="7"/>
    <d v="2022-09-04T00:00:00"/>
    <d v="2022-10-01T00:00:00"/>
    <n v="4"/>
    <n v="135212.96"/>
    <s v="Pneumonia"/>
    <s v="Referred"/>
    <n v="27"/>
    <s v="High"/>
    <s v="High Risk"/>
  </r>
  <r>
    <n v="644"/>
    <x v="432"/>
    <x v="84"/>
    <x v="0"/>
    <n v="1"/>
    <d v="2023-09-17T00:00:00"/>
    <d v="2023-10-03T00:00:00"/>
    <n v="1"/>
    <n v="98337.53"/>
    <s v="Diabetes"/>
    <s v="Recovered"/>
    <n v="16"/>
    <s v="High"/>
    <s v="High Risk"/>
  </r>
  <r>
    <n v="645"/>
    <x v="433"/>
    <x v="91"/>
    <x v="1"/>
    <n v="3"/>
    <d v="2022-04-14T00:00:00"/>
    <d v="2022-05-05T00:00:00"/>
    <n v="3"/>
    <n v="72236.679999999993"/>
    <s v="Asthma"/>
    <s v="Ongoing Treatment"/>
    <n v="21"/>
    <s v="High"/>
    <s v="High Risk"/>
  </r>
  <r>
    <n v="646"/>
    <x v="160"/>
    <x v="74"/>
    <x v="1"/>
    <n v="4"/>
    <d v="2024-06-03T00:00:00"/>
    <d v="2024-06-12T00:00:00"/>
    <n v="4"/>
    <n v="28772.2"/>
    <s v="Pneumonia"/>
    <s v="Referred"/>
    <n v="9"/>
    <s v="High"/>
    <s v="High Risk"/>
  </r>
  <r>
    <n v="647"/>
    <x v="434"/>
    <x v="21"/>
    <x v="1"/>
    <n v="9"/>
    <d v="2024-03-28T00:00:00"/>
    <d v="2024-04-05T00:00:00"/>
    <n v="1"/>
    <n v="91573.6"/>
    <s v="Diabetes"/>
    <s v="Recovered"/>
    <n v="8"/>
    <s v="High"/>
    <s v="low risk"/>
  </r>
  <r>
    <n v="648"/>
    <x v="284"/>
    <x v="68"/>
    <x v="1"/>
    <n v="8"/>
    <d v="2024-03-20T00:00:00"/>
    <d v="2024-04-09T00:00:00"/>
    <n v="2"/>
    <n v="102107.25"/>
    <s v="Hypertension"/>
    <s v="Improved"/>
    <n v="20"/>
    <s v="High"/>
    <s v="High Risk"/>
  </r>
  <r>
    <n v="649"/>
    <x v="304"/>
    <x v="30"/>
    <x v="1"/>
    <n v="5"/>
    <d v="2026-05-10T00:00:00"/>
    <d v="2026-05-23T00:00:00"/>
    <n v="1"/>
    <n v="166534.51"/>
    <s v="Diabetes"/>
    <s v="Recovered"/>
    <n v="13"/>
    <s v="High"/>
    <s v="low risk"/>
  </r>
  <r>
    <n v="650"/>
    <x v="435"/>
    <x v="29"/>
    <x v="0"/>
    <n v="7"/>
    <d v="2024-01-19T00:00:00"/>
    <d v="2024-01-30T00:00:00"/>
    <n v="1"/>
    <n v="63653.17"/>
    <s v="Diabetes"/>
    <s v="Recovered"/>
    <n v="11"/>
    <s v="High"/>
    <s v="High Risk"/>
  </r>
  <r>
    <n v="651"/>
    <x v="436"/>
    <x v="93"/>
    <x v="0"/>
    <n v="10"/>
    <d v="2026-08-10T00:00:00"/>
    <d v="2026-09-04T00:00:00"/>
    <n v="2"/>
    <n v="28382.78"/>
    <s v="Hypertension"/>
    <s v="Improved"/>
    <n v="25"/>
    <s v="High"/>
    <s v="High Risk"/>
  </r>
  <r>
    <n v="652"/>
    <x v="437"/>
    <x v="2"/>
    <x v="0"/>
    <n v="3"/>
    <d v="2026-04-01T00:00:00"/>
    <d v="2026-04-24T00:00:00"/>
    <n v="5"/>
    <n v="22445.98"/>
    <s v="Heart Disease"/>
    <s v="Readmitted"/>
    <n v="23"/>
    <s v="High"/>
    <s v="High Risk"/>
  </r>
  <r>
    <n v="653"/>
    <x v="438"/>
    <x v="60"/>
    <x v="1"/>
    <n v="5"/>
    <d v="2022-01-29T00:00:00"/>
    <d v="2022-02-08T00:00:00"/>
    <n v="3"/>
    <n v="22251.84"/>
    <s v="Asthma"/>
    <s v="Ongoing Treatment"/>
    <n v="10"/>
    <s v="High"/>
    <s v="High Risk"/>
  </r>
  <r>
    <n v="654"/>
    <x v="439"/>
    <x v="56"/>
    <x v="0"/>
    <n v="4"/>
    <d v="2026-02-24T00:00:00"/>
    <d v="2026-03-13T00:00:00"/>
    <n v="1"/>
    <n v="99490.3"/>
    <s v="Diabetes"/>
    <s v="Recovered"/>
    <n v="17"/>
    <s v="High"/>
    <s v="low risk"/>
  </r>
  <r>
    <n v="655"/>
    <x v="237"/>
    <x v="68"/>
    <x v="1"/>
    <n v="1"/>
    <d v="2024-02-11T00:00:00"/>
    <d v="2024-02-29T00:00:00"/>
    <n v="5"/>
    <n v="96006.84"/>
    <s v="Heart Disease"/>
    <s v="Readmitted"/>
    <n v="18"/>
    <s v="High"/>
    <s v="High Risk"/>
  </r>
  <r>
    <n v="656"/>
    <x v="47"/>
    <x v="16"/>
    <x v="0"/>
    <n v="4"/>
    <d v="2026-06-05T00:00:00"/>
    <d v="2026-06-27T00:00:00"/>
    <n v="2"/>
    <n v="11922.63"/>
    <s v="Hypertension"/>
    <s v="Improved"/>
    <n v="22"/>
    <s v="High"/>
    <s v="High Risk"/>
  </r>
  <r>
    <n v="657"/>
    <x v="355"/>
    <x v="78"/>
    <x v="0"/>
    <n v="6"/>
    <d v="2022-08-09T00:00:00"/>
    <d v="2022-08-09T00:00:00"/>
    <n v="1"/>
    <n v="159303.91"/>
    <s v="Diabetes"/>
    <s v="Recovered"/>
    <n v="0"/>
    <s v="High"/>
    <s v="low risk"/>
  </r>
  <r>
    <n v="658"/>
    <x v="410"/>
    <x v="49"/>
    <x v="1"/>
    <n v="6"/>
    <d v="2024-09-19T00:00:00"/>
    <d v="2024-10-16T00:00:00"/>
    <n v="2"/>
    <n v="18123.669999999998"/>
    <s v="Hypertension"/>
    <s v="Improved"/>
    <n v="27"/>
    <s v="High"/>
    <s v="High Risk"/>
  </r>
  <r>
    <n v="659"/>
    <x v="440"/>
    <x v="65"/>
    <x v="1"/>
    <n v="1"/>
    <d v="2023-05-22T00:00:00"/>
    <d v="2023-06-20T00:00:00"/>
    <n v="2"/>
    <n v="61708.61"/>
    <s v="Hypertension"/>
    <s v="Improved"/>
    <n v="29"/>
    <s v="High"/>
    <s v="High Risk"/>
  </r>
  <r>
    <n v="660"/>
    <x v="441"/>
    <x v="56"/>
    <x v="0"/>
    <n v="6"/>
    <d v="2023-12-29T00:00:00"/>
    <d v="2024-01-18T00:00:00"/>
    <n v="1"/>
    <n v="179289.01"/>
    <s v="Diabetes"/>
    <s v="Recovered"/>
    <n v="20"/>
    <s v="High"/>
    <s v="low risk"/>
  </r>
  <r>
    <n v="661"/>
    <x v="100"/>
    <x v="16"/>
    <x v="0"/>
    <n v="7"/>
    <d v="2026-07-27T00:00:00"/>
    <d v="2026-07-27T00:00:00"/>
    <n v="5"/>
    <n v="170968.16"/>
    <s v="Heart Disease"/>
    <s v="Readmitted"/>
    <n v="0"/>
    <s v="High"/>
    <s v="High Risk"/>
  </r>
  <r>
    <n v="662"/>
    <x v="442"/>
    <x v="3"/>
    <x v="0"/>
    <n v="3"/>
    <d v="2022-06-29T00:00:00"/>
    <d v="2022-07-22T00:00:00"/>
    <n v="2"/>
    <n v="173007.51"/>
    <s v="Hypertension"/>
    <s v="Improved"/>
    <n v="23"/>
    <s v="High"/>
    <s v="High Risk"/>
  </r>
  <r>
    <n v="663"/>
    <x v="443"/>
    <x v="53"/>
    <x v="1"/>
    <n v="10"/>
    <d v="2022-11-09T00:00:00"/>
    <d v="2022-11-22T00:00:00"/>
    <n v="6"/>
    <n v="163978.03"/>
    <s v="Kidney Disease"/>
    <s v="Deceased"/>
    <n v="13"/>
    <s v="High"/>
    <s v="High Risk"/>
  </r>
  <r>
    <n v="664"/>
    <x v="444"/>
    <x v="15"/>
    <x v="1"/>
    <n v="4"/>
    <d v="2025-08-29T00:00:00"/>
    <d v="2025-09-02T00:00:00"/>
    <n v="2"/>
    <n v="123918.63"/>
    <s v="Hypertension"/>
    <s v="Improved"/>
    <n v="4"/>
    <s v="High"/>
    <s v="High Risk"/>
  </r>
  <r>
    <n v="665"/>
    <x v="445"/>
    <x v="38"/>
    <x v="1"/>
    <n v="7"/>
    <d v="2026-04-27T00:00:00"/>
    <d v="2026-05-01T00:00:00"/>
    <n v="3"/>
    <n v="102759.86"/>
    <s v="Asthma"/>
    <s v="Ongoing Treatment"/>
    <n v="4"/>
    <s v="High"/>
    <s v="High Risk"/>
  </r>
  <r>
    <n v="666"/>
    <x v="446"/>
    <x v="47"/>
    <x v="1"/>
    <n v="3"/>
    <d v="2023-10-13T00:00:00"/>
    <d v="2023-11-08T00:00:00"/>
    <n v="5"/>
    <n v="131556.62"/>
    <s v="Heart Disease"/>
    <s v="Readmitted"/>
    <n v="26"/>
    <s v="High"/>
    <s v="High Risk"/>
  </r>
  <r>
    <n v="667"/>
    <x v="48"/>
    <x v="36"/>
    <x v="0"/>
    <n v="8"/>
    <d v="2026-03-08T00:00:00"/>
    <d v="2026-04-06T00:00:00"/>
    <n v="4"/>
    <n v="115540.41"/>
    <s v="Pneumonia"/>
    <s v="Referred"/>
    <n v="29"/>
    <s v="High"/>
    <s v="High Risk"/>
  </r>
  <r>
    <n v="668"/>
    <x v="373"/>
    <x v="57"/>
    <x v="1"/>
    <n v="3"/>
    <d v="2023-01-14T00:00:00"/>
    <d v="2023-01-14T00:00:00"/>
    <n v="3"/>
    <n v="111126.73"/>
    <s v="Asthma"/>
    <s v="Ongoing Treatment"/>
    <n v="0"/>
    <s v="High"/>
    <s v="High Risk"/>
  </r>
  <r>
    <n v="669"/>
    <x v="447"/>
    <x v="27"/>
    <x v="1"/>
    <n v="10"/>
    <d v="2023-04-21T00:00:00"/>
    <d v="2023-04-28T00:00:00"/>
    <n v="3"/>
    <n v="66268.89"/>
    <s v="Asthma"/>
    <s v="Ongoing Treatment"/>
    <n v="7"/>
    <s v="High"/>
    <s v="High Risk"/>
  </r>
  <r>
    <n v="670"/>
    <x v="448"/>
    <x v="91"/>
    <x v="0"/>
    <n v="6"/>
    <d v="2023-01-12T00:00:00"/>
    <d v="2023-02-08T00:00:00"/>
    <n v="2"/>
    <n v="86607.83"/>
    <s v="Hypertension"/>
    <s v="Improved"/>
    <n v="27"/>
    <s v="High"/>
    <s v="High Risk"/>
  </r>
  <r>
    <n v="671"/>
    <x v="449"/>
    <x v="59"/>
    <x v="1"/>
    <n v="7"/>
    <d v="2026-04-15T00:00:00"/>
    <d v="2026-04-15T00:00:00"/>
    <n v="5"/>
    <n v="171160.15"/>
    <s v="Heart Disease"/>
    <s v="Readmitted"/>
    <n v="0"/>
    <s v="High"/>
    <s v="High Risk"/>
  </r>
  <r>
    <n v="672"/>
    <x v="54"/>
    <x v="79"/>
    <x v="1"/>
    <n v="3"/>
    <d v="2024-06-18T00:00:00"/>
    <d v="2024-07-15T00:00:00"/>
    <n v="2"/>
    <n v="124595.63"/>
    <s v="Hypertension"/>
    <s v="Improved"/>
    <n v="27"/>
    <s v="High"/>
    <s v="High Risk"/>
  </r>
  <r>
    <n v="673"/>
    <x v="450"/>
    <x v="22"/>
    <x v="0"/>
    <n v="1"/>
    <d v="2025-05-30T00:00:00"/>
    <d v="2025-06-22T00:00:00"/>
    <n v="4"/>
    <n v="130335.66"/>
    <s v="Pneumonia"/>
    <s v="Referred"/>
    <n v="23"/>
    <s v="High"/>
    <s v="High Risk"/>
  </r>
  <r>
    <n v="674"/>
    <x v="451"/>
    <x v="74"/>
    <x v="1"/>
    <n v="9"/>
    <d v="2022-08-12T00:00:00"/>
    <d v="2022-08-26T00:00:00"/>
    <n v="2"/>
    <n v="158303.64000000001"/>
    <s v="Hypertension"/>
    <s v="Improved"/>
    <n v="14"/>
    <s v="High"/>
    <s v="High Risk"/>
  </r>
  <r>
    <n v="675"/>
    <x v="452"/>
    <x v="42"/>
    <x v="0"/>
    <n v="1"/>
    <d v="2025-02-16T00:00:00"/>
    <d v="2025-02-28T00:00:00"/>
    <n v="2"/>
    <n v="114440.12"/>
    <s v="Hypertension"/>
    <s v="Improved"/>
    <n v="12"/>
    <s v="High"/>
    <s v="High Risk"/>
  </r>
  <r>
    <n v="676"/>
    <x v="360"/>
    <x v="13"/>
    <x v="0"/>
    <n v="7"/>
    <d v="2023-09-16T00:00:00"/>
    <d v="2023-10-10T00:00:00"/>
    <n v="4"/>
    <n v="84389.119999999995"/>
    <s v="Pneumonia"/>
    <s v="Referred"/>
    <n v="24"/>
    <s v="High"/>
    <s v="High Risk"/>
  </r>
  <r>
    <n v="677"/>
    <x v="453"/>
    <x v="77"/>
    <x v="1"/>
    <n v="9"/>
    <d v="2022-10-19T00:00:00"/>
    <d v="2022-11-02T00:00:00"/>
    <n v="4"/>
    <n v="82676.41"/>
    <s v="Pneumonia"/>
    <s v="Referred"/>
    <n v="14"/>
    <s v="High"/>
    <s v="High Risk"/>
  </r>
  <r>
    <n v="678"/>
    <x v="141"/>
    <x v="63"/>
    <x v="1"/>
    <n v="7"/>
    <d v="2024-04-26T00:00:00"/>
    <d v="2024-05-06T00:00:00"/>
    <n v="2"/>
    <n v="34250.949999999997"/>
    <s v="Hypertension"/>
    <s v="Improved"/>
    <n v="10"/>
    <s v="High"/>
    <s v="High Risk"/>
  </r>
  <r>
    <n v="679"/>
    <x v="454"/>
    <x v="65"/>
    <x v="1"/>
    <n v="5"/>
    <d v="2023-10-26T00:00:00"/>
    <d v="2023-11-17T00:00:00"/>
    <n v="2"/>
    <n v="128785.88"/>
    <s v="Hypertension"/>
    <s v="Improved"/>
    <n v="22"/>
    <s v="High"/>
    <s v="High Risk"/>
  </r>
  <r>
    <n v="680"/>
    <x v="307"/>
    <x v="86"/>
    <x v="1"/>
    <n v="8"/>
    <d v="2025-07-22T00:00:00"/>
    <d v="2025-08-02T00:00:00"/>
    <n v="1"/>
    <n v="128042.04"/>
    <s v="Diabetes"/>
    <s v="Recovered"/>
    <n v="11"/>
    <s v="High"/>
    <s v="low risk"/>
  </r>
  <r>
    <n v="681"/>
    <x v="455"/>
    <x v="37"/>
    <x v="0"/>
    <n v="9"/>
    <d v="2024-02-19T00:00:00"/>
    <d v="2024-02-20T00:00:00"/>
    <n v="3"/>
    <n v="164424.87"/>
    <s v="Asthma"/>
    <s v="Ongoing Treatment"/>
    <n v="1"/>
    <s v="High"/>
    <s v="High Risk"/>
  </r>
  <r>
    <n v="682"/>
    <x v="456"/>
    <x v="37"/>
    <x v="1"/>
    <n v="3"/>
    <d v="2026-04-25T00:00:00"/>
    <d v="2026-05-17T00:00:00"/>
    <n v="1"/>
    <n v="57181.04"/>
    <s v="Diabetes"/>
    <s v="Recovered"/>
    <n v="22"/>
    <s v="High"/>
    <s v="low risk"/>
  </r>
  <r>
    <n v="683"/>
    <x v="457"/>
    <x v="11"/>
    <x v="1"/>
    <n v="2"/>
    <d v="2022-09-27T00:00:00"/>
    <d v="2022-10-27T00:00:00"/>
    <n v="1"/>
    <n v="113004.46"/>
    <s v="Diabetes"/>
    <s v="Recovered"/>
    <n v="30"/>
    <s v="High"/>
    <s v="High Risk"/>
  </r>
  <r>
    <n v="684"/>
    <x v="458"/>
    <x v="65"/>
    <x v="0"/>
    <n v="8"/>
    <d v="2025-01-18T00:00:00"/>
    <d v="2025-02-12T00:00:00"/>
    <n v="1"/>
    <n v="159179.76999999999"/>
    <s v="Diabetes"/>
    <s v="Recovered"/>
    <n v="25"/>
    <s v="High"/>
    <s v="low risk"/>
  </r>
  <r>
    <n v="685"/>
    <x v="459"/>
    <x v="1"/>
    <x v="0"/>
    <n v="8"/>
    <d v="2024-04-19T00:00:00"/>
    <d v="2024-05-03T00:00:00"/>
    <n v="1"/>
    <n v="109018.12"/>
    <s v="Diabetes"/>
    <s v="Recovered"/>
    <n v="14"/>
    <s v="High"/>
    <s v="High Risk"/>
  </r>
  <r>
    <n v="686"/>
    <x v="236"/>
    <x v="23"/>
    <x v="1"/>
    <n v="1"/>
    <d v="2023-01-14T00:00:00"/>
    <d v="2023-01-18T00:00:00"/>
    <n v="1"/>
    <n v="64451.02"/>
    <s v="Diabetes"/>
    <s v="Recovered"/>
    <n v="4"/>
    <s v="High"/>
    <s v="low risk"/>
  </r>
  <r>
    <n v="687"/>
    <x v="412"/>
    <x v="29"/>
    <x v="0"/>
    <n v="6"/>
    <d v="2022-06-29T00:00:00"/>
    <d v="2022-06-30T00:00:00"/>
    <n v="1"/>
    <n v="178887.99"/>
    <s v="Diabetes"/>
    <s v="Recovered"/>
    <n v="1"/>
    <s v="High"/>
    <s v="High Risk"/>
  </r>
  <r>
    <n v="688"/>
    <x v="68"/>
    <x v="77"/>
    <x v="1"/>
    <n v="8"/>
    <d v="2026-03-15T00:00:00"/>
    <d v="2026-04-02T00:00:00"/>
    <n v="2"/>
    <n v="8861.61"/>
    <s v="Hypertension"/>
    <s v="Improved"/>
    <n v="18"/>
    <s v="High"/>
    <s v="High Risk"/>
  </r>
  <r>
    <n v="689"/>
    <x v="414"/>
    <x v="51"/>
    <x v="0"/>
    <n v="2"/>
    <d v="2026-04-03T00:00:00"/>
    <d v="2026-04-16T00:00:00"/>
    <n v="4"/>
    <n v="14024.34"/>
    <s v="Pneumonia"/>
    <s v="Referred"/>
    <n v="13"/>
    <s v="High"/>
    <s v="High Risk"/>
  </r>
  <r>
    <n v="690"/>
    <x v="448"/>
    <x v="18"/>
    <x v="0"/>
    <n v="6"/>
    <d v="2024-12-15T00:00:00"/>
    <d v="2024-12-28T00:00:00"/>
    <n v="2"/>
    <n v="126009.74"/>
    <s v="Hypertension"/>
    <s v="Improved"/>
    <n v="13"/>
    <s v="High"/>
    <s v="High Risk"/>
  </r>
  <r>
    <n v="691"/>
    <x v="460"/>
    <x v="52"/>
    <x v="1"/>
    <n v="8"/>
    <d v="2026-01-22T00:00:00"/>
    <d v="2026-02-13T00:00:00"/>
    <n v="2"/>
    <n v="142402.81"/>
    <s v="Hypertension"/>
    <s v="Improved"/>
    <n v="22"/>
    <s v="High"/>
    <s v="High Risk"/>
  </r>
  <r>
    <n v="692"/>
    <x v="251"/>
    <x v="41"/>
    <x v="0"/>
    <n v="5"/>
    <d v="2024-12-12T00:00:00"/>
    <d v="2024-12-30T00:00:00"/>
    <n v="6"/>
    <n v="65308.97"/>
    <s v="Kidney Disease"/>
    <s v="Deceased"/>
    <n v="18"/>
    <s v="High"/>
    <s v="High Risk"/>
  </r>
  <r>
    <n v="693"/>
    <x v="461"/>
    <x v="27"/>
    <x v="0"/>
    <n v="9"/>
    <d v="2026-02-02T00:00:00"/>
    <d v="2026-02-22T00:00:00"/>
    <n v="2"/>
    <n v="145916.51"/>
    <s v="Hypertension"/>
    <s v="Improved"/>
    <n v="20"/>
    <s v="High"/>
    <s v="High Risk"/>
  </r>
  <r>
    <n v="694"/>
    <x v="443"/>
    <x v="71"/>
    <x v="0"/>
    <n v="4"/>
    <d v="2022-01-04T00:00:00"/>
    <d v="2022-01-07T00:00:00"/>
    <n v="1"/>
    <n v="113519.28"/>
    <s v="Diabetes"/>
    <s v="Recovered"/>
    <n v="3"/>
    <s v="High"/>
    <s v="High Risk"/>
  </r>
  <r>
    <n v="695"/>
    <x v="462"/>
    <x v="77"/>
    <x v="0"/>
    <n v="7"/>
    <d v="2022-04-04T00:00:00"/>
    <d v="2022-04-14T00:00:00"/>
    <n v="1"/>
    <n v="145572.72"/>
    <s v="Diabetes"/>
    <s v="Recovered"/>
    <n v="10"/>
    <s v="High"/>
    <s v="High Risk"/>
  </r>
  <r>
    <n v="696"/>
    <x v="463"/>
    <x v="84"/>
    <x v="1"/>
    <n v="5"/>
    <d v="2023-06-06T00:00:00"/>
    <d v="2023-07-01T00:00:00"/>
    <n v="1"/>
    <n v="55800.41"/>
    <s v="Diabetes"/>
    <s v="Recovered"/>
    <n v="25"/>
    <s v="High"/>
    <s v="High Risk"/>
  </r>
  <r>
    <n v="697"/>
    <x v="118"/>
    <x v="19"/>
    <x v="1"/>
    <n v="6"/>
    <d v="2023-12-01T00:00:00"/>
    <d v="2023-12-13T00:00:00"/>
    <n v="3"/>
    <n v="111838.82"/>
    <s v="Asthma"/>
    <s v="Ongoing Treatment"/>
    <n v="12"/>
    <s v="High"/>
    <s v="High Risk"/>
  </r>
  <r>
    <n v="698"/>
    <x v="464"/>
    <x v="57"/>
    <x v="0"/>
    <n v="6"/>
    <d v="2025-10-09T00:00:00"/>
    <d v="2025-10-24T00:00:00"/>
    <n v="5"/>
    <n v="144012.65"/>
    <s v="Heart Disease"/>
    <s v="Readmitted"/>
    <n v="15"/>
    <s v="High"/>
    <s v="High Risk"/>
  </r>
  <r>
    <n v="699"/>
    <x v="465"/>
    <x v="50"/>
    <x v="0"/>
    <n v="9"/>
    <d v="2023-11-18T00:00:00"/>
    <d v="2023-12-02T00:00:00"/>
    <n v="4"/>
    <n v="75976.67"/>
    <s v="Pneumonia"/>
    <s v="Referred"/>
    <n v="14"/>
    <s v="High"/>
    <s v="High Risk"/>
  </r>
  <r>
    <n v="700"/>
    <x v="208"/>
    <x v="94"/>
    <x v="0"/>
    <n v="9"/>
    <d v="2025-01-02T00:00:00"/>
    <d v="2025-01-02T00:00:00"/>
    <n v="1"/>
    <n v="124175.06"/>
    <s v="Diabetes"/>
    <s v="Recovered"/>
    <n v="0"/>
    <s v="High"/>
    <s v="low risk"/>
  </r>
  <r>
    <n v="701"/>
    <x v="36"/>
    <x v="50"/>
    <x v="0"/>
    <n v="1"/>
    <d v="2023-11-26T00:00:00"/>
    <d v="2023-12-08T00:00:00"/>
    <n v="2"/>
    <n v="152027.03"/>
    <s v="Hypertension"/>
    <s v="Improved"/>
    <n v="12"/>
    <s v="High"/>
    <s v="High Risk"/>
  </r>
  <r>
    <n v="702"/>
    <x v="150"/>
    <x v="78"/>
    <x v="1"/>
    <n v="10"/>
    <d v="2022-08-28T00:00:00"/>
    <d v="2022-09-24T00:00:00"/>
    <n v="4"/>
    <n v="57219.95"/>
    <s v="Pneumonia"/>
    <s v="Referred"/>
    <n v="27"/>
    <s v="High"/>
    <s v="High Risk"/>
  </r>
  <r>
    <n v="703"/>
    <x v="108"/>
    <x v="32"/>
    <x v="0"/>
    <n v="2"/>
    <d v="2024-10-14T00:00:00"/>
    <d v="2024-11-11T00:00:00"/>
    <n v="1"/>
    <n v="82713.37"/>
    <s v="Diabetes"/>
    <s v="Recovered"/>
    <n v="28"/>
    <s v="High"/>
    <s v="low risk"/>
  </r>
  <r>
    <n v="704"/>
    <x v="466"/>
    <x v="83"/>
    <x v="0"/>
    <n v="3"/>
    <d v="2022-08-18T00:00:00"/>
    <d v="2022-08-29T00:00:00"/>
    <n v="4"/>
    <n v="140557.79"/>
    <s v="Pneumonia"/>
    <s v="Referred"/>
    <n v="11"/>
    <s v="High"/>
    <s v="High Risk"/>
  </r>
  <r>
    <n v="705"/>
    <x v="279"/>
    <x v="91"/>
    <x v="1"/>
    <n v="8"/>
    <d v="2024-10-21T00:00:00"/>
    <d v="2024-10-25T00:00:00"/>
    <n v="1"/>
    <n v="166445.53"/>
    <s v="Diabetes"/>
    <s v="Recovered"/>
    <n v="4"/>
    <s v="High"/>
    <s v="low risk"/>
  </r>
  <r>
    <n v="706"/>
    <x v="127"/>
    <x v="85"/>
    <x v="1"/>
    <n v="2"/>
    <d v="2026-08-11T00:00:00"/>
    <d v="2026-09-10T00:00:00"/>
    <n v="2"/>
    <n v="178707.86"/>
    <s v="Hypertension"/>
    <s v="Improved"/>
    <n v="30"/>
    <s v="High"/>
    <s v="High Risk"/>
  </r>
  <r>
    <n v="707"/>
    <x v="467"/>
    <x v="65"/>
    <x v="0"/>
    <n v="9"/>
    <d v="2022-08-26T00:00:00"/>
    <d v="2022-08-26T00:00:00"/>
    <n v="1"/>
    <n v="10315.32"/>
    <s v="Diabetes"/>
    <s v="Recovered"/>
    <n v="0"/>
    <s v="High"/>
    <s v="low risk"/>
  </r>
  <r>
    <n v="708"/>
    <x v="468"/>
    <x v="64"/>
    <x v="0"/>
    <n v="1"/>
    <d v="2022-07-31T00:00:00"/>
    <d v="2022-08-16T00:00:00"/>
    <n v="3"/>
    <n v="134835.96"/>
    <s v="Asthma"/>
    <s v="Ongoing Treatment"/>
    <n v="16"/>
    <s v="High"/>
    <s v="High Risk"/>
  </r>
  <r>
    <n v="709"/>
    <x v="469"/>
    <x v="38"/>
    <x v="1"/>
    <n v="6"/>
    <d v="2023-02-15T00:00:00"/>
    <d v="2023-02-21T00:00:00"/>
    <n v="1"/>
    <n v="96978.96"/>
    <s v="Diabetes"/>
    <s v="Recovered"/>
    <n v="6"/>
    <s v="High"/>
    <s v="low risk"/>
  </r>
  <r>
    <n v="710"/>
    <x v="153"/>
    <x v="32"/>
    <x v="1"/>
    <n v="3"/>
    <d v="2023-07-15T00:00:00"/>
    <d v="2023-07-18T00:00:00"/>
    <n v="1"/>
    <n v="113072.73"/>
    <s v="Diabetes"/>
    <s v="Recovered"/>
    <n v="3"/>
    <s v="High"/>
    <s v="low risk"/>
  </r>
  <r>
    <n v="711"/>
    <x v="141"/>
    <x v="79"/>
    <x v="0"/>
    <n v="9"/>
    <d v="2023-10-15T00:00:00"/>
    <d v="2023-10-23T00:00:00"/>
    <n v="1"/>
    <n v="127522.78"/>
    <s v="Diabetes"/>
    <s v="Recovered"/>
    <n v="8"/>
    <s v="High"/>
    <s v="low risk"/>
  </r>
  <r>
    <n v="712"/>
    <x v="214"/>
    <x v="30"/>
    <x v="1"/>
    <n v="2"/>
    <d v="2023-09-30T00:00:00"/>
    <d v="2023-10-19T00:00:00"/>
    <n v="5"/>
    <n v="98452.44"/>
    <s v="Heart Disease"/>
    <s v="Readmitted"/>
    <n v="19"/>
    <s v="High"/>
    <s v="High Risk"/>
  </r>
  <r>
    <n v="713"/>
    <x v="470"/>
    <x v="67"/>
    <x v="0"/>
    <n v="1"/>
    <d v="2022-08-05T00:00:00"/>
    <d v="2022-08-17T00:00:00"/>
    <n v="1"/>
    <n v="78197.67"/>
    <s v="Diabetes"/>
    <s v="Recovered"/>
    <n v="12"/>
    <s v="High"/>
    <s v="low risk"/>
  </r>
  <r>
    <n v="714"/>
    <x v="52"/>
    <x v="1"/>
    <x v="0"/>
    <n v="10"/>
    <d v="2023-12-30T00:00:00"/>
    <d v="2024-01-08T00:00:00"/>
    <n v="1"/>
    <n v="37671.120000000003"/>
    <s v="Diabetes"/>
    <s v="Recovered"/>
    <n v="9"/>
    <s v="High"/>
    <s v="High Risk"/>
  </r>
  <r>
    <n v="715"/>
    <x v="1"/>
    <x v="55"/>
    <x v="1"/>
    <n v="2"/>
    <d v="2026-07-23T00:00:00"/>
    <d v="2026-08-17T00:00:00"/>
    <n v="5"/>
    <n v="85618.97"/>
    <s v="Heart Disease"/>
    <s v="Readmitted"/>
    <n v="25"/>
    <s v="High"/>
    <s v="High Risk"/>
  </r>
  <r>
    <n v="716"/>
    <x v="29"/>
    <x v="7"/>
    <x v="0"/>
    <n v="8"/>
    <d v="2023-04-20T00:00:00"/>
    <d v="2023-05-20T00:00:00"/>
    <n v="1"/>
    <n v="155344.59"/>
    <s v="Diabetes"/>
    <s v="Recovered"/>
    <n v="30"/>
    <s v="High"/>
    <s v="High Risk"/>
  </r>
  <r>
    <n v="717"/>
    <x v="411"/>
    <x v="76"/>
    <x v="0"/>
    <n v="3"/>
    <d v="2025-12-03T00:00:00"/>
    <d v="2026-01-01T00:00:00"/>
    <n v="3"/>
    <n v="142508.22"/>
    <s v="Asthma"/>
    <s v="Ongoing Treatment"/>
    <n v="29"/>
    <s v="High"/>
    <s v="High Risk"/>
  </r>
  <r>
    <n v="718"/>
    <x v="471"/>
    <x v="33"/>
    <x v="1"/>
    <n v="2"/>
    <d v="2024-08-31T00:00:00"/>
    <d v="2024-09-03T00:00:00"/>
    <n v="2"/>
    <n v="84370.4"/>
    <s v="Hypertension"/>
    <s v="Improved"/>
    <n v="3"/>
    <s v="High"/>
    <s v="High Risk"/>
  </r>
  <r>
    <n v="719"/>
    <x v="68"/>
    <x v="39"/>
    <x v="1"/>
    <n v="9"/>
    <d v="2022-07-30T00:00:00"/>
    <d v="2022-08-11T00:00:00"/>
    <n v="4"/>
    <n v="143924.5"/>
    <s v="Pneumonia"/>
    <s v="Referred"/>
    <n v="12"/>
    <s v="High"/>
    <s v="High Risk"/>
  </r>
  <r>
    <n v="720"/>
    <x v="472"/>
    <x v="24"/>
    <x v="1"/>
    <n v="5"/>
    <d v="2024-12-27T00:00:00"/>
    <d v="2025-01-10T00:00:00"/>
    <n v="2"/>
    <n v="75885.94"/>
    <s v="Hypertension"/>
    <s v="Improved"/>
    <n v="14"/>
    <s v="High"/>
    <s v="High Risk"/>
  </r>
  <r>
    <n v="721"/>
    <x v="443"/>
    <x v="92"/>
    <x v="1"/>
    <n v="8"/>
    <d v="2024-02-26T00:00:00"/>
    <d v="2024-02-28T00:00:00"/>
    <n v="1"/>
    <n v="146970.04"/>
    <s v="Diabetes"/>
    <s v="Recovered"/>
    <n v="2"/>
    <s v="High"/>
    <s v="High Risk"/>
  </r>
  <r>
    <n v="722"/>
    <x v="473"/>
    <x v="54"/>
    <x v="0"/>
    <n v="9"/>
    <d v="2025-11-22T00:00:00"/>
    <d v="2025-11-29T00:00:00"/>
    <n v="1"/>
    <n v="121354.92"/>
    <s v="Diabetes"/>
    <s v="Recovered"/>
    <n v="7"/>
    <s v="High"/>
    <s v="low risk"/>
  </r>
  <r>
    <n v="723"/>
    <x v="474"/>
    <x v="58"/>
    <x v="0"/>
    <n v="6"/>
    <d v="2025-02-10T00:00:00"/>
    <d v="2025-02-13T00:00:00"/>
    <n v="4"/>
    <n v="33770.89"/>
    <s v="Pneumonia"/>
    <s v="Referred"/>
    <n v="3"/>
    <s v="High"/>
    <s v="High Risk"/>
  </r>
  <r>
    <n v="724"/>
    <x v="106"/>
    <x v="80"/>
    <x v="1"/>
    <n v="10"/>
    <d v="2026-04-29T00:00:00"/>
    <d v="2026-05-25T00:00:00"/>
    <n v="2"/>
    <n v="90237.39"/>
    <s v="Hypertension"/>
    <s v="Improved"/>
    <n v="26"/>
    <s v="High"/>
    <s v="High Risk"/>
  </r>
  <r>
    <n v="725"/>
    <x v="175"/>
    <x v="8"/>
    <x v="1"/>
    <n v="10"/>
    <d v="2026-03-27T00:00:00"/>
    <d v="2026-04-16T00:00:00"/>
    <n v="4"/>
    <n v="136881.29"/>
    <s v="Pneumonia"/>
    <s v="Referred"/>
    <n v="20"/>
    <s v="High"/>
    <s v="High Risk"/>
  </r>
  <r>
    <n v="726"/>
    <x v="101"/>
    <x v="42"/>
    <x v="0"/>
    <n v="7"/>
    <d v="2025-06-14T00:00:00"/>
    <d v="2025-07-02T00:00:00"/>
    <n v="2"/>
    <n v="39004.949999999997"/>
    <s v="Hypertension"/>
    <s v="Improved"/>
    <n v="18"/>
    <s v="High"/>
    <s v="High Risk"/>
  </r>
  <r>
    <n v="727"/>
    <x v="475"/>
    <x v="27"/>
    <x v="0"/>
    <n v="7"/>
    <d v="2026-01-10T00:00:00"/>
    <d v="2026-02-08T00:00:00"/>
    <n v="1"/>
    <n v="18348.509999999998"/>
    <s v="Diabetes"/>
    <s v="Recovered"/>
    <n v="29"/>
    <s v="High"/>
    <s v="High Risk"/>
  </r>
  <r>
    <n v="728"/>
    <x v="476"/>
    <x v="26"/>
    <x v="0"/>
    <n v="3"/>
    <d v="2023-08-26T00:00:00"/>
    <d v="2023-08-27T00:00:00"/>
    <n v="2"/>
    <n v="99927.11"/>
    <s v="Hypertension"/>
    <s v="Improved"/>
    <n v="1"/>
    <s v="High"/>
    <s v="High Risk"/>
  </r>
  <r>
    <n v="729"/>
    <x v="339"/>
    <x v="71"/>
    <x v="0"/>
    <n v="2"/>
    <d v="2023-08-01T00:00:00"/>
    <d v="2023-08-28T00:00:00"/>
    <n v="1"/>
    <n v="79129.5"/>
    <s v="Diabetes"/>
    <s v="Recovered"/>
    <n v="27"/>
    <s v="High"/>
    <s v="High Risk"/>
  </r>
  <r>
    <n v="730"/>
    <x v="285"/>
    <x v="11"/>
    <x v="0"/>
    <n v="7"/>
    <d v="2024-04-11T00:00:00"/>
    <d v="2024-04-23T00:00:00"/>
    <n v="2"/>
    <n v="39990.85"/>
    <s v="Hypertension"/>
    <s v="Improved"/>
    <n v="12"/>
    <s v="High"/>
    <s v="High Risk"/>
  </r>
  <r>
    <n v="731"/>
    <x v="477"/>
    <x v="69"/>
    <x v="1"/>
    <n v="9"/>
    <d v="2024-02-27T00:00:00"/>
    <d v="2024-03-24T00:00:00"/>
    <n v="5"/>
    <n v="151593.38"/>
    <s v="Heart Disease"/>
    <s v="Readmitted"/>
    <n v="26"/>
    <s v="High"/>
    <s v="High Risk"/>
  </r>
  <r>
    <n v="732"/>
    <x v="371"/>
    <x v="29"/>
    <x v="1"/>
    <n v="3"/>
    <d v="2022-01-24T00:00:00"/>
    <d v="2022-01-26T00:00:00"/>
    <n v="2"/>
    <n v="28059.27"/>
    <s v="Hypertension"/>
    <s v="Improved"/>
    <n v="2"/>
    <s v="High"/>
    <s v="High Risk"/>
  </r>
  <r>
    <n v="733"/>
    <x v="478"/>
    <x v="69"/>
    <x v="1"/>
    <n v="3"/>
    <d v="2025-08-08T00:00:00"/>
    <d v="2025-09-02T00:00:00"/>
    <n v="2"/>
    <n v="83445.09"/>
    <s v="Hypertension"/>
    <s v="Improved"/>
    <n v="25"/>
    <s v="High"/>
    <s v="High Risk"/>
  </r>
  <r>
    <n v="734"/>
    <x v="479"/>
    <x v="60"/>
    <x v="1"/>
    <n v="8"/>
    <d v="2024-11-09T00:00:00"/>
    <d v="2024-11-22T00:00:00"/>
    <n v="2"/>
    <n v="82383.12"/>
    <s v="Hypertension"/>
    <s v="Improved"/>
    <n v="13"/>
    <s v="High"/>
    <s v="High Risk"/>
  </r>
  <r>
    <n v="735"/>
    <x v="65"/>
    <x v="63"/>
    <x v="0"/>
    <n v="10"/>
    <d v="2022-01-16T00:00:00"/>
    <d v="2022-02-03T00:00:00"/>
    <n v="2"/>
    <n v="132237.12"/>
    <s v="Hypertension"/>
    <s v="Improved"/>
    <n v="18"/>
    <s v="High"/>
    <s v="High Risk"/>
  </r>
  <r>
    <n v="736"/>
    <x v="100"/>
    <x v="36"/>
    <x v="0"/>
    <n v="1"/>
    <d v="2022-03-19T00:00:00"/>
    <d v="2022-04-06T00:00:00"/>
    <n v="2"/>
    <n v="67922.7"/>
    <s v="Hypertension"/>
    <s v="Improved"/>
    <n v="18"/>
    <s v="High"/>
    <s v="High Risk"/>
  </r>
  <r>
    <n v="737"/>
    <x v="480"/>
    <x v="61"/>
    <x v="1"/>
    <n v="3"/>
    <d v="2026-02-04T00:00:00"/>
    <d v="2026-02-27T00:00:00"/>
    <n v="2"/>
    <n v="155034.74"/>
    <s v="Hypertension"/>
    <s v="Improved"/>
    <n v="23"/>
    <s v="High"/>
    <s v="High Risk"/>
  </r>
  <r>
    <n v="738"/>
    <x v="303"/>
    <x v="28"/>
    <x v="1"/>
    <n v="9"/>
    <d v="2025-06-03T00:00:00"/>
    <d v="2025-06-05T00:00:00"/>
    <n v="1"/>
    <n v="114442.66"/>
    <s v="Diabetes"/>
    <s v="Recovered"/>
    <n v="2"/>
    <s v="High"/>
    <s v="High Risk"/>
  </r>
  <r>
    <n v="739"/>
    <x v="481"/>
    <x v="40"/>
    <x v="0"/>
    <n v="10"/>
    <d v="2022-04-19T00:00:00"/>
    <d v="2022-05-17T00:00:00"/>
    <n v="1"/>
    <n v="140688.57"/>
    <s v="Diabetes"/>
    <s v="Recovered"/>
    <n v="28"/>
    <s v="High"/>
    <s v="High Risk"/>
  </r>
  <r>
    <n v="740"/>
    <x v="72"/>
    <x v="26"/>
    <x v="0"/>
    <n v="10"/>
    <d v="2026-02-11T00:00:00"/>
    <d v="2026-02-21T00:00:00"/>
    <n v="2"/>
    <n v="173003.18"/>
    <s v="Hypertension"/>
    <s v="Improved"/>
    <n v="10"/>
    <s v="High"/>
    <s v="High Risk"/>
  </r>
  <r>
    <n v="741"/>
    <x v="276"/>
    <x v="93"/>
    <x v="1"/>
    <n v="10"/>
    <d v="2026-03-15T00:00:00"/>
    <d v="2026-03-24T00:00:00"/>
    <n v="3"/>
    <n v="102557.86"/>
    <s v="Asthma"/>
    <s v="Ongoing Treatment"/>
    <n v="9"/>
    <s v="High"/>
    <s v="High Risk"/>
  </r>
  <r>
    <n v="742"/>
    <x v="482"/>
    <x v="40"/>
    <x v="1"/>
    <n v="10"/>
    <d v="2022-04-16T00:00:00"/>
    <d v="2022-05-07T00:00:00"/>
    <n v="6"/>
    <n v="146079"/>
    <s v="Kidney Disease"/>
    <s v="Deceased"/>
    <n v="21"/>
    <s v="High"/>
    <s v="High Risk"/>
  </r>
  <r>
    <n v="743"/>
    <x v="483"/>
    <x v="44"/>
    <x v="0"/>
    <n v="2"/>
    <d v="2022-09-17T00:00:00"/>
    <d v="2022-10-03T00:00:00"/>
    <n v="1"/>
    <n v="141617.9"/>
    <s v="Diabetes"/>
    <s v="Recovered"/>
    <n v="16"/>
    <s v="High"/>
    <s v="low risk"/>
  </r>
  <r>
    <n v="744"/>
    <x v="484"/>
    <x v="77"/>
    <x v="0"/>
    <n v="5"/>
    <d v="2023-06-11T00:00:00"/>
    <d v="2023-06-11T00:00:00"/>
    <n v="3"/>
    <n v="109678.32"/>
    <s v="Asthma"/>
    <s v="Ongoing Treatment"/>
    <n v="0"/>
    <s v="High"/>
    <s v="High Risk"/>
  </r>
  <r>
    <n v="745"/>
    <x v="110"/>
    <x v="43"/>
    <x v="0"/>
    <n v="6"/>
    <d v="2026-07-13T00:00:00"/>
    <d v="2026-07-18T00:00:00"/>
    <n v="1"/>
    <n v="126887.54"/>
    <s v="Diabetes"/>
    <s v="Recovered"/>
    <n v="5"/>
    <s v="High"/>
    <s v="High Risk"/>
  </r>
  <r>
    <n v="746"/>
    <x v="270"/>
    <x v="83"/>
    <x v="1"/>
    <n v="6"/>
    <d v="2022-06-22T00:00:00"/>
    <d v="2022-07-22T00:00:00"/>
    <n v="1"/>
    <n v="168274.68"/>
    <s v="Diabetes"/>
    <s v="Recovered"/>
    <n v="30"/>
    <s v="High"/>
    <s v="High Risk"/>
  </r>
  <r>
    <n v="747"/>
    <x v="376"/>
    <x v="36"/>
    <x v="0"/>
    <n v="4"/>
    <d v="2025-09-15T00:00:00"/>
    <d v="2025-09-29T00:00:00"/>
    <n v="3"/>
    <n v="32192.78"/>
    <s v="Asthma"/>
    <s v="Ongoing Treatment"/>
    <n v="14"/>
    <s v="High"/>
    <s v="High Risk"/>
  </r>
  <r>
    <n v="748"/>
    <x v="112"/>
    <x v="66"/>
    <x v="0"/>
    <n v="2"/>
    <d v="2022-04-18T00:00:00"/>
    <d v="2022-04-23T00:00:00"/>
    <n v="2"/>
    <n v="87031.17"/>
    <s v="Hypertension"/>
    <s v="Improved"/>
    <n v="5"/>
    <s v="High"/>
    <s v="High Risk"/>
  </r>
  <r>
    <n v="749"/>
    <x v="485"/>
    <x v="73"/>
    <x v="0"/>
    <n v="7"/>
    <d v="2024-08-29T00:00:00"/>
    <d v="2024-09-06T00:00:00"/>
    <n v="1"/>
    <n v="156974.29999999999"/>
    <s v="Diabetes"/>
    <s v="Recovered"/>
    <n v="8"/>
    <s v="High"/>
    <s v="low risk"/>
  </r>
  <r>
    <n v="750"/>
    <x v="486"/>
    <x v="89"/>
    <x v="0"/>
    <n v="6"/>
    <d v="2024-12-21T00:00:00"/>
    <d v="2025-01-11T00:00:00"/>
    <n v="6"/>
    <n v="19782.169999999998"/>
    <s v="Kidney Disease"/>
    <s v="Deceased"/>
    <n v="21"/>
    <s v="High"/>
    <s v="High Risk"/>
  </r>
  <r>
    <n v="751"/>
    <x v="272"/>
    <x v="54"/>
    <x v="0"/>
    <n v="6"/>
    <d v="2023-07-08T00:00:00"/>
    <d v="2023-07-16T00:00:00"/>
    <n v="4"/>
    <n v="47823.55"/>
    <s v="Pneumonia"/>
    <s v="Referred"/>
    <n v="8"/>
    <s v="High"/>
    <s v="High Risk"/>
  </r>
  <r>
    <n v="752"/>
    <x v="285"/>
    <x v="55"/>
    <x v="1"/>
    <n v="10"/>
    <d v="2026-04-27T00:00:00"/>
    <d v="2026-05-03T00:00:00"/>
    <n v="2"/>
    <n v="122794.97"/>
    <s v="Hypertension"/>
    <s v="Improved"/>
    <n v="6"/>
    <s v="High"/>
    <s v="High Risk"/>
  </r>
  <r>
    <n v="753"/>
    <x v="311"/>
    <x v="92"/>
    <x v="1"/>
    <n v="1"/>
    <d v="2026-08-31T00:00:00"/>
    <d v="2026-09-02T00:00:00"/>
    <n v="1"/>
    <n v="19841.53"/>
    <s v="Diabetes"/>
    <s v="Recovered"/>
    <n v="2"/>
    <s v="High"/>
    <s v="High Risk"/>
  </r>
  <r>
    <n v="754"/>
    <x v="400"/>
    <x v="39"/>
    <x v="1"/>
    <n v="5"/>
    <d v="2023-05-31T00:00:00"/>
    <d v="2023-06-06T00:00:00"/>
    <n v="1"/>
    <n v="112443.01"/>
    <s v="Diabetes"/>
    <s v="Recovered"/>
    <n v="6"/>
    <s v="High"/>
    <s v="low risk"/>
  </r>
  <r>
    <n v="755"/>
    <x v="334"/>
    <x v="43"/>
    <x v="1"/>
    <n v="10"/>
    <d v="2025-07-30T00:00:00"/>
    <d v="2025-08-02T00:00:00"/>
    <n v="3"/>
    <n v="23795.94"/>
    <s v="Asthma"/>
    <s v="Ongoing Treatment"/>
    <n v="3"/>
    <s v="High"/>
    <s v="High Risk"/>
  </r>
  <r>
    <n v="756"/>
    <x v="189"/>
    <x v="49"/>
    <x v="1"/>
    <n v="2"/>
    <d v="2025-11-25T00:00:00"/>
    <d v="2025-11-30T00:00:00"/>
    <n v="1"/>
    <n v="85384.61"/>
    <s v="Diabetes"/>
    <s v="Recovered"/>
    <n v="5"/>
    <s v="High"/>
    <s v="low risk"/>
  </r>
  <r>
    <n v="757"/>
    <x v="169"/>
    <x v="23"/>
    <x v="0"/>
    <n v="6"/>
    <d v="2023-06-12T00:00:00"/>
    <d v="2023-06-17T00:00:00"/>
    <n v="4"/>
    <n v="51718.53"/>
    <s v="Pneumonia"/>
    <s v="Referred"/>
    <n v="5"/>
    <s v="High"/>
    <s v="High Risk"/>
  </r>
  <r>
    <n v="758"/>
    <x v="362"/>
    <x v="78"/>
    <x v="0"/>
    <n v="1"/>
    <d v="2023-06-13T00:00:00"/>
    <d v="2023-07-13T00:00:00"/>
    <n v="4"/>
    <n v="34082.480000000003"/>
    <s v="Pneumonia"/>
    <s v="Referred"/>
    <n v="30"/>
    <s v="High"/>
    <s v="High Risk"/>
  </r>
  <r>
    <n v="759"/>
    <x v="487"/>
    <x v="2"/>
    <x v="0"/>
    <n v="3"/>
    <d v="2025-08-14T00:00:00"/>
    <d v="2025-08-29T00:00:00"/>
    <n v="1"/>
    <n v="98462.21"/>
    <s v="Diabetes"/>
    <s v="Recovered"/>
    <n v="15"/>
    <s v="High"/>
    <s v="low risk"/>
  </r>
  <r>
    <n v="760"/>
    <x v="488"/>
    <x v="77"/>
    <x v="1"/>
    <n v="8"/>
    <d v="2026-01-05T00:00:00"/>
    <d v="2026-01-13T00:00:00"/>
    <n v="1"/>
    <n v="15443.21"/>
    <s v="Diabetes"/>
    <s v="Recovered"/>
    <n v="8"/>
    <s v="High"/>
    <s v="High Risk"/>
  </r>
  <r>
    <n v="761"/>
    <x v="187"/>
    <x v="89"/>
    <x v="1"/>
    <n v="8"/>
    <d v="2022-11-01T00:00:00"/>
    <d v="2022-11-21T00:00:00"/>
    <n v="2"/>
    <n v="168088.64"/>
    <s v="Hypertension"/>
    <s v="Improved"/>
    <n v="20"/>
    <s v="High"/>
    <s v="High Risk"/>
  </r>
  <r>
    <n v="762"/>
    <x v="489"/>
    <x v="50"/>
    <x v="0"/>
    <n v="7"/>
    <d v="2025-03-22T00:00:00"/>
    <d v="2025-03-22T00:00:00"/>
    <n v="2"/>
    <n v="169334.22"/>
    <s v="Hypertension"/>
    <s v="Improved"/>
    <n v="0"/>
    <s v="High"/>
    <s v="High Risk"/>
  </r>
  <r>
    <n v="763"/>
    <x v="378"/>
    <x v="54"/>
    <x v="0"/>
    <n v="2"/>
    <d v="2025-01-11T00:00:00"/>
    <d v="2025-01-18T00:00:00"/>
    <n v="1"/>
    <n v="171862.57"/>
    <s v="Diabetes"/>
    <s v="Recovered"/>
    <n v="7"/>
    <s v="High"/>
    <s v="low risk"/>
  </r>
  <r>
    <n v="764"/>
    <x v="263"/>
    <x v="27"/>
    <x v="0"/>
    <n v="6"/>
    <d v="2025-10-28T00:00:00"/>
    <d v="2025-11-06T00:00:00"/>
    <n v="2"/>
    <n v="114728.37"/>
    <s v="Hypertension"/>
    <s v="Improved"/>
    <n v="9"/>
    <s v="High"/>
    <s v="High Risk"/>
  </r>
  <r>
    <n v="765"/>
    <x v="250"/>
    <x v="42"/>
    <x v="0"/>
    <n v="2"/>
    <d v="2026-09-19T00:00:00"/>
    <d v="2026-10-03T00:00:00"/>
    <n v="3"/>
    <n v="53967.66"/>
    <s v="Asthma"/>
    <s v="Ongoing Treatment"/>
    <n v="14"/>
    <s v="High"/>
    <s v="High Risk"/>
  </r>
  <r>
    <n v="766"/>
    <x v="490"/>
    <x v="92"/>
    <x v="1"/>
    <n v="7"/>
    <d v="2025-09-15T00:00:00"/>
    <d v="2025-09-21T00:00:00"/>
    <n v="1"/>
    <n v="71743.59"/>
    <s v="Diabetes"/>
    <s v="Recovered"/>
    <n v="6"/>
    <s v="High"/>
    <s v="High Risk"/>
  </r>
  <r>
    <n v="767"/>
    <x v="122"/>
    <x v="33"/>
    <x v="1"/>
    <n v="8"/>
    <d v="2026-02-14T00:00:00"/>
    <d v="2026-02-20T00:00:00"/>
    <n v="1"/>
    <n v="36773.96"/>
    <s v="Diabetes"/>
    <s v="Recovered"/>
    <n v="6"/>
    <s v="High"/>
    <s v="low risk"/>
  </r>
  <r>
    <n v="768"/>
    <x v="22"/>
    <x v="33"/>
    <x v="0"/>
    <n v="2"/>
    <d v="2026-06-12T00:00:00"/>
    <d v="2026-06-29T00:00:00"/>
    <n v="2"/>
    <n v="91193.94"/>
    <s v="Hypertension"/>
    <s v="Improved"/>
    <n v="17"/>
    <s v="High"/>
    <s v="High Risk"/>
  </r>
  <r>
    <n v="769"/>
    <x v="491"/>
    <x v="75"/>
    <x v="0"/>
    <n v="1"/>
    <d v="2023-11-23T00:00:00"/>
    <d v="2023-12-18T00:00:00"/>
    <n v="3"/>
    <n v="74477.64"/>
    <s v="Asthma"/>
    <s v="Ongoing Treatment"/>
    <n v="25"/>
    <s v="High"/>
    <s v="High Risk"/>
  </r>
  <r>
    <n v="770"/>
    <x v="423"/>
    <x v="65"/>
    <x v="1"/>
    <n v="10"/>
    <d v="2023-04-23T00:00:00"/>
    <d v="2023-05-22T00:00:00"/>
    <n v="1"/>
    <n v="133044.1"/>
    <s v="Diabetes"/>
    <s v="Recovered"/>
    <n v="29"/>
    <s v="High"/>
    <s v="low risk"/>
  </r>
  <r>
    <n v="771"/>
    <x v="492"/>
    <x v="21"/>
    <x v="1"/>
    <n v="4"/>
    <d v="2025-12-07T00:00:00"/>
    <d v="2025-12-27T00:00:00"/>
    <n v="1"/>
    <n v="33074.199999999997"/>
    <s v="Diabetes"/>
    <s v="Recovered"/>
    <n v="20"/>
    <s v="High"/>
    <s v="low risk"/>
  </r>
  <r>
    <n v="772"/>
    <x v="493"/>
    <x v="72"/>
    <x v="0"/>
    <n v="10"/>
    <d v="2022-12-16T00:00:00"/>
    <d v="2023-01-11T00:00:00"/>
    <n v="2"/>
    <n v="147659.53"/>
    <s v="Hypertension"/>
    <s v="Improved"/>
    <n v="26"/>
    <s v="High"/>
    <s v="High Risk"/>
  </r>
  <r>
    <n v="773"/>
    <x v="283"/>
    <x v="90"/>
    <x v="1"/>
    <n v="2"/>
    <d v="2026-07-06T00:00:00"/>
    <d v="2026-07-12T00:00:00"/>
    <n v="2"/>
    <n v="146544.98000000001"/>
    <s v="Hypertension"/>
    <s v="Improved"/>
    <n v="6"/>
    <s v="High"/>
    <s v="High Risk"/>
  </r>
  <r>
    <n v="774"/>
    <x v="255"/>
    <x v="18"/>
    <x v="1"/>
    <n v="6"/>
    <d v="2026-09-10T00:00:00"/>
    <d v="2026-10-10T00:00:00"/>
    <n v="4"/>
    <n v="138150.45000000001"/>
    <s v="Pneumonia"/>
    <s v="Referred"/>
    <n v="30"/>
    <s v="High"/>
    <s v="High Risk"/>
  </r>
  <r>
    <n v="775"/>
    <x v="494"/>
    <x v="64"/>
    <x v="1"/>
    <n v="2"/>
    <d v="2023-07-15T00:00:00"/>
    <d v="2023-07-19T00:00:00"/>
    <n v="3"/>
    <n v="32329.03"/>
    <s v="Asthma"/>
    <s v="Ongoing Treatment"/>
    <n v="4"/>
    <s v="High"/>
    <s v="High Risk"/>
  </r>
  <r>
    <n v="776"/>
    <x v="388"/>
    <x v="93"/>
    <x v="0"/>
    <n v="4"/>
    <d v="2025-04-06T00:00:00"/>
    <d v="2025-04-07T00:00:00"/>
    <n v="1"/>
    <n v="142911.78"/>
    <s v="Diabetes"/>
    <s v="Recovered"/>
    <n v="1"/>
    <s v="High"/>
    <s v="low risk"/>
  </r>
  <r>
    <n v="777"/>
    <x v="254"/>
    <x v="37"/>
    <x v="1"/>
    <n v="8"/>
    <d v="2022-06-15T00:00:00"/>
    <d v="2022-06-15T00:00:00"/>
    <n v="1"/>
    <n v="166889.31"/>
    <s v="Diabetes"/>
    <s v="Recovered"/>
    <n v="0"/>
    <s v="High"/>
    <s v="low risk"/>
  </r>
  <r>
    <n v="778"/>
    <x v="495"/>
    <x v="53"/>
    <x v="0"/>
    <n v="3"/>
    <d v="2023-02-27T00:00:00"/>
    <d v="2023-03-03T00:00:00"/>
    <n v="2"/>
    <n v="95347.92"/>
    <s v="Hypertension"/>
    <s v="Improved"/>
    <n v="4"/>
    <s v="High"/>
    <s v="High Risk"/>
  </r>
  <r>
    <n v="779"/>
    <x v="496"/>
    <x v="14"/>
    <x v="1"/>
    <n v="10"/>
    <d v="2023-01-04T00:00:00"/>
    <d v="2023-01-26T00:00:00"/>
    <n v="2"/>
    <n v="171177.91"/>
    <s v="Hypertension"/>
    <s v="Improved"/>
    <n v="22"/>
    <s v="High"/>
    <s v="High Risk"/>
  </r>
  <r>
    <n v="780"/>
    <x v="408"/>
    <x v="53"/>
    <x v="1"/>
    <n v="9"/>
    <d v="2023-04-28T00:00:00"/>
    <d v="2023-05-04T00:00:00"/>
    <n v="1"/>
    <n v="96610.33"/>
    <s v="Diabetes"/>
    <s v="Recovered"/>
    <n v="6"/>
    <s v="High"/>
    <s v="low risk"/>
  </r>
  <r>
    <n v="781"/>
    <x v="431"/>
    <x v="76"/>
    <x v="1"/>
    <n v="8"/>
    <d v="2026-04-27T00:00:00"/>
    <d v="2026-05-17T00:00:00"/>
    <n v="3"/>
    <n v="51565.72"/>
    <s v="Asthma"/>
    <s v="Ongoing Treatment"/>
    <n v="20"/>
    <s v="High"/>
    <s v="High Risk"/>
  </r>
  <r>
    <n v="782"/>
    <x v="497"/>
    <x v="50"/>
    <x v="0"/>
    <n v="8"/>
    <d v="2022-12-28T00:00:00"/>
    <d v="2023-01-02T00:00:00"/>
    <n v="3"/>
    <n v="10153.02"/>
    <s v="Asthma"/>
    <s v="Ongoing Treatment"/>
    <n v="5"/>
    <s v="High"/>
    <s v="High Risk"/>
  </r>
  <r>
    <n v="783"/>
    <x v="151"/>
    <x v="79"/>
    <x v="0"/>
    <n v="5"/>
    <d v="2023-11-16T00:00:00"/>
    <d v="2023-12-05T00:00:00"/>
    <n v="4"/>
    <n v="137117.42000000001"/>
    <s v="Pneumonia"/>
    <s v="Referred"/>
    <n v="19"/>
    <s v="High"/>
    <s v="High Risk"/>
  </r>
  <r>
    <n v="784"/>
    <x v="498"/>
    <x v="0"/>
    <x v="1"/>
    <n v="9"/>
    <d v="2022-12-27T00:00:00"/>
    <d v="2023-01-01T00:00:00"/>
    <n v="4"/>
    <n v="88598.399999999994"/>
    <s v="Pneumonia"/>
    <s v="Referred"/>
    <n v="5"/>
    <s v="High"/>
    <s v="High Risk"/>
  </r>
  <r>
    <n v="785"/>
    <x v="499"/>
    <x v="20"/>
    <x v="0"/>
    <n v="10"/>
    <d v="2025-04-02T00:00:00"/>
    <d v="2025-04-12T00:00:00"/>
    <n v="2"/>
    <n v="135107.9"/>
    <s v="Hypertension"/>
    <s v="Improved"/>
    <n v="10"/>
    <s v="High"/>
    <s v="High Risk"/>
  </r>
  <r>
    <n v="786"/>
    <x v="216"/>
    <x v="58"/>
    <x v="0"/>
    <n v="4"/>
    <d v="2022-07-20T00:00:00"/>
    <d v="2022-07-27T00:00:00"/>
    <n v="3"/>
    <n v="156904.82"/>
    <s v="Asthma"/>
    <s v="Ongoing Treatment"/>
    <n v="7"/>
    <s v="High"/>
    <s v="High Risk"/>
  </r>
  <r>
    <n v="787"/>
    <x v="410"/>
    <x v="34"/>
    <x v="0"/>
    <n v="10"/>
    <d v="2024-09-19T00:00:00"/>
    <d v="2024-09-20T00:00:00"/>
    <n v="5"/>
    <n v="28227.08"/>
    <s v="Heart Disease"/>
    <s v="Readmitted"/>
    <n v="1"/>
    <s v="High"/>
    <s v="High Risk"/>
  </r>
  <r>
    <n v="788"/>
    <x v="146"/>
    <x v="14"/>
    <x v="0"/>
    <n v="6"/>
    <d v="2022-10-07T00:00:00"/>
    <d v="2022-10-21T00:00:00"/>
    <n v="3"/>
    <n v="114683.75"/>
    <s v="Asthma"/>
    <s v="Ongoing Treatment"/>
    <n v="14"/>
    <s v="High"/>
    <s v="High Risk"/>
  </r>
  <r>
    <n v="789"/>
    <x v="379"/>
    <x v="64"/>
    <x v="1"/>
    <n v="1"/>
    <d v="2025-11-18T00:00:00"/>
    <d v="2025-12-06T00:00:00"/>
    <n v="1"/>
    <n v="26729.02"/>
    <s v="Diabetes"/>
    <s v="Recovered"/>
    <n v="18"/>
    <s v="High"/>
    <s v="low risk"/>
  </r>
  <r>
    <n v="790"/>
    <x v="393"/>
    <x v="53"/>
    <x v="1"/>
    <n v="6"/>
    <d v="2023-03-27T00:00:00"/>
    <d v="2023-04-24T00:00:00"/>
    <n v="1"/>
    <n v="30329.89"/>
    <s v="Diabetes"/>
    <s v="Recovered"/>
    <n v="28"/>
    <s v="High"/>
    <s v="low risk"/>
  </r>
  <r>
    <n v="791"/>
    <x v="375"/>
    <x v="74"/>
    <x v="1"/>
    <n v="2"/>
    <d v="2024-04-23T00:00:00"/>
    <d v="2024-05-20T00:00:00"/>
    <n v="2"/>
    <n v="155540.32999999999"/>
    <s v="Hypertension"/>
    <s v="Improved"/>
    <n v="27"/>
    <s v="High"/>
    <s v="High Risk"/>
  </r>
  <r>
    <n v="792"/>
    <x v="500"/>
    <x v="21"/>
    <x v="0"/>
    <n v="5"/>
    <d v="2022-01-30T00:00:00"/>
    <d v="2022-02-22T00:00:00"/>
    <n v="2"/>
    <n v="157386.23000000001"/>
    <s v="Hypertension"/>
    <s v="Improved"/>
    <n v="23"/>
    <s v="High"/>
    <s v="High Risk"/>
  </r>
  <r>
    <n v="793"/>
    <x v="501"/>
    <x v="54"/>
    <x v="1"/>
    <n v="10"/>
    <d v="2022-11-02T00:00:00"/>
    <d v="2022-12-01T00:00:00"/>
    <n v="2"/>
    <n v="3401.27"/>
    <s v="Hypertension"/>
    <s v="Improved"/>
    <n v="29"/>
    <s v="High"/>
    <s v="High Risk"/>
  </r>
  <r>
    <n v="794"/>
    <x v="377"/>
    <x v="21"/>
    <x v="1"/>
    <n v="7"/>
    <d v="2024-12-23T00:00:00"/>
    <d v="2025-01-04T00:00:00"/>
    <n v="2"/>
    <n v="144148.10999999999"/>
    <s v="Hypertension"/>
    <s v="Improved"/>
    <n v="12"/>
    <s v="High"/>
    <s v="High Risk"/>
  </r>
  <r>
    <n v="795"/>
    <x v="400"/>
    <x v="90"/>
    <x v="1"/>
    <n v="2"/>
    <d v="2025-02-17T00:00:00"/>
    <d v="2025-03-13T00:00:00"/>
    <n v="1"/>
    <n v="132392.07"/>
    <s v="Diabetes"/>
    <s v="Recovered"/>
    <n v="24"/>
    <s v="High"/>
    <s v="low risk"/>
  </r>
  <r>
    <n v="796"/>
    <x v="134"/>
    <x v="4"/>
    <x v="0"/>
    <n v="4"/>
    <d v="2025-08-19T00:00:00"/>
    <d v="2025-08-21T00:00:00"/>
    <n v="1"/>
    <n v="121253.82"/>
    <s v="Diabetes"/>
    <s v="Recovered"/>
    <n v="2"/>
    <s v="High"/>
    <s v="low risk"/>
  </r>
  <r>
    <n v="797"/>
    <x v="271"/>
    <x v="74"/>
    <x v="1"/>
    <n v="8"/>
    <d v="2024-08-07T00:00:00"/>
    <d v="2024-08-31T00:00:00"/>
    <n v="1"/>
    <n v="127306.44"/>
    <s v="Diabetes"/>
    <s v="Recovered"/>
    <n v="24"/>
    <s v="High"/>
    <s v="High Risk"/>
  </r>
  <r>
    <n v="798"/>
    <x v="502"/>
    <x v="11"/>
    <x v="0"/>
    <n v="1"/>
    <d v="2025-07-08T00:00:00"/>
    <d v="2025-07-10T00:00:00"/>
    <n v="2"/>
    <n v="125108.24"/>
    <s v="Hypertension"/>
    <s v="Improved"/>
    <n v="2"/>
    <s v="High"/>
    <s v="High Risk"/>
  </r>
  <r>
    <n v="799"/>
    <x v="293"/>
    <x v="13"/>
    <x v="0"/>
    <n v="5"/>
    <d v="2025-11-30T00:00:00"/>
    <d v="2025-12-30T00:00:00"/>
    <n v="2"/>
    <n v="104603.21"/>
    <s v="Hypertension"/>
    <s v="Improved"/>
    <n v="30"/>
    <s v="High"/>
    <s v="High Risk"/>
  </r>
  <r>
    <n v="800"/>
    <x v="226"/>
    <x v="60"/>
    <x v="0"/>
    <n v="1"/>
    <d v="2024-11-20T00:00:00"/>
    <d v="2024-12-20T00:00:00"/>
    <n v="5"/>
    <n v="67108.320000000007"/>
    <s v="Heart Disease"/>
    <s v="Readmitted"/>
    <n v="30"/>
    <s v="High"/>
    <s v="High Risk"/>
  </r>
  <r>
    <n v="801"/>
    <x v="503"/>
    <x v="78"/>
    <x v="0"/>
    <n v="8"/>
    <d v="2025-06-21T00:00:00"/>
    <d v="2025-06-22T00:00:00"/>
    <n v="2"/>
    <n v="33609.96"/>
    <s v="Hypertension"/>
    <s v="Improved"/>
    <n v="1"/>
    <s v="High"/>
    <s v="High Risk"/>
  </r>
  <r>
    <n v="802"/>
    <x v="504"/>
    <x v="82"/>
    <x v="1"/>
    <n v="3"/>
    <d v="2023-11-17T00:00:00"/>
    <d v="2023-11-24T00:00:00"/>
    <n v="2"/>
    <n v="117704.32000000001"/>
    <s v="Hypertension"/>
    <s v="Improved"/>
    <n v="7"/>
    <s v="High"/>
    <s v="High Risk"/>
  </r>
  <r>
    <n v="803"/>
    <x v="454"/>
    <x v="59"/>
    <x v="0"/>
    <n v="6"/>
    <d v="2023-07-02T00:00:00"/>
    <d v="2023-07-18T00:00:00"/>
    <n v="3"/>
    <n v="51693.3"/>
    <s v="Asthma"/>
    <s v="Ongoing Treatment"/>
    <n v="16"/>
    <s v="High"/>
    <s v="High Risk"/>
  </r>
  <r>
    <n v="804"/>
    <x v="167"/>
    <x v="39"/>
    <x v="0"/>
    <n v="8"/>
    <d v="2024-10-23T00:00:00"/>
    <d v="2024-11-08T00:00:00"/>
    <n v="4"/>
    <n v="85954.08"/>
    <s v="Pneumonia"/>
    <s v="Referred"/>
    <n v="16"/>
    <s v="High"/>
    <s v="High Risk"/>
  </r>
  <r>
    <n v="805"/>
    <x v="505"/>
    <x v="13"/>
    <x v="0"/>
    <n v="10"/>
    <d v="2024-01-24T00:00:00"/>
    <d v="2024-02-18T00:00:00"/>
    <n v="3"/>
    <n v="125547.1"/>
    <s v="Asthma"/>
    <s v="Ongoing Treatment"/>
    <n v="25"/>
    <s v="High"/>
    <s v="High Risk"/>
  </r>
  <r>
    <n v="806"/>
    <x v="234"/>
    <x v="65"/>
    <x v="1"/>
    <n v="2"/>
    <d v="2024-03-11T00:00:00"/>
    <d v="2024-04-08T00:00:00"/>
    <n v="1"/>
    <n v="172590.53"/>
    <s v="Diabetes"/>
    <s v="Recovered"/>
    <n v="28"/>
    <s v="High"/>
    <s v="low risk"/>
  </r>
  <r>
    <n v="807"/>
    <x v="506"/>
    <x v="93"/>
    <x v="0"/>
    <n v="2"/>
    <d v="2025-11-28T00:00:00"/>
    <d v="2025-12-02T00:00:00"/>
    <n v="2"/>
    <n v="157811.28"/>
    <s v="Hypertension"/>
    <s v="Improved"/>
    <n v="4"/>
    <s v="High"/>
    <s v="High Risk"/>
  </r>
  <r>
    <n v="808"/>
    <x v="507"/>
    <x v="13"/>
    <x v="0"/>
    <n v="9"/>
    <d v="2022-09-28T00:00:00"/>
    <d v="2022-10-13T00:00:00"/>
    <n v="1"/>
    <n v="81285.16"/>
    <s v="Diabetes"/>
    <s v="Recovered"/>
    <n v="15"/>
    <s v="High"/>
    <s v="low risk"/>
  </r>
  <r>
    <n v="809"/>
    <x v="436"/>
    <x v="57"/>
    <x v="1"/>
    <n v="1"/>
    <d v="2026-07-01T00:00:00"/>
    <d v="2026-07-08T00:00:00"/>
    <n v="4"/>
    <n v="94732.64"/>
    <s v="Pneumonia"/>
    <s v="Referred"/>
    <n v="7"/>
    <s v="High"/>
    <s v="High Risk"/>
  </r>
  <r>
    <n v="810"/>
    <x v="261"/>
    <x v="40"/>
    <x v="0"/>
    <n v="6"/>
    <d v="2024-09-22T00:00:00"/>
    <d v="2024-10-10T00:00:00"/>
    <n v="3"/>
    <n v="96604.51"/>
    <s v="Asthma"/>
    <s v="Ongoing Treatment"/>
    <n v="18"/>
    <s v="High"/>
    <s v="High Risk"/>
  </r>
  <r>
    <n v="811"/>
    <x v="294"/>
    <x v="65"/>
    <x v="0"/>
    <n v="10"/>
    <d v="2022-09-28T00:00:00"/>
    <d v="2022-10-26T00:00:00"/>
    <n v="4"/>
    <n v="32983.339999999997"/>
    <s v="Pneumonia"/>
    <s v="Referred"/>
    <n v="28"/>
    <s v="High"/>
    <s v="High Risk"/>
  </r>
  <r>
    <n v="812"/>
    <x v="508"/>
    <x v="68"/>
    <x v="0"/>
    <n v="5"/>
    <d v="2026-04-26T00:00:00"/>
    <d v="2026-05-23T00:00:00"/>
    <n v="1"/>
    <n v="65178.96"/>
    <s v="Diabetes"/>
    <s v="Recovered"/>
    <n v="27"/>
    <s v="High"/>
    <s v="low risk"/>
  </r>
  <r>
    <n v="813"/>
    <x v="509"/>
    <x v="60"/>
    <x v="1"/>
    <n v="9"/>
    <d v="2023-08-08T00:00:00"/>
    <d v="2023-08-13T00:00:00"/>
    <n v="6"/>
    <n v="151481.37"/>
    <s v="Kidney Disease"/>
    <s v="Deceased"/>
    <n v="5"/>
    <s v="High"/>
    <s v="High Risk"/>
  </r>
  <r>
    <n v="814"/>
    <x v="292"/>
    <x v="20"/>
    <x v="1"/>
    <n v="1"/>
    <d v="2023-10-11T00:00:00"/>
    <d v="2023-10-29T00:00:00"/>
    <n v="1"/>
    <n v="48722.28"/>
    <s v="Diabetes"/>
    <s v="Recovered"/>
    <n v="18"/>
    <s v="High"/>
    <s v="low risk"/>
  </r>
  <r>
    <n v="815"/>
    <x v="79"/>
    <x v="82"/>
    <x v="1"/>
    <n v="6"/>
    <d v="2023-12-06T00:00:00"/>
    <d v="2023-12-10T00:00:00"/>
    <n v="2"/>
    <n v="98326.32"/>
    <s v="Hypertension"/>
    <s v="Improved"/>
    <n v="4"/>
    <s v="High"/>
    <s v="High Risk"/>
  </r>
  <r>
    <n v="816"/>
    <x v="8"/>
    <x v="94"/>
    <x v="1"/>
    <n v="1"/>
    <d v="2024-04-08T00:00:00"/>
    <d v="2024-05-07T00:00:00"/>
    <n v="2"/>
    <n v="28305.64"/>
    <s v="Hypertension"/>
    <s v="Improved"/>
    <n v="29"/>
    <s v="High"/>
    <s v="High Risk"/>
  </r>
  <r>
    <n v="817"/>
    <x v="510"/>
    <x v="50"/>
    <x v="1"/>
    <n v="9"/>
    <d v="2024-11-05T00:00:00"/>
    <d v="2024-11-15T00:00:00"/>
    <n v="2"/>
    <n v="54961.34"/>
    <s v="Hypertension"/>
    <s v="Improved"/>
    <n v="10"/>
    <s v="High"/>
    <s v="High Risk"/>
  </r>
  <r>
    <n v="818"/>
    <x v="214"/>
    <x v="29"/>
    <x v="1"/>
    <n v="10"/>
    <d v="2026-02-01T00:00:00"/>
    <d v="2026-03-02T00:00:00"/>
    <n v="5"/>
    <n v="62616.49"/>
    <s v="Heart Disease"/>
    <s v="Readmitted"/>
    <n v="29"/>
    <s v="High"/>
    <s v="High Risk"/>
  </r>
  <r>
    <n v="819"/>
    <x v="511"/>
    <x v="35"/>
    <x v="1"/>
    <n v="9"/>
    <d v="2022-08-28T00:00:00"/>
    <d v="2022-09-06T00:00:00"/>
    <n v="1"/>
    <n v="112110.15"/>
    <s v="Diabetes"/>
    <s v="Recovered"/>
    <n v="9"/>
    <s v="High"/>
    <s v="low risk"/>
  </r>
  <r>
    <n v="820"/>
    <x v="512"/>
    <x v="4"/>
    <x v="1"/>
    <n v="6"/>
    <d v="2022-04-23T00:00:00"/>
    <d v="2022-05-12T00:00:00"/>
    <n v="2"/>
    <n v="106059.08"/>
    <s v="Hypertension"/>
    <s v="Improved"/>
    <n v="19"/>
    <s v="High"/>
    <s v="High Risk"/>
  </r>
  <r>
    <n v="821"/>
    <x v="513"/>
    <x v="2"/>
    <x v="1"/>
    <n v="2"/>
    <d v="2025-01-07T00:00:00"/>
    <d v="2025-02-03T00:00:00"/>
    <n v="2"/>
    <n v="121701.51"/>
    <s v="Hypertension"/>
    <s v="Improved"/>
    <n v="27"/>
    <s v="High"/>
    <s v="High Risk"/>
  </r>
  <r>
    <n v="822"/>
    <x v="165"/>
    <x v="88"/>
    <x v="1"/>
    <n v="8"/>
    <d v="2023-10-13T00:00:00"/>
    <d v="2023-11-01T00:00:00"/>
    <n v="2"/>
    <n v="169953.88"/>
    <s v="Hypertension"/>
    <s v="Improved"/>
    <n v="19"/>
    <s v="High"/>
    <s v="High Risk"/>
  </r>
  <r>
    <n v="823"/>
    <x v="177"/>
    <x v="45"/>
    <x v="0"/>
    <n v="6"/>
    <d v="2024-03-01T00:00:00"/>
    <d v="2024-03-12T00:00:00"/>
    <n v="1"/>
    <n v="63723.34"/>
    <s v="Diabetes"/>
    <s v="Recovered"/>
    <n v="11"/>
    <s v="High"/>
    <s v="low risk"/>
  </r>
  <r>
    <n v="824"/>
    <x v="114"/>
    <x v="82"/>
    <x v="1"/>
    <n v="4"/>
    <d v="2026-01-30T00:00:00"/>
    <d v="2026-02-27T00:00:00"/>
    <n v="2"/>
    <n v="178686"/>
    <s v="Hypertension"/>
    <s v="Improved"/>
    <n v="28"/>
    <s v="High"/>
    <s v="High Risk"/>
  </r>
  <r>
    <n v="825"/>
    <x v="457"/>
    <x v="37"/>
    <x v="0"/>
    <n v="7"/>
    <d v="2022-10-13T00:00:00"/>
    <d v="2022-11-08T00:00:00"/>
    <n v="2"/>
    <n v="17778.84"/>
    <s v="Hypertension"/>
    <s v="Improved"/>
    <n v="26"/>
    <s v="High"/>
    <s v="High Risk"/>
  </r>
  <r>
    <n v="826"/>
    <x v="514"/>
    <x v="21"/>
    <x v="0"/>
    <n v="2"/>
    <d v="2025-04-24T00:00:00"/>
    <d v="2025-05-18T00:00:00"/>
    <n v="2"/>
    <n v="3674.85"/>
    <s v="Hypertension"/>
    <s v="Improved"/>
    <n v="24"/>
    <s v="High"/>
    <s v="High Risk"/>
  </r>
  <r>
    <n v="827"/>
    <x v="64"/>
    <x v="14"/>
    <x v="0"/>
    <n v="10"/>
    <d v="2026-03-27T00:00:00"/>
    <d v="2026-04-25T00:00:00"/>
    <n v="1"/>
    <n v="35516.14"/>
    <s v="Diabetes"/>
    <s v="Recovered"/>
    <n v="29"/>
    <s v="High"/>
    <s v="low risk"/>
  </r>
  <r>
    <n v="828"/>
    <x v="515"/>
    <x v="92"/>
    <x v="0"/>
    <n v="1"/>
    <d v="2026-08-13T00:00:00"/>
    <d v="2026-09-08T00:00:00"/>
    <n v="1"/>
    <n v="106374.47"/>
    <s v="Diabetes"/>
    <s v="Recovered"/>
    <n v="26"/>
    <s v="High"/>
    <s v="High Risk"/>
  </r>
  <r>
    <n v="829"/>
    <x v="268"/>
    <x v="0"/>
    <x v="0"/>
    <n v="4"/>
    <d v="2022-02-24T00:00:00"/>
    <d v="2022-03-21T00:00:00"/>
    <n v="1"/>
    <n v="49125.17"/>
    <s v="Diabetes"/>
    <s v="Recovered"/>
    <n v="25"/>
    <s v="High"/>
    <s v="High Risk"/>
  </r>
  <r>
    <n v="830"/>
    <x v="263"/>
    <x v="24"/>
    <x v="0"/>
    <n v="7"/>
    <d v="2023-01-03T00:00:00"/>
    <d v="2023-01-18T00:00:00"/>
    <n v="5"/>
    <n v="116949.49"/>
    <s v="Heart Disease"/>
    <s v="Readmitted"/>
    <n v="15"/>
    <s v="High"/>
    <s v="High Risk"/>
  </r>
  <r>
    <n v="831"/>
    <x v="516"/>
    <x v="23"/>
    <x v="0"/>
    <n v="2"/>
    <d v="2025-05-11T00:00:00"/>
    <d v="2025-06-03T00:00:00"/>
    <n v="2"/>
    <n v="87786.25"/>
    <s v="Hypertension"/>
    <s v="Improved"/>
    <n v="23"/>
    <s v="High"/>
    <s v="High Risk"/>
  </r>
  <r>
    <n v="832"/>
    <x v="111"/>
    <x v="11"/>
    <x v="0"/>
    <n v="2"/>
    <d v="2024-02-04T00:00:00"/>
    <d v="2024-02-20T00:00:00"/>
    <n v="3"/>
    <n v="5614.25"/>
    <s v="Asthma"/>
    <s v="Ongoing Treatment"/>
    <n v="16"/>
    <s v="High"/>
    <s v="High Risk"/>
  </r>
  <r>
    <n v="833"/>
    <x v="47"/>
    <x v="40"/>
    <x v="1"/>
    <n v="3"/>
    <d v="2023-10-17T00:00:00"/>
    <d v="2023-10-31T00:00:00"/>
    <n v="5"/>
    <n v="26550.79"/>
    <s v="Heart Disease"/>
    <s v="Readmitted"/>
    <n v="14"/>
    <s v="High"/>
    <s v="High Risk"/>
  </r>
  <r>
    <n v="834"/>
    <x v="31"/>
    <x v="32"/>
    <x v="0"/>
    <n v="7"/>
    <d v="2025-07-27T00:00:00"/>
    <d v="2025-08-25T00:00:00"/>
    <n v="6"/>
    <n v="11146.89"/>
    <s v="Kidney Disease"/>
    <s v="Deceased"/>
    <n v="29"/>
    <s v="High"/>
    <s v="High Risk"/>
  </r>
  <r>
    <n v="835"/>
    <x v="517"/>
    <x v="84"/>
    <x v="1"/>
    <n v="9"/>
    <d v="2023-02-01T00:00:00"/>
    <d v="2023-02-25T00:00:00"/>
    <n v="2"/>
    <n v="138232.35999999999"/>
    <s v="Hypertension"/>
    <s v="Improved"/>
    <n v="24"/>
    <s v="High"/>
    <s v="High Risk"/>
  </r>
  <r>
    <n v="836"/>
    <x v="518"/>
    <x v="15"/>
    <x v="0"/>
    <n v="6"/>
    <d v="2026-08-21T00:00:00"/>
    <d v="2026-09-17T00:00:00"/>
    <n v="3"/>
    <n v="55940.33"/>
    <s v="Asthma"/>
    <s v="Ongoing Treatment"/>
    <n v="27"/>
    <s v="High"/>
    <s v="High Risk"/>
  </r>
  <r>
    <n v="837"/>
    <x v="386"/>
    <x v="42"/>
    <x v="0"/>
    <n v="3"/>
    <d v="2022-01-27T00:00:00"/>
    <d v="2022-01-31T00:00:00"/>
    <n v="2"/>
    <n v="68710.02"/>
    <s v="Hypertension"/>
    <s v="Improved"/>
    <n v="4"/>
    <s v="High"/>
    <s v="High Risk"/>
  </r>
  <r>
    <n v="838"/>
    <x v="478"/>
    <x v="3"/>
    <x v="1"/>
    <n v="2"/>
    <d v="2023-03-23T00:00:00"/>
    <d v="2023-03-27T00:00:00"/>
    <n v="2"/>
    <n v="150104.31"/>
    <s v="Hypertension"/>
    <s v="Improved"/>
    <n v="4"/>
    <s v="High"/>
    <s v="High Risk"/>
  </r>
  <r>
    <n v="839"/>
    <x v="332"/>
    <x v="61"/>
    <x v="1"/>
    <n v="7"/>
    <d v="2024-08-01T00:00:00"/>
    <d v="2024-08-30T00:00:00"/>
    <n v="1"/>
    <n v="147844.94"/>
    <s v="Diabetes"/>
    <s v="Recovered"/>
    <n v="29"/>
    <s v="High"/>
    <s v="High Risk"/>
  </r>
  <r>
    <n v="840"/>
    <x v="519"/>
    <x v="39"/>
    <x v="0"/>
    <n v="6"/>
    <d v="2022-10-12T00:00:00"/>
    <d v="2022-11-07T00:00:00"/>
    <n v="2"/>
    <n v="177795.76"/>
    <s v="Hypertension"/>
    <s v="Improved"/>
    <n v="26"/>
    <s v="High"/>
    <s v="High Risk"/>
  </r>
  <r>
    <n v="841"/>
    <x v="231"/>
    <x v="14"/>
    <x v="0"/>
    <n v="1"/>
    <d v="2026-03-05T00:00:00"/>
    <d v="2026-03-31T00:00:00"/>
    <n v="1"/>
    <n v="25346.82"/>
    <s v="Diabetes"/>
    <s v="Recovered"/>
    <n v="26"/>
    <s v="High"/>
    <s v="low risk"/>
  </r>
  <r>
    <n v="842"/>
    <x v="148"/>
    <x v="38"/>
    <x v="1"/>
    <n v="4"/>
    <d v="2022-09-24T00:00:00"/>
    <d v="2022-09-26T00:00:00"/>
    <n v="2"/>
    <n v="137936.70000000001"/>
    <s v="Hypertension"/>
    <s v="Improved"/>
    <n v="2"/>
    <s v="High"/>
    <s v="High Risk"/>
  </r>
  <r>
    <n v="843"/>
    <x v="499"/>
    <x v="56"/>
    <x v="0"/>
    <n v="7"/>
    <d v="2022-03-29T00:00:00"/>
    <d v="2022-04-04T00:00:00"/>
    <n v="1"/>
    <n v="143267.29"/>
    <s v="Diabetes"/>
    <s v="Recovered"/>
    <n v="6"/>
    <s v="High"/>
    <s v="low risk"/>
  </r>
  <r>
    <n v="844"/>
    <x v="520"/>
    <x v="16"/>
    <x v="0"/>
    <n v="2"/>
    <d v="2023-06-03T00:00:00"/>
    <d v="2023-06-04T00:00:00"/>
    <n v="1"/>
    <n v="120996.59"/>
    <s v="Diabetes"/>
    <s v="Recovered"/>
    <n v="1"/>
    <s v="High"/>
    <s v="low risk"/>
  </r>
  <r>
    <n v="845"/>
    <x v="283"/>
    <x v="41"/>
    <x v="1"/>
    <n v="10"/>
    <d v="2023-02-14T00:00:00"/>
    <d v="2023-02-19T00:00:00"/>
    <n v="3"/>
    <n v="7693.49"/>
    <s v="Asthma"/>
    <s v="Ongoing Treatment"/>
    <n v="5"/>
    <s v="High"/>
    <s v="High Risk"/>
  </r>
  <r>
    <n v="846"/>
    <x v="521"/>
    <x v="40"/>
    <x v="0"/>
    <n v="6"/>
    <d v="2022-11-25T00:00:00"/>
    <d v="2022-12-22T00:00:00"/>
    <n v="2"/>
    <n v="131818.35"/>
    <s v="Hypertension"/>
    <s v="Improved"/>
    <n v="27"/>
    <s v="High"/>
    <s v="High Risk"/>
  </r>
  <r>
    <n v="847"/>
    <x v="452"/>
    <x v="27"/>
    <x v="1"/>
    <n v="2"/>
    <d v="2026-08-06T00:00:00"/>
    <d v="2026-08-24T00:00:00"/>
    <n v="3"/>
    <n v="96368.88"/>
    <s v="Asthma"/>
    <s v="Ongoing Treatment"/>
    <n v="18"/>
    <s v="High"/>
    <s v="High Risk"/>
  </r>
  <r>
    <n v="848"/>
    <x v="210"/>
    <x v="93"/>
    <x v="1"/>
    <n v="2"/>
    <d v="2023-03-15T00:00:00"/>
    <d v="2023-04-13T00:00:00"/>
    <n v="2"/>
    <n v="128126.71"/>
    <s v="Hypertension"/>
    <s v="Improved"/>
    <n v="29"/>
    <s v="High"/>
    <s v="High Risk"/>
  </r>
  <r>
    <n v="849"/>
    <x v="522"/>
    <x v="63"/>
    <x v="0"/>
    <n v="2"/>
    <d v="2023-01-06T00:00:00"/>
    <d v="2023-02-01T00:00:00"/>
    <n v="2"/>
    <n v="69881.67"/>
    <s v="Hypertension"/>
    <s v="Improved"/>
    <n v="26"/>
    <s v="High"/>
    <s v="High Risk"/>
  </r>
  <r>
    <n v="850"/>
    <x v="423"/>
    <x v="73"/>
    <x v="0"/>
    <n v="2"/>
    <d v="2026-04-09T00:00:00"/>
    <d v="2026-04-19T00:00:00"/>
    <n v="1"/>
    <n v="22081.119999999999"/>
    <s v="Diabetes"/>
    <s v="Recovered"/>
    <n v="10"/>
    <s v="High"/>
    <s v="low risk"/>
  </r>
  <r>
    <n v="851"/>
    <x v="465"/>
    <x v="76"/>
    <x v="0"/>
    <n v="9"/>
    <d v="2026-01-18T00:00:00"/>
    <d v="2026-01-19T00:00:00"/>
    <n v="1"/>
    <n v="90134.02"/>
    <s v="Diabetes"/>
    <s v="Recovered"/>
    <n v="1"/>
    <s v="High"/>
    <s v="low risk"/>
  </r>
  <r>
    <n v="852"/>
    <x v="515"/>
    <x v="65"/>
    <x v="0"/>
    <n v="8"/>
    <d v="2023-04-08T00:00:00"/>
    <d v="2023-04-25T00:00:00"/>
    <n v="2"/>
    <n v="177330.81"/>
    <s v="Hypertension"/>
    <s v="Improved"/>
    <n v="17"/>
    <s v="High"/>
    <s v="High Risk"/>
  </r>
  <r>
    <n v="853"/>
    <x v="488"/>
    <x v="47"/>
    <x v="0"/>
    <n v="6"/>
    <d v="2023-01-03T00:00:00"/>
    <d v="2023-01-03T00:00:00"/>
    <n v="6"/>
    <n v="89767.59"/>
    <s v="Kidney Disease"/>
    <s v="Deceased"/>
    <n v="0"/>
    <s v="High"/>
    <s v="High Risk"/>
  </r>
  <r>
    <n v="854"/>
    <x v="523"/>
    <x v="46"/>
    <x v="1"/>
    <n v="2"/>
    <d v="2022-10-21T00:00:00"/>
    <d v="2022-11-02T00:00:00"/>
    <n v="2"/>
    <n v="107323.91"/>
    <s v="Hypertension"/>
    <s v="Improved"/>
    <n v="12"/>
    <s v="High"/>
    <s v="High Risk"/>
  </r>
  <r>
    <n v="855"/>
    <x v="95"/>
    <x v="47"/>
    <x v="0"/>
    <n v="4"/>
    <d v="2023-11-25T00:00:00"/>
    <d v="2023-12-01T00:00:00"/>
    <n v="2"/>
    <n v="178342.38"/>
    <s v="Hypertension"/>
    <s v="Improved"/>
    <n v="6"/>
    <s v="High"/>
    <s v="High Risk"/>
  </r>
  <r>
    <n v="856"/>
    <x v="274"/>
    <x v="22"/>
    <x v="0"/>
    <n v="5"/>
    <d v="2026-04-16T00:00:00"/>
    <d v="2026-05-08T00:00:00"/>
    <n v="3"/>
    <n v="107872.87"/>
    <s v="Asthma"/>
    <s v="Ongoing Treatment"/>
    <n v="22"/>
    <s v="High"/>
    <s v="High Risk"/>
  </r>
  <r>
    <n v="857"/>
    <x v="256"/>
    <x v="21"/>
    <x v="0"/>
    <n v="8"/>
    <d v="2024-11-13T00:00:00"/>
    <d v="2024-11-21T00:00:00"/>
    <n v="1"/>
    <n v="83197.67"/>
    <s v="Diabetes"/>
    <s v="Recovered"/>
    <n v="8"/>
    <s v="High"/>
    <s v="low risk"/>
  </r>
  <r>
    <n v="858"/>
    <x v="524"/>
    <x v="33"/>
    <x v="0"/>
    <n v="4"/>
    <d v="2025-07-10T00:00:00"/>
    <d v="2025-08-09T00:00:00"/>
    <n v="1"/>
    <n v="20179.599999999999"/>
    <s v="Diabetes"/>
    <s v="Recovered"/>
    <n v="30"/>
    <s v="High"/>
    <s v="low risk"/>
  </r>
  <r>
    <n v="859"/>
    <x v="175"/>
    <x v="90"/>
    <x v="1"/>
    <n v="3"/>
    <d v="2024-02-23T00:00:00"/>
    <d v="2024-03-13T00:00:00"/>
    <n v="3"/>
    <n v="29610.76"/>
    <s v="Asthma"/>
    <s v="Ongoing Treatment"/>
    <n v="19"/>
    <s v="High"/>
    <s v="High Risk"/>
  </r>
  <r>
    <n v="860"/>
    <x v="195"/>
    <x v="72"/>
    <x v="1"/>
    <n v="9"/>
    <d v="2026-04-21T00:00:00"/>
    <d v="2026-05-06T00:00:00"/>
    <n v="4"/>
    <n v="38342.89"/>
    <s v="Pneumonia"/>
    <s v="Referred"/>
    <n v="15"/>
    <s v="High"/>
    <s v="High Risk"/>
  </r>
  <r>
    <n v="861"/>
    <x v="378"/>
    <x v="91"/>
    <x v="0"/>
    <n v="9"/>
    <d v="2023-12-05T00:00:00"/>
    <d v="2023-12-30T00:00:00"/>
    <n v="5"/>
    <n v="99525.06"/>
    <s v="Heart Disease"/>
    <s v="Readmitted"/>
    <n v="25"/>
    <s v="High"/>
    <s v="High Risk"/>
  </r>
  <r>
    <n v="862"/>
    <x v="525"/>
    <x v="18"/>
    <x v="0"/>
    <n v="8"/>
    <d v="2023-10-07T00:00:00"/>
    <d v="2023-11-03T00:00:00"/>
    <n v="2"/>
    <n v="84088.98"/>
    <s v="Hypertension"/>
    <s v="Improved"/>
    <n v="27"/>
    <s v="High"/>
    <s v="High Risk"/>
  </r>
  <r>
    <n v="863"/>
    <x v="211"/>
    <x v="82"/>
    <x v="0"/>
    <n v="3"/>
    <d v="2024-10-03T00:00:00"/>
    <d v="2024-10-16T00:00:00"/>
    <n v="1"/>
    <n v="129540.87"/>
    <s v="Diabetes"/>
    <s v="Recovered"/>
    <n v="13"/>
    <s v="High"/>
    <s v="High Risk"/>
  </r>
  <r>
    <n v="864"/>
    <x v="82"/>
    <x v="27"/>
    <x v="0"/>
    <n v="9"/>
    <d v="2025-11-04T00:00:00"/>
    <d v="2025-11-21T00:00:00"/>
    <n v="2"/>
    <n v="86974.21"/>
    <s v="Hypertension"/>
    <s v="Improved"/>
    <n v="17"/>
    <s v="High"/>
    <s v="High Risk"/>
  </r>
  <r>
    <n v="865"/>
    <x v="526"/>
    <x v="16"/>
    <x v="0"/>
    <n v="5"/>
    <d v="2024-10-10T00:00:00"/>
    <d v="2024-10-28T00:00:00"/>
    <n v="6"/>
    <n v="112006.79"/>
    <s v="Kidney Disease"/>
    <s v="Deceased"/>
    <n v="18"/>
    <s v="High"/>
    <s v="High Risk"/>
  </r>
  <r>
    <n v="866"/>
    <x v="527"/>
    <x v="85"/>
    <x v="1"/>
    <n v="1"/>
    <d v="2025-04-24T00:00:00"/>
    <d v="2025-04-25T00:00:00"/>
    <n v="1"/>
    <n v="67537.789999999994"/>
    <s v="Diabetes"/>
    <s v="Recovered"/>
    <n v="1"/>
    <s v="High"/>
    <s v="low risk"/>
  </r>
  <r>
    <n v="867"/>
    <x v="94"/>
    <x v="11"/>
    <x v="0"/>
    <n v="7"/>
    <d v="2022-07-19T00:00:00"/>
    <d v="2022-08-01T00:00:00"/>
    <n v="1"/>
    <n v="65932.479999999996"/>
    <s v="Diabetes"/>
    <s v="Recovered"/>
    <n v="13"/>
    <s v="High"/>
    <s v="High Risk"/>
  </r>
  <r>
    <n v="868"/>
    <x v="528"/>
    <x v="43"/>
    <x v="1"/>
    <n v="4"/>
    <d v="2023-04-26T00:00:00"/>
    <d v="2023-05-16T00:00:00"/>
    <n v="1"/>
    <n v="17577.16"/>
    <s v="Diabetes"/>
    <s v="Recovered"/>
    <n v="20"/>
    <s v="High"/>
    <s v="High Risk"/>
  </r>
  <r>
    <n v="869"/>
    <x v="291"/>
    <x v="58"/>
    <x v="0"/>
    <n v="3"/>
    <d v="2022-02-10T00:00:00"/>
    <d v="2022-02-27T00:00:00"/>
    <n v="1"/>
    <n v="84311.42"/>
    <s v="Diabetes"/>
    <s v="Recovered"/>
    <n v="17"/>
    <s v="High"/>
    <s v="low risk"/>
  </r>
  <r>
    <n v="870"/>
    <x v="12"/>
    <x v="26"/>
    <x v="0"/>
    <n v="5"/>
    <d v="2022-02-11T00:00:00"/>
    <d v="2022-03-05T00:00:00"/>
    <n v="2"/>
    <n v="6446.97"/>
    <s v="Hypertension"/>
    <s v="Improved"/>
    <n v="22"/>
    <s v="High"/>
    <s v="High Risk"/>
  </r>
  <r>
    <n v="871"/>
    <x v="299"/>
    <x v="74"/>
    <x v="0"/>
    <n v="6"/>
    <d v="2025-03-18T00:00:00"/>
    <d v="2025-03-21T00:00:00"/>
    <n v="4"/>
    <n v="20260.060000000001"/>
    <s v="Pneumonia"/>
    <s v="Referred"/>
    <n v="3"/>
    <s v="High"/>
    <s v="High Risk"/>
  </r>
  <r>
    <n v="872"/>
    <x v="158"/>
    <x v="90"/>
    <x v="0"/>
    <n v="3"/>
    <d v="2025-06-13T00:00:00"/>
    <d v="2025-06-22T00:00:00"/>
    <n v="2"/>
    <n v="79888.429999999993"/>
    <s v="Hypertension"/>
    <s v="Improved"/>
    <n v="9"/>
    <s v="High"/>
    <s v="High Risk"/>
  </r>
  <r>
    <n v="873"/>
    <x v="340"/>
    <x v="42"/>
    <x v="1"/>
    <n v="5"/>
    <d v="2023-06-28T00:00:00"/>
    <d v="2023-06-29T00:00:00"/>
    <n v="1"/>
    <n v="104299.92"/>
    <s v="Diabetes"/>
    <s v="Recovered"/>
    <n v="1"/>
    <s v="High"/>
    <s v="High Risk"/>
  </r>
  <r>
    <n v="874"/>
    <x v="390"/>
    <x v="86"/>
    <x v="1"/>
    <n v="10"/>
    <d v="2023-11-21T00:00:00"/>
    <d v="2023-11-29T00:00:00"/>
    <n v="1"/>
    <n v="144710.46"/>
    <s v="Diabetes"/>
    <s v="Recovered"/>
    <n v="8"/>
    <s v="High"/>
    <s v="low risk"/>
  </r>
  <r>
    <n v="875"/>
    <x v="529"/>
    <x v="79"/>
    <x v="0"/>
    <n v="2"/>
    <d v="2025-08-27T00:00:00"/>
    <d v="2025-09-22T00:00:00"/>
    <n v="1"/>
    <n v="145232.49"/>
    <s v="Diabetes"/>
    <s v="Recovered"/>
    <n v="26"/>
    <s v="High"/>
    <s v="low risk"/>
  </r>
  <r>
    <n v="876"/>
    <x v="530"/>
    <x v="25"/>
    <x v="1"/>
    <n v="7"/>
    <d v="2024-04-03T00:00:00"/>
    <d v="2024-04-11T00:00:00"/>
    <n v="2"/>
    <n v="82948.08"/>
    <s v="Hypertension"/>
    <s v="Improved"/>
    <n v="8"/>
    <s v="High"/>
    <s v="High Risk"/>
  </r>
  <r>
    <n v="877"/>
    <x v="336"/>
    <x v="56"/>
    <x v="1"/>
    <n v="10"/>
    <d v="2024-10-19T00:00:00"/>
    <d v="2024-10-25T00:00:00"/>
    <n v="3"/>
    <n v="148743.67000000001"/>
    <s v="Asthma"/>
    <s v="Ongoing Treatment"/>
    <n v="6"/>
    <s v="High"/>
    <s v="High Risk"/>
  </r>
  <r>
    <n v="878"/>
    <x v="67"/>
    <x v="84"/>
    <x v="0"/>
    <n v="10"/>
    <d v="2026-01-28T00:00:00"/>
    <d v="2026-02-17T00:00:00"/>
    <n v="1"/>
    <n v="38115.019999999997"/>
    <s v="Diabetes"/>
    <s v="Recovered"/>
    <n v="20"/>
    <s v="High"/>
    <s v="High Risk"/>
  </r>
  <r>
    <n v="879"/>
    <x v="11"/>
    <x v="20"/>
    <x v="1"/>
    <n v="5"/>
    <d v="2026-09-25T00:00:00"/>
    <d v="2026-10-08T00:00:00"/>
    <n v="2"/>
    <n v="155183.01"/>
    <s v="Hypertension"/>
    <s v="Improved"/>
    <n v="13"/>
    <s v="High"/>
    <s v="High Risk"/>
  </r>
  <r>
    <n v="880"/>
    <x v="234"/>
    <x v="36"/>
    <x v="0"/>
    <n v="5"/>
    <d v="2025-08-16T00:00:00"/>
    <d v="2025-08-21T00:00:00"/>
    <n v="1"/>
    <n v="109218.73"/>
    <s v="Diabetes"/>
    <s v="Recovered"/>
    <n v="5"/>
    <s v="High"/>
    <s v="low risk"/>
  </r>
  <r>
    <n v="881"/>
    <x v="354"/>
    <x v="58"/>
    <x v="1"/>
    <n v="4"/>
    <d v="2022-02-26T00:00:00"/>
    <d v="2022-03-05T00:00:00"/>
    <n v="4"/>
    <n v="57620.95"/>
    <s v="Pneumonia"/>
    <s v="Referred"/>
    <n v="7"/>
    <s v="High"/>
    <s v="High Risk"/>
  </r>
  <r>
    <n v="882"/>
    <x v="268"/>
    <x v="54"/>
    <x v="0"/>
    <n v="1"/>
    <d v="2023-02-18T00:00:00"/>
    <d v="2023-02-23T00:00:00"/>
    <n v="1"/>
    <n v="7672.68"/>
    <s v="Diabetes"/>
    <s v="Recovered"/>
    <n v="5"/>
    <s v="High"/>
    <s v="low risk"/>
  </r>
  <r>
    <n v="883"/>
    <x v="531"/>
    <x v="14"/>
    <x v="1"/>
    <n v="8"/>
    <d v="2026-05-22T00:00:00"/>
    <d v="2026-05-22T00:00:00"/>
    <n v="1"/>
    <n v="161629.72"/>
    <s v="Diabetes"/>
    <s v="Recovered"/>
    <n v="0"/>
    <s v="High"/>
    <s v="low risk"/>
  </r>
  <r>
    <n v="884"/>
    <x v="93"/>
    <x v="94"/>
    <x v="1"/>
    <n v="7"/>
    <d v="2024-01-15T00:00:00"/>
    <d v="2024-02-05T00:00:00"/>
    <n v="3"/>
    <n v="18529.37"/>
    <s v="Asthma"/>
    <s v="Ongoing Treatment"/>
    <n v="21"/>
    <s v="High"/>
    <s v="High Risk"/>
  </r>
  <r>
    <n v="885"/>
    <x v="182"/>
    <x v="58"/>
    <x v="1"/>
    <n v="9"/>
    <d v="2025-09-22T00:00:00"/>
    <d v="2025-10-18T00:00:00"/>
    <n v="2"/>
    <n v="140083.07"/>
    <s v="Hypertension"/>
    <s v="Improved"/>
    <n v="26"/>
    <s v="High"/>
    <s v="High Risk"/>
  </r>
  <r>
    <n v="886"/>
    <x v="240"/>
    <x v="90"/>
    <x v="1"/>
    <n v="4"/>
    <d v="2025-05-13T00:00:00"/>
    <d v="2025-05-16T00:00:00"/>
    <n v="4"/>
    <n v="58130.33"/>
    <s v="Pneumonia"/>
    <s v="Referred"/>
    <n v="3"/>
    <s v="High"/>
    <s v="High Risk"/>
  </r>
  <r>
    <n v="887"/>
    <x v="285"/>
    <x v="20"/>
    <x v="0"/>
    <n v="4"/>
    <d v="2022-10-23T00:00:00"/>
    <d v="2022-10-26T00:00:00"/>
    <n v="1"/>
    <n v="174661.42"/>
    <s v="Diabetes"/>
    <s v="Recovered"/>
    <n v="3"/>
    <s v="High"/>
    <s v="low risk"/>
  </r>
  <r>
    <n v="888"/>
    <x v="532"/>
    <x v="12"/>
    <x v="1"/>
    <n v="8"/>
    <d v="2024-12-28T00:00:00"/>
    <d v="2025-01-08T00:00:00"/>
    <n v="3"/>
    <n v="22550.639999999999"/>
    <s v="Asthma"/>
    <s v="Ongoing Treatment"/>
    <n v="11"/>
    <s v="High"/>
    <s v="High Risk"/>
  </r>
  <r>
    <n v="889"/>
    <x v="533"/>
    <x v="21"/>
    <x v="1"/>
    <n v="5"/>
    <d v="2026-05-26T00:00:00"/>
    <d v="2026-06-24T00:00:00"/>
    <n v="1"/>
    <n v="86851.87"/>
    <s v="Diabetes"/>
    <s v="Recovered"/>
    <n v="29"/>
    <s v="High"/>
    <s v="low risk"/>
  </r>
  <r>
    <n v="890"/>
    <x v="151"/>
    <x v="56"/>
    <x v="1"/>
    <n v="1"/>
    <d v="2025-11-15T00:00:00"/>
    <d v="2025-12-14T00:00:00"/>
    <n v="4"/>
    <n v="45042.46"/>
    <s v="Pneumonia"/>
    <s v="Referred"/>
    <n v="29"/>
    <s v="High"/>
    <s v="High Risk"/>
  </r>
  <r>
    <n v="891"/>
    <x v="534"/>
    <x v="38"/>
    <x v="0"/>
    <n v="2"/>
    <d v="2024-12-31T00:00:00"/>
    <d v="2025-01-27T00:00:00"/>
    <n v="1"/>
    <n v="81026.5"/>
    <s v="Diabetes"/>
    <s v="Recovered"/>
    <n v="27"/>
    <s v="High"/>
    <s v="low risk"/>
  </r>
  <r>
    <n v="892"/>
    <x v="535"/>
    <x v="12"/>
    <x v="0"/>
    <n v="2"/>
    <d v="2026-08-12T00:00:00"/>
    <d v="2026-09-05T00:00:00"/>
    <n v="1"/>
    <n v="39843.599999999999"/>
    <s v="Diabetes"/>
    <s v="Recovered"/>
    <n v="24"/>
    <s v="High"/>
    <s v="low risk"/>
  </r>
  <r>
    <n v="893"/>
    <x v="271"/>
    <x v="11"/>
    <x v="0"/>
    <n v="7"/>
    <d v="2026-06-05T00:00:00"/>
    <d v="2026-06-06T00:00:00"/>
    <n v="1"/>
    <n v="16716.78"/>
    <s v="Diabetes"/>
    <s v="Recovered"/>
    <n v="1"/>
    <s v="High"/>
    <s v="High Risk"/>
  </r>
  <r>
    <n v="894"/>
    <x v="378"/>
    <x v="0"/>
    <x v="0"/>
    <n v="6"/>
    <d v="2026-01-09T00:00:00"/>
    <d v="2026-01-22T00:00:00"/>
    <n v="5"/>
    <n v="148092.82999999999"/>
    <s v="Heart Disease"/>
    <s v="Readmitted"/>
    <n v="13"/>
    <s v="High"/>
    <s v="High Risk"/>
  </r>
  <r>
    <n v="895"/>
    <x v="536"/>
    <x v="91"/>
    <x v="1"/>
    <n v="6"/>
    <d v="2024-05-11T00:00:00"/>
    <d v="2024-05-30T00:00:00"/>
    <n v="3"/>
    <n v="99721.67"/>
    <s v="Asthma"/>
    <s v="Ongoing Treatment"/>
    <n v="19"/>
    <s v="High"/>
    <s v="High Risk"/>
  </r>
  <r>
    <n v="896"/>
    <x v="471"/>
    <x v="61"/>
    <x v="1"/>
    <n v="1"/>
    <d v="2025-08-06T00:00:00"/>
    <d v="2025-08-26T00:00:00"/>
    <n v="1"/>
    <n v="81204.38"/>
    <s v="Diabetes"/>
    <s v="Recovered"/>
    <n v="20"/>
    <s v="High"/>
    <s v="High Risk"/>
  </r>
  <r>
    <n v="897"/>
    <x v="209"/>
    <x v="10"/>
    <x v="1"/>
    <n v="5"/>
    <d v="2023-10-05T00:00:00"/>
    <d v="2023-10-23T00:00:00"/>
    <n v="1"/>
    <n v="30513.48"/>
    <s v="Diabetes"/>
    <s v="Recovered"/>
    <n v="18"/>
    <s v="High"/>
    <s v="low risk"/>
  </r>
  <r>
    <n v="898"/>
    <x v="537"/>
    <x v="80"/>
    <x v="0"/>
    <n v="6"/>
    <d v="2024-07-13T00:00:00"/>
    <d v="2024-07-28T00:00:00"/>
    <n v="5"/>
    <n v="26197.99"/>
    <s v="Heart Disease"/>
    <s v="Readmitted"/>
    <n v="15"/>
    <s v="High"/>
    <s v="High Risk"/>
  </r>
  <r>
    <n v="899"/>
    <x v="538"/>
    <x v="85"/>
    <x v="0"/>
    <n v="4"/>
    <d v="2022-06-22T00:00:00"/>
    <d v="2022-07-05T00:00:00"/>
    <n v="2"/>
    <n v="72345.22"/>
    <s v="Hypertension"/>
    <s v="Improved"/>
    <n v="13"/>
    <s v="High"/>
    <s v="High Risk"/>
  </r>
  <r>
    <n v="900"/>
    <x v="539"/>
    <x v="59"/>
    <x v="1"/>
    <n v="1"/>
    <d v="2025-02-17T00:00:00"/>
    <d v="2025-03-09T00:00:00"/>
    <n v="2"/>
    <n v="43095.54"/>
    <s v="Hypertension"/>
    <s v="Improved"/>
    <n v="20"/>
    <s v="High"/>
    <s v="High Risk"/>
  </r>
  <r>
    <n v="901"/>
    <x v="279"/>
    <x v="2"/>
    <x v="0"/>
    <n v="3"/>
    <d v="2022-04-12T00:00:00"/>
    <d v="2022-04-24T00:00:00"/>
    <n v="2"/>
    <n v="109069.71"/>
    <s v="Hypertension"/>
    <s v="Improved"/>
    <n v="12"/>
    <s v="High"/>
    <s v="High Risk"/>
  </r>
  <r>
    <n v="902"/>
    <x v="540"/>
    <x v="51"/>
    <x v="1"/>
    <n v="10"/>
    <d v="2022-08-29T00:00:00"/>
    <d v="2022-08-29T00:00:00"/>
    <n v="3"/>
    <n v="79740.679999999993"/>
    <s v="Asthma"/>
    <s v="Ongoing Treatment"/>
    <n v="0"/>
    <s v="High"/>
    <s v="High Risk"/>
  </r>
  <r>
    <n v="903"/>
    <x v="541"/>
    <x v="18"/>
    <x v="1"/>
    <n v="4"/>
    <d v="2023-01-26T00:00:00"/>
    <d v="2023-02-25T00:00:00"/>
    <n v="5"/>
    <n v="141326.64000000001"/>
    <s v="Heart Disease"/>
    <s v="Readmitted"/>
    <n v="30"/>
    <s v="High"/>
    <s v="High Risk"/>
  </r>
  <r>
    <n v="904"/>
    <x v="542"/>
    <x v="49"/>
    <x v="1"/>
    <n v="7"/>
    <d v="2023-02-28T00:00:00"/>
    <d v="2023-03-19T00:00:00"/>
    <n v="1"/>
    <n v="148775.78"/>
    <s v="Diabetes"/>
    <s v="Recovered"/>
    <n v="19"/>
    <s v="High"/>
    <s v="low risk"/>
  </r>
  <r>
    <n v="905"/>
    <x v="90"/>
    <x v="63"/>
    <x v="0"/>
    <n v="3"/>
    <d v="2022-02-28T00:00:00"/>
    <d v="2022-03-09T00:00:00"/>
    <n v="6"/>
    <n v="44298.7"/>
    <s v="Kidney Disease"/>
    <s v="Deceased"/>
    <n v="9"/>
    <s v="High"/>
    <s v="High Risk"/>
  </r>
  <r>
    <n v="906"/>
    <x v="73"/>
    <x v="51"/>
    <x v="0"/>
    <n v="2"/>
    <d v="2022-01-22T00:00:00"/>
    <d v="2022-02-06T00:00:00"/>
    <n v="1"/>
    <n v="59876.160000000003"/>
    <s v="Diabetes"/>
    <s v="Recovered"/>
    <n v="15"/>
    <s v="High"/>
    <s v="low risk"/>
  </r>
  <r>
    <n v="907"/>
    <x v="543"/>
    <x v="81"/>
    <x v="0"/>
    <n v="7"/>
    <d v="2026-02-16T00:00:00"/>
    <d v="2026-03-07T00:00:00"/>
    <n v="1"/>
    <n v="19412.099999999999"/>
    <s v="Diabetes"/>
    <s v="Recovered"/>
    <n v="19"/>
    <s v="High"/>
    <s v="High Risk"/>
  </r>
  <r>
    <n v="908"/>
    <x v="416"/>
    <x v="64"/>
    <x v="1"/>
    <n v="8"/>
    <d v="2023-12-27T00:00:00"/>
    <d v="2024-01-15T00:00:00"/>
    <n v="5"/>
    <n v="174179.75"/>
    <s v="Heart Disease"/>
    <s v="Readmitted"/>
    <n v="19"/>
    <s v="High"/>
    <s v="High Risk"/>
  </r>
  <r>
    <n v="909"/>
    <x v="345"/>
    <x v="19"/>
    <x v="0"/>
    <n v="9"/>
    <d v="2025-06-23T00:00:00"/>
    <d v="2025-07-05T00:00:00"/>
    <n v="1"/>
    <n v="72558.679999999993"/>
    <s v="Diabetes"/>
    <s v="Recovered"/>
    <n v="12"/>
    <s v="High"/>
    <s v="low risk"/>
  </r>
  <r>
    <n v="910"/>
    <x v="132"/>
    <x v="82"/>
    <x v="1"/>
    <n v="10"/>
    <d v="2023-01-03T00:00:00"/>
    <d v="2023-01-11T00:00:00"/>
    <n v="1"/>
    <n v="89979.07"/>
    <s v="Diabetes"/>
    <s v="Recovered"/>
    <n v="8"/>
    <s v="High"/>
    <s v="High Risk"/>
  </r>
  <r>
    <n v="911"/>
    <x v="444"/>
    <x v="17"/>
    <x v="1"/>
    <n v="6"/>
    <d v="2025-12-25T00:00:00"/>
    <d v="2026-01-10T00:00:00"/>
    <n v="2"/>
    <n v="48722.07"/>
    <s v="Hypertension"/>
    <s v="Improved"/>
    <n v="16"/>
    <s v="High"/>
    <s v="High Risk"/>
  </r>
  <r>
    <n v="912"/>
    <x v="108"/>
    <x v="17"/>
    <x v="0"/>
    <n v="5"/>
    <d v="2026-03-12T00:00:00"/>
    <d v="2026-03-23T00:00:00"/>
    <n v="5"/>
    <n v="52719.28"/>
    <s v="Heart Disease"/>
    <s v="Readmitted"/>
    <n v="11"/>
    <s v="High"/>
    <s v="High Risk"/>
  </r>
  <r>
    <n v="913"/>
    <x v="156"/>
    <x v="9"/>
    <x v="0"/>
    <n v="7"/>
    <d v="2022-12-04T00:00:00"/>
    <d v="2022-12-14T00:00:00"/>
    <n v="3"/>
    <n v="89701.27"/>
    <s v="Asthma"/>
    <s v="Ongoing Treatment"/>
    <n v="10"/>
    <s v="High"/>
    <s v="High Risk"/>
  </r>
  <r>
    <n v="914"/>
    <x v="290"/>
    <x v="43"/>
    <x v="0"/>
    <n v="1"/>
    <d v="2023-01-22T00:00:00"/>
    <d v="2023-01-26T00:00:00"/>
    <n v="1"/>
    <n v="35007.58"/>
    <s v="Diabetes"/>
    <s v="Recovered"/>
    <n v="4"/>
    <s v="High"/>
    <s v="High Risk"/>
  </r>
  <r>
    <n v="915"/>
    <x v="544"/>
    <x v="37"/>
    <x v="0"/>
    <n v="7"/>
    <d v="2022-08-26T00:00:00"/>
    <d v="2022-09-23T00:00:00"/>
    <n v="5"/>
    <n v="9740.5300000000007"/>
    <s v="Heart Disease"/>
    <s v="Readmitted"/>
    <n v="28"/>
    <s v="High"/>
    <s v="High Risk"/>
  </r>
  <r>
    <n v="916"/>
    <x v="545"/>
    <x v="33"/>
    <x v="0"/>
    <n v="8"/>
    <d v="2022-08-19T00:00:00"/>
    <d v="2022-09-15T00:00:00"/>
    <n v="3"/>
    <n v="28779.53"/>
    <s v="Asthma"/>
    <s v="Ongoing Treatment"/>
    <n v="27"/>
    <s v="High"/>
    <s v="High Risk"/>
  </r>
  <r>
    <n v="917"/>
    <x v="36"/>
    <x v="79"/>
    <x v="0"/>
    <n v="3"/>
    <d v="2026-09-06T00:00:00"/>
    <d v="2026-09-11T00:00:00"/>
    <n v="3"/>
    <n v="148506.49"/>
    <s v="Asthma"/>
    <s v="Ongoing Treatment"/>
    <n v="5"/>
    <s v="High"/>
    <s v="High Risk"/>
  </r>
  <r>
    <n v="918"/>
    <x v="24"/>
    <x v="8"/>
    <x v="1"/>
    <n v="9"/>
    <d v="2026-04-20T00:00:00"/>
    <d v="2026-05-08T00:00:00"/>
    <n v="1"/>
    <n v="165873.34"/>
    <s v="Diabetes"/>
    <s v="Recovered"/>
    <n v="18"/>
    <s v="High"/>
    <s v="low risk"/>
  </r>
  <r>
    <n v="919"/>
    <x v="238"/>
    <x v="62"/>
    <x v="1"/>
    <n v="6"/>
    <d v="2022-02-23T00:00:00"/>
    <d v="2022-03-04T00:00:00"/>
    <n v="3"/>
    <n v="123313.5"/>
    <s v="Asthma"/>
    <s v="Ongoing Treatment"/>
    <n v="9"/>
    <s v="High"/>
    <s v="High Risk"/>
  </r>
  <r>
    <n v="920"/>
    <x v="256"/>
    <x v="1"/>
    <x v="1"/>
    <n v="6"/>
    <d v="2022-11-11T00:00:00"/>
    <d v="2022-11-11T00:00:00"/>
    <n v="1"/>
    <n v="149949.10999999999"/>
    <s v="Diabetes"/>
    <s v="Recovered"/>
    <n v="0"/>
    <s v="High"/>
    <s v="High Risk"/>
  </r>
  <r>
    <n v="921"/>
    <x v="72"/>
    <x v="11"/>
    <x v="0"/>
    <n v="10"/>
    <d v="2025-09-09T00:00:00"/>
    <d v="2025-09-09T00:00:00"/>
    <n v="1"/>
    <n v="10282.84"/>
    <s v="Diabetes"/>
    <s v="Recovered"/>
    <n v="0"/>
    <s v="High"/>
    <s v="High Risk"/>
  </r>
  <r>
    <n v="922"/>
    <x v="146"/>
    <x v="85"/>
    <x v="1"/>
    <n v="4"/>
    <d v="2022-04-10T00:00:00"/>
    <d v="2022-05-05T00:00:00"/>
    <n v="2"/>
    <n v="59862.83"/>
    <s v="Hypertension"/>
    <s v="Improved"/>
    <n v="25"/>
    <s v="High"/>
    <s v="High Risk"/>
  </r>
  <r>
    <n v="923"/>
    <x v="175"/>
    <x v="92"/>
    <x v="0"/>
    <n v="2"/>
    <d v="2024-03-27T00:00:00"/>
    <d v="2024-04-04T00:00:00"/>
    <n v="1"/>
    <n v="173796.25"/>
    <s v="Diabetes"/>
    <s v="Recovered"/>
    <n v="8"/>
    <s v="High"/>
    <s v="High Risk"/>
  </r>
  <r>
    <n v="924"/>
    <x v="106"/>
    <x v="56"/>
    <x v="1"/>
    <n v="3"/>
    <d v="2024-03-06T00:00:00"/>
    <d v="2024-03-30T00:00:00"/>
    <n v="2"/>
    <n v="117372.32"/>
    <s v="Hypertension"/>
    <s v="Improved"/>
    <n v="24"/>
    <s v="High"/>
    <s v="High Risk"/>
  </r>
  <r>
    <n v="925"/>
    <x v="428"/>
    <x v="94"/>
    <x v="0"/>
    <n v="7"/>
    <d v="2026-02-16T00:00:00"/>
    <d v="2026-03-13T00:00:00"/>
    <n v="5"/>
    <n v="162912.82999999999"/>
    <s v="Heart Disease"/>
    <s v="Readmitted"/>
    <n v="25"/>
    <s v="High"/>
    <s v="High Risk"/>
  </r>
  <r>
    <n v="926"/>
    <x v="189"/>
    <x v="4"/>
    <x v="1"/>
    <n v="6"/>
    <d v="2024-11-15T00:00:00"/>
    <d v="2024-11-21T00:00:00"/>
    <n v="2"/>
    <n v="159660.81"/>
    <s v="Hypertension"/>
    <s v="Improved"/>
    <n v="6"/>
    <s v="High"/>
    <s v="High Risk"/>
  </r>
  <r>
    <n v="927"/>
    <x v="544"/>
    <x v="27"/>
    <x v="0"/>
    <n v="2"/>
    <d v="2026-03-30T00:00:00"/>
    <d v="2026-04-12T00:00:00"/>
    <n v="4"/>
    <n v="111461.53"/>
    <s v="Pneumonia"/>
    <s v="Referred"/>
    <n v="13"/>
    <s v="High"/>
    <s v="High Risk"/>
  </r>
  <r>
    <n v="928"/>
    <x v="546"/>
    <x v="86"/>
    <x v="1"/>
    <n v="9"/>
    <d v="2023-12-01T00:00:00"/>
    <d v="2023-12-15T00:00:00"/>
    <n v="3"/>
    <n v="117450.88"/>
    <s v="Asthma"/>
    <s v="Ongoing Treatment"/>
    <n v="14"/>
    <s v="High"/>
    <s v="High Risk"/>
  </r>
  <r>
    <n v="929"/>
    <x v="376"/>
    <x v="83"/>
    <x v="1"/>
    <n v="5"/>
    <d v="2024-08-16T00:00:00"/>
    <d v="2024-08-29T00:00:00"/>
    <n v="1"/>
    <n v="144774.18"/>
    <s v="Diabetes"/>
    <s v="Recovered"/>
    <n v="13"/>
    <s v="High"/>
    <s v="High Risk"/>
  </r>
  <r>
    <n v="930"/>
    <x v="229"/>
    <x v="17"/>
    <x v="0"/>
    <n v="4"/>
    <d v="2024-12-07T00:00:00"/>
    <d v="2024-12-20T00:00:00"/>
    <n v="1"/>
    <n v="10971.77"/>
    <s v="Diabetes"/>
    <s v="Recovered"/>
    <n v="13"/>
    <s v="High"/>
    <s v="low risk"/>
  </r>
  <r>
    <n v="931"/>
    <x v="547"/>
    <x v="26"/>
    <x v="1"/>
    <n v="9"/>
    <d v="2024-05-20T00:00:00"/>
    <d v="2024-06-02T00:00:00"/>
    <n v="1"/>
    <n v="119801.81"/>
    <s v="Diabetes"/>
    <s v="Recovered"/>
    <n v="13"/>
    <s v="High"/>
    <s v="High Risk"/>
  </r>
  <r>
    <n v="932"/>
    <x v="187"/>
    <x v="4"/>
    <x v="0"/>
    <n v="10"/>
    <d v="2022-06-17T00:00:00"/>
    <d v="2022-07-11T00:00:00"/>
    <n v="2"/>
    <n v="22723.55"/>
    <s v="Hypertension"/>
    <s v="Improved"/>
    <n v="24"/>
    <s v="High"/>
    <s v="High Risk"/>
  </r>
  <r>
    <n v="933"/>
    <x v="509"/>
    <x v="63"/>
    <x v="0"/>
    <n v="1"/>
    <d v="2022-06-20T00:00:00"/>
    <d v="2022-07-03T00:00:00"/>
    <n v="5"/>
    <n v="55332.43"/>
    <s v="Heart Disease"/>
    <s v="Readmitted"/>
    <n v="13"/>
    <s v="High"/>
    <s v="High Risk"/>
  </r>
  <r>
    <n v="934"/>
    <x v="548"/>
    <x v="29"/>
    <x v="0"/>
    <n v="10"/>
    <d v="2026-07-13T00:00:00"/>
    <d v="2026-07-21T00:00:00"/>
    <n v="1"/>
    <n v="165464.87"/>
    <s v="Diabetes"/>
    <s v="Recovered"/>
    <n v="8"/>
    <s v="High"/>
    <s v="High Risk"/>
  </r>
  <r>
    <n v="935"/>
    <x v="79"/>
    <x v="63"/>
    <x v="1"/>
    <n v="10"/>
    <d v="2023-06-16T00:00:00"/>
    <d v="2023-07-13T00:00:00"/>
    <n v="3"/>
    <n v="79499.31"/>
    <s v="Asthma"/>
    <s v="Ongoing Treatment"/>
    <n v="27"/>
    <s v="High"/>
    <s v="High Risk"/>
  </r>
  <r>
    <n v="936"/>
    <x v="549"/>
    <x v="88"/>
    <x v="1"/>
    <n v="1"/>
    <d v="2022-12-18T00:00:00"/>
    <d v="2023-01-07T00:00:00"/>
    <n v="2"/>
    <n v="125295.61"/>
    <s v="Hypertension"/>
    <s v="Improved"/>
    <n v="20"/>
    <s v="High"/>
    <s v="High Risk"/>
  </r>
  <r>
    <n v="937"/>
    <x v="318"/>
    <x v="94"/>
    <x v="0"/>
    <n v="7"/>
    <d v="2026-07-06T00:00:00"/>
    <d v="2026-07-15T00:00:00"/>
    <n v="1"/>
    <n v="26482.73"/>
    <s v="Diabetes"/>
    <s v="Recovered"/>
    <n v="9"/>
    <s v="High"/>
    <s v="low risk"/>
  </r>
  <r>
    <n v="938"/>
    <x v="497"/>
    <x v="56"/>
    <x v="1"/>
    <n v="1"/>
    <d v="2023-03-05T00:00:00"/>
    <d v="2023-03-20T00:00:00"/>
    <n v="2"/>
    <n v="117828.82"/>
    <s v="Hypertension"/>
    <s v="Improved"/>
    <n v="15"/>
    <s v="High"/>
    <s v="High Risk"/>
  </r>
  <r>
    <n v="939"/>
    <x v="530"/>
    <x v="57"/>
    <x v="1"/>
    <n v="5"/>
    <d v="2026-04-26T00:00:00"/>
    <d v="2026-05-10T00:00:00"/>
    <n v="1"/>
    <n v="77383.56"/>
    <s v="Diabetes"/>
    <s v="Recovered"/>
    <n v="14"/>
    <s v="High"/>
    <s v="low risk"/>
  </r>
  <r>
    <n v="940"/>
    <x v="282"/>
    <x v="50"/>
    <x v="0"/>
    <n v="8"/>
    <d v="2024-08-23T00:00:00"/>
    <d v="2024-08-23T00:00:00"/>
    <n v="5"/>
    <n v="106377.66"/>
    <s v="Heart Disease"/>
    <s v="Readmitted"/>
    <n v="0"/>
    <s v="High"/>
    <s v="High Risk"/>
  </r>
  <r>
    <n v="941"/>
    <x v="210"/>
    <x v="27"/>
    <x v="0"/>
    <n v="1"/>
    <d v="2023-11-15T00:00:00"/>
    <d v="2023-11-15T00:00:00"/>
    <n v="1"/>
    <n v="152954.23999999999"/>
    <s v="Diabetes"/>
    <s v="Recovered"/>
    <n v="0"/>
    <s v="High"/>
    <s v="High Risk"/>
  </r>
  <r>
    <n v="942"/>
    <x v="546"/>
    <x v="90"/>
    <x v="0"/>
    <n v="1"/>
    <d v="2024-09-25T00:00:00"/>
    <d v="2024-10-07T00:00:00"/>
    <n v="2"/>
    <n v="107409.47"/>
    <s v="Hypertension"/>
    <s v="Improved"/>
    <n v="12"/>
    <s v="High"/>
    <s v="High Risk"/>
  </r>
  <r>
    <n v="943"/>
    <x v="239"/>
    <x v="73"/>
    <x v="1"/>
    <n v="9"/>
    <d v="2022-02-08T00:00:00"/>
    <d v="2022-02-21T00:00:00"/>
    <n v="2"/>
    <n v="100702.88"/>
    <s v="Hypertension"/>
    <s v="Improved"/>
    <n v="13"/>
    <s v="High"/>
    <s v="High Risk"/>
  </r>
  <r>
    <n v="944"/>
    <x v="64"/>
    <x v="21"/>
    <x v="1"/>
    <n v="8"/>
    <d v="2025-06-29T00:00:00"/>
    <d v="2025-07-29T00:00:00"/>
    <n v="2"/>
    <n v="82077.759999999995"/>
    <s v="Hypertension"/>
    <s v="Improved"/>
    <n v="30"/>
    <s v="High"/>
    <s v="High Risk"/>
  </r>
  <r>
    <n v="945"/>
    <x v="550"/>
    <x v="37"/>
    <x v="0"/>
    <n v="4"/>
    <d v="2024-08-19T00:00:00"/>
    <d v="2024-08-30T00:00:00"/>
    <n v="2"/>
    <n v="92605.38"/>
    <s v="Hypertension"/>
    <s v="Improved"/>
    <n v="11"/>
    <s v="High"/>
    <s v="High Risk"/>
  </r>
  <r>
    <n v="946"/>
    <x v="551"/>
    <x v="41"/>
    <x v="0"/>
    <n v="3"/>
    <d v="2023-08-24T00:00:00"/>
    <d v="2023-09-16T00:00:00"/>
    <n v="3"/>
    <n v="172865.1"/>
    <s v="Asthma"/>
    <s v="Ongoing Treatment"/>
    <n v="23"/>
    <s v="High"/>
    <s v="High Risk"/>
  </r>
  <r>
    <n v="947"/>
    <x v="552"/>
    <x v="37"/>
    <x v="1"/>
    <n v="5"/>
    <d v="2025-11-15T00:00:00"/>
    <d v="2025-12-08T00:00:00"/>
    <n v="1"/>
    <n v="88212.93"/>
    <s v="Diabetes"/>
    <s v="Recovered"/>
    <n v="23"/>
    <s v="High"/>
    <s v="low risk"/>
  </r>
  <r>
    <n v="948"/>
    <x v="79"/>
    <x v="37"/>
    <x v="0"/>
    <n v="2"/>
    <d v="2026-06-14T00:00:00"/>
    <d v="2026-06-27T00:00:00"/>
    <n v="5"/>
    <n v="90136.2"/>
    <s v="Heart Disease"/>
    <s v="Readmitted"/>
    <n v="13"/>
    <s v="High"/>
    <s v="High Risk"/>
  </r>
  <r>
    <n v="949"/>
    <x v="459"/>
    <x v="82"/>
    <x v="1"/>
    <n v="1"/>
    <d v="2024-01-05T00:00:00"/>
    <d v="2024-02-02T00:00:00"/>
    <n v="1"/>
    <n v="122654.69"/>
    <s v="Diabetes"/>
    <s v="Recovered"/>
    <n v="28"/>
    <s v="High"/>
    <s v="High Risk"/>
  </r>
  <r>
    <n v="950"/>
    <x v="365"/>
    <x v="75"/>
    <x v="1"/>
    <n v="6"/>
    <d v="2024-05-31T00:00:00"/>
    <d v="2024-06-03T00:00:00"/>
    <n v="2"/>
    <n v="23922.13"/>
    <s v="Hypertension"/>
    <s v="Improved"/>
    <n v="3"/>
    <s v="High"/>
    <s v="High Risk"/>
  </r>
  <r>
    <n v="951"/>
    <x v="553"/>
    <x v="9"/>
    <x v="0"/>
    <n v="6"/>
    <d v="2026-04-25T00:00:00"/>
    <d v="2026-04-26T00:00:00"/>
    <n v="4"/>
    <n v="101371.47"/>
    <s v="Pneumonia"/>
    <s v="Referred"/>
    <n v="1"/>
    <s v="High"/>
    <s v="High Risk"/>
  </r>
  <r>
    <n v="952"/>
    <x v="554"/>
    <x v="41"/>
    <x v="1"/>
    <n v="1"/>
    <d v="2024-06-15T00:00:00"/>
    <d v="2024-07-10T00:00:00"/>
    <n v="2"/>
    <n v="151883.46"/>
    <s v="Hypertension"/>
    <s v="Improved"/>
    <n v="25"/>
    <s v="High"/>
    <s v="High Risk"/>
  </r>
  <r>
    <n v="953"/>
    <x v="555"/>
    <x v="77"/>
    <x v="1"/>
    <n v="9"/>
    <d v="2022-03-27T00:00:00"/>
    <d v="2022-04-12T00:00:00"/>
    <n v="1"/>
    <n v="114311.89"/>
    <s v="Diabetes"/>
    <s v="Recovered"/>
    <n v="16"/>
    <s v="High"/>
    <s v="High Risk"/>
  </r>
  <r>
    <n v="954"/>
    <x v="74"/>
    <x v="37"/>
    <x v="0"/>
    <n v="8"/>
    <d v="2026-04-10T00:00:00"/>
    <d v="2026-04-26T00:00:00"/>
    <n v="2"/>
    <n v="157012.46"/>
    <s v="Hypertension"/>
    <s v="Improved"/>
    <n v="16"/>
    <s v="High"/>
    <s v="High Risk"/>
  </r>
  <r>
    <n v="955"/>
    <x v="556"/>
    <x v="64"/>
    <x v="1"/>
    <n v="2"/>
    <d v="2023-02-18T00:00:00"/>
    <d v="2023-03-04T00:00:00"/>
    <n v="6"/>
    <n v="139036.43"/>
    <s v="Kidney Disease"/>
    <s v="Deceased"/>
    <n v="14"/>
    <s v="High"/>
    <s v="High Risk"/>
  </r>
  <r>
    <n v="956"/>
    <x v="342"/>
    <x v="21"/>
    <x v="0"/>
    <n v="5"/>
    <d v="2024-10-31T00:00:00"/>
    <d v="2024-11-05T00:00:00"/>
    <n v="1"/>
    <n v="68607.45"/>
    <s v="Diabetes"/>
    <s v="Recovered"/>
    <n v="5"/>
    <s v="High"/>
    <s v="low risk"/>
  </r>
  <r>
    <n v="957"/>
    <x v="297"/>
    <x v="11"/>
    <x v="1"/>
    <n v="3"/>
    <d v="2026-03-23T00:00:00"/>
    <d v="2026-04-16T00:00:00"/>
    <n v="2"/>
    <n v="142230.79"/>
    <s v="Hypertension"/>
    <s v="Improved"/>
    <n v="24"/>
    <s v="High"/>
    <s v="High Risk"/>
  </r>
  <r>
    <n v="958"/>
    <x v="222"/>
    <x v="36"/>
    <x v="0"/>
    <n v="8"/>
    <d v="2024-11-23T00:00:00"/>
    <d v="2024-12-18T00:00:00"/>
    <n v="3"/>
    <n v="170013.9"/>
    <s v="Asthma"/>
    <s v="Ongoing Treatment"/>
    <n v="25"/>
    <s v="High"/>
    <s v="High Risk"/>
  </r>
  <r>
    <n v="959"/>
    <x v="557"/>
    <x v="31"/>
    <x v="1"/>
    <n v="2"/>
    <d v="2023-11-24T00:00:00"/>
    <d v="2023-12-04T00:00:00"/>
    <n v="2"/>
    <n v="139596.14000000001"/>
    <s v="Hypertension"/>
    <s v="Improved"/>
    <n v="10"/>
    <s v="High"/>
    <s v="High Risk"/>
  </r>
  <r>
    <n v="960"/>
    <x v="558"/>
    <x v="88"/>
    <x v="1"/>
    <n v="3"/>
    <d v="2025-03-22T00:00:00"/>
    <d v="2025-03-23T00:00:00"/>
    <n v="6"/>
    <n v="176458.36"/>
    <s v="Kidney Disease"/>
    <s v="Deceased"/>
    <n v="1"/>
    <s v="High"/>
    <s v="High Risk"/>
  </r>
  <r>
    <n v="961"/>
    <x v="127"/>
    <x v="53"/>
    <x v="0"/>
    <n v="9"/>
    <d v="2023-09-16T00:00:00"/>
    <d v="2023-10-09T00:00:00"/>
    <n v="3"/>
    <n v="163888.48000000001"/>
    <s v="Asthma"/>
    <s v="Ongoing Treatment"/>
    <n v="23"/>
    <s v="High"/>
    <s v="High Risk"/>
  </r>
  <r>
    <n v="962"/>
    <x v="559"/>
    <x v="83"/>
    <x v="1"/>
    <n v="7"/>
    <d v="2024-07-02T00:00:00"/>
    <d v="2024-07-22T00:00:00"/>
    <n v="1"/>
    <n v="99135.49"/>
    <s v="Diabetes"/>
    <s v="Recovered"/>
    <n v="20"/>
    <s v="High"/>
    <s v="High Risk"/>
  </r>
  <r>
    <n v="963"/>
    <x v="146"/>
    <x v="70"/>
    <x v="0"/>
    <n v="7"/>
    <d v="2026-05-08T00:00:00"/>
    <d v="2026-05-14T00:00:00"/>
    <n v="5"/>
    <n v="17459.86"/>
    <s v="Heart Disease"/>
    <s v="Readmitted"/>
    <n v="6"/>
    <s v="High"/>
    <s v="High Risk"/>
  </r>
  <r>
    <n v="964"/>
    <x v="168"/>
    <x v="78"/>
    <x v="1"/>
    <n v="9"/>
    <d v="2025-01-12T00:00:00"/>
    <d v="2025-01-21T00:00:00"/>
    <n v="1"/>
    <n v="93321.71"/>
    <s v="Diabetes"/>
    <s v="Recovered"/>
    <n v="9"/>
    <s v="High"/>
    <s v="low risk"/>
  </r>
  <r>
    <n v="965"/>
    <x v="170"/>
    <x v="3"/>
    <x v="1"/>
    <n v="1"/>
    <d v="2022-02-27T00:00:00"/>
    <d v="2022-03-27T00:00:00"/>
    <n v="4"/>
    <n v="107669.39"/>
    <s v="Pneumonia"/>
    <s v="Referred"/>
    <n v="28"/>
    <s v="High"/>
    <s v="High Risk"/>
  </r>
  <r>
    <n v="966"/>
    <x v="273"/>
    <x v="48"/>
    <x v="0"/>
    <n v="9"/>
    <d v="2022-08-15T00:00:00"/>
    <d v="2022-09-07T00:00:00"/>
    <n v="1"/>
    <n v="68703.75"/>
    <s v="Diabetes"/>
    <s v="Recovered"/>
    <n v="23"/>
    <s v="High"/>
    <s v="High Risk"/>
  </r>
  <r>
    <n v="967"/>
    <x v="163"/>
    <x v="18"/>
    <x v="1"/>
    <n v="2"/>
    <d v="2024-07-08T00:00:00"/>
    <d v="2024-07-17T00:00:00"/>
    <n v="2"/>
    <n v="3425.38"/>
    <s v="Hypertension"/>
    <s v="Improved"/>
    <n v="9"/>
    <s v="High"/>
    <s v="High Risk"/>
  </r>
  <r>
    <n v="968"/>
    <x v="322"/>
    <x v="40"/>
    <x v="1"/>
    <n v="6"/>
    <d v="2023-09-05T00:00:00"/>
    <d v="2023-09-14T00:00:00"/>
    <n v="3"/>
    <n v="147176.56"/>
    <s v="Asthma"/>
    <s v="Ongoing Treatment"/>
    <n v="9"/>
    <s v="High"/>
    <s v="High Risk"/>
  </r>
  <r>
    <n v="969"/>
    <x v="456"/>
    <x v="81"/>
    <x v="0"/>
    <n v="9"/>
    <d v="2026-02-19T00:00:00"/>
    <d v="2026-02-26T00:00:00"/>
    <n v="1"/>
    <n v="94170.2"/>
    <s v="Diabetes"/>
    <s v="Recovered"/>
    <n v="7"/>
    <s v="High"/>
    <s v="High Risk"/>
  </r>
  <r>
    <n v="970"/>
    <x v="415"/>
    <x v="65"/>
    <x v="1"/>
    <n v="3"/>
    <d v="2025-12-28T00:00:00"/>
    <d v="2026-01-10T00:00:00"/>
    <n v="4"/>
    <n v="17045.62"/>
    <s v="Pneumonia"/>
    <s v="Referred"/>
    <n v="13"/>
    <s v="High"/>
    <s v="High Risk"/>
  </r>
  <r>
    <n v="971"/>
    <x v="560"/>
    <x v="17"/>
    <x v="0"/>
    <n v="4"/>
    <d v="2024-07-02T00:00:00"/>
    <d v="2024-07-04T00:00:00"/>
    <n v="2"/>
    <n v="95910.37"/>
    <s v="Hypertension"/>
    <s v="Improved"/>
    <n v="2"/>
    <s v="High"/>
    <s v="High Risk"/>
  </r>
  <r>
    <n v="972"/>
    <x v="128"/>
    <x v="28"/>
    <x v="0"/>
    <n v="5"/>
    <d v="2025-04-11T00:00:00"/>
    <d v="2025-04-26T00:00:00"/>
    <n v="2"/>
    <n v="179380.84"/>
    <s v="Hypertension"/>
    <s v="Improved"/>
    <n v="15"/>
    <s v="High"/>
    <s v="High Risk"/>
  </r>
  <r>
    <n v="973"/>
    <x v="478"/>
    <x v="37"/>
    <x v="1"/>
    <n v="9"/>
    <d v="2022-09-18T00:00:00"/>
    <d v="2022-10-03T00:00:00"/>
    <n v="3"/>
    <n v="25465.87"/>
    <s v="Asthma"/>
    <s v="Ongoing Treatment"/>
    <n v="15"/>
    <s v="High"/>
    <s v="High Risk"/>
  </r>
  <r>
    <n v="974"/>
    <x v="561"/>
    <x v="18"/>
    <x v="1"/>
    <n v="8"/>
    <d v="2024-08-27T00:00:00"/>
    <d v="2024-08-28T00:00:00"/>
    <n v="3"/>
    <n v="170072.35"/>
    <s v="Asthma"/>
    <s v="Ongoing Treatment"/>
    <n v="1"/>
    <s v="High"/>
    <s v="High Risk"/>
  </r>
  <r>
    <n v="975"/>
    <x v="386"/>
    <x v="41"/>
    <x v="0"/>
    <n v="2"/>
    <d v="2022-09-05T00:00:00"/>
    <d v="2022-09-16T00:00:00"/>
    <n v="2"/>
    <n v="9650.08"/>
    <s v="Hypertension"/>
    <s v="Improved"/>
    <n v="11"/>
    <s v="High"/>
    <s v="High Risk"/>
  </r>
  <r>
    <n v="976"/>
    <x v="428"/>
    <x v="51"/>
    <x v="0"/>
    <n v="6"/>
    <d v="2023-09-14T00:00:00"/>
    <d v="2023-09-23T00:00:00"/>
    <n v="2"/>
    <n v="142938.66"/>
    <s v="Hypertension"/>
    <s v="Improved"/>
    <n v="9"/>
    <s v="High"/>
    <s v="High Risk"/>
  </r>
  <r>
    <n v="977"/>
    <x v="562"/>
    <x v="53"/>
    <x v="1"/>
    <n v="5"/>
    <d v="2023-08-04T00:00:00"/>
    <d v="2023-08-10T00:00:00"/>
    <n v="1"/>
    <n v="133789.71"/>
    <s v="Diabetes"/>
    <s v="Recovered"/>
    <n v="6"/>
    <s v="High"/>
    <s v="low risk"/>
  </r>
  <r>
    <n v="978"/>
    <x v="40"/>
    <x v="92"/>
    <x v="0"/>
    <n v="2"/>
    <d v="2022-04-02T00:00:00"/>
    <d v="2022-04-15T00:00:00"/>
    <n v="2"/>
    <n v="57472.08"/>
    <s v="Hypertension"/>
    <s v="Improved"/>
    <n v="13"/>
    <s v="High"/>
    <s v="High Risk"/>
  </r>
  <r>
    <n v="979"/>
    <x v="202"/>
    <x v="49"/>
    <x v="0"/>
    <n v="10"/>
    <d v="2022-09-29T00:00:00"/>
    <d v="2022-10-23T00:00:00"/>
    <n v="1"/>
    <n v="115471.7"/>
    <s v="Diabetes"/>
    <s v="Recovered"/>
    <n v="24"/>
    <s v="High"/>
    <s v="low risk"/>
  </r>
  <r>
    <n v="980"/>
    <x v="358"/>
    <x v="50"/>
    <x v="0"/>
    <n v="2"/>
    <d v="2026-06-27T00:00:00"/>
    <d v="2026-07-16T00:00:00"/>
    <n v="3"/>
    <n v="75209.03"/>
    <s v="Asthma"/>
    <s v="Ongoing Treatment"/>
    <n v="19"/>
    <s v="High"/>
    <s v="High Risk"/>
  </r>
  <r>
    <n v="981"/>
    <x v="563"/>
    <x v="3"/>
    <x v="1"/>
    <n v="8"/>
    <d v="2026-02-16T00:00:00"/>
    <d v="2026-02-24T00:00:00"/>
    <n v="2"/>
    <n v="156206.76"/>
    <s v="Hypertension"/>
    <s v="Improved"/>
    <n v="8"/>
    <s v="High"/>
    <s v="High Risk"/>
  </r>
  <r>
    <n v="982"/>
    <x v="469"/>
    <x v="11"/>
    <x v="0"/>
    <n v="9"/>
    <d v="2025-08-14T00:00:00"/>
    <d v="2025-08-17T00:00:00"/>
    <n v="2"/>
    <n v="17614.490000000002"/>
    <s v="Hypertension"/>
    <s v="Improved"/>
    <n v="3"/>
    <s v="High"/>
    <s v="High Risk"/>
  </r>
  <r>
    <n v="983"/>
    <x v="564"/>
    <x v="74"/>
    <x v="1"/>
    <n v="10"/>
    <d v="2024-12-04T00:00:00"/>
    <d v="2024-12-10T00:00:00"/>
    <n v="3"/>
    <n v="91718.39"/>
    <s v="Asthma"/>
    <s v="Ongoing Treatment"/>
    <n v="6"/>
    <s v="High"/>
    <s v="High Risk"/>
  </r>
  <r>
    <n v="984"/>
    <x v="516"/>
    <x v="43"/>
    <x v="1"/>
    <n v="1"/>
    <d v="2023-07-18T00:00:00"/>
    <d v="2023-08-12T00:00:00"/>
    <n v="1"/>
    <n v="149770.07"/>
    <s v="Diabetes"/>
    <s v="Recovered"/>
    <n v="25"/>
    <s v="High"/>
    <s v="High Risk"/>
  </r>
  <r>
    <n v="985"/>
    <x v="548"/>
    <x v="5"/>
    <x v="0"/>
    <n v="7"/>
    <d v="2025-04-21T00:00:00"/>
    <d v="2025-04-22T00:00:00"/>
    <n v="2"/>
    <n v="168258.16"/>
    <s v="Hypertension"/>
    <s v="Improved"/>
    <n v="1"/>
    <s v="High"/>
    <s v="High Risk"/>
  </r>
  <r>
    <n v="986"/>
    <x v="261"/>
    <x v="63"/>
    <x v="0"/>
    <n v="1"/>
    <d v="2024-12-17T00:00:00"/>
    <d v="2024-12-27T00:00:00"/>
    <n v="2"/>
    <n v="18656.95"/>
    <s v="Hypertension"/>
    <s v="Improved"/>
    <n v="10"/>
    <s v="High"/>
    <s v="High Risk"/>
  </r>
  <r>
    <n v="987"/>
    <x v="391"/>
    <x v="93"/>
    <x v="0"/>
    <n v="3"/>
    <d v="2023-01-10T00:00:00"/>
    <d v="2023-01-18T00:00:00"/>
    <n v="3"/>
    <n v="29875.360000000001"/>
    <s v="Asthma"/>
    <s v="Ongoing Treatment"/>
    <n v="8"/>
    <s v="High"/>
    <s v="High Risk"/>
  </r>
  <r>
    <n v="988"/>
    <x v="161"/>
    <x v="16"/>
    <x v="0"/>
    <n v="3"/>
    <d v="2022-02-25T00:00:00"/>
    <d v="2022-03-19T00:00:00"/>
    <n v="1"/>
    <n v="71714.3"/>
    <s v="Diabetes"/>
    <s v="Recovered"/>
    <n v="22"/>
    <s v="High"/>
    <s v="low risk"/>
  </r>
  <r>
    <n v="989"/>
    <x v="565"/>
    <x v="36"/>
    <x v="0"/>
    <n v="5"/>
    <d v="2024-02-09T00:00:00"/>
    <d v="2024-03-10T00:00:00"/>
    <n v="4"/>
    <n v="23971.51"/>
    <s v="Pneumonia"/>
    <s v="Referred"/>
    <n v="30"/>
    <s v="High"/>
    <s v="High Risk"/>
  </r>
  <r>
    <n v="990"/>
    <x v="394"/>
    <x v="80"/>
    <x v="1"/>
    <n v="8"/>
    <d v="2024-11-07T00:00:00"/>
    <d v="2024-12-01T00:00:00"/>
    <n v="2"/>
    <n v="171010.88"/>
    <s v="Hypertension"/>
    <s v="Improved"/>
    <n v="24"/>
    <s v="High"/>
    <s v="High Risk"/>
  </r>
  <r>
    <n v="991"/>
    <x v="121"/>
    <x v="25"/>
    <x v="0"/>
    <n v="9"/>
    <d v="2024-04-13T00:00:00"/>
    <d v="2024-04-15T00:00:00"/>
    <n v="2"/>
    <n v="74830.149999999994"/>
    <s v="Hypertension"/>
    <s v="Improved"/>
    <n v="2"/>
    <s v="High"/>
    <s v="High Risk"/>
  </r>
  <r>
    <n v="992"/>
    <x v="223"/>
    <x v="32"/>
    <x v="1"/>
    <n v="4"/>
    <d v="2026-04-12T00:00:00"/>
    <d v="2026-04-29T00:00:00"/>
    <n v="3"/>
    <n v="24788.91"/>
    <s v="Asthma"/>
    <s v="Ongoing Treatment"/>
    <n v="17"/>
    <s v="High"/>
    <s v="High Risk"/>
  </r>
  <r>
    <n v="993"/>
    <x v="407"/>
    <x v="89"/>
    <x v="1"/>
    <n v="9"/>
    <d v="2023-02-21T00:00:00"/>
    <d v="2023-03-18T00:00:00"/>
    <n v="6"/>
    <n v="68761.679999999993"/>
    <s v="Kidney Disease"/>
    <s v="Deceased"/>
    <n v="25"/>
    <s v="High"/>
    <s v="High Risk"/>
  </r>
  <r>
    <n v="994"/>
    <x v="566"/>
    <x v="42"/>
    <x v="0"/>
    <n v="9"/>
    <d v="2024-07-14T00:00:00"/>
    <d v="2024-07-15T00:00:00"/>
    <n v="1"/>
    <n v="84975.74"/>
    <s v="Diabetes"/>
    <s v="Recovered"/>
    <n v="1"/>
    <s v="High"/>
    <s v="High Risk"/>
  </r>
  <r>
    <n v="995"/>
    <x v="364"/>
    <x v="24"/>
    <x v="1"/>
    <n v="1"/>
    <d v="2022-05-04T00:00:00"/>
    <d v="2022-06-02T00:00:00"/>
    <n v="5"/>
    <n v="51011.27"/>
    <s v="Heart Disease"/>
    <s v="Readmitted"/>
    <n v="29"/>
    <s v="High"/>
    <s v="High Risk"/>
  </r>
  <r>
    <n v="996"/>
    <x v="567"/>
    <x v="39"/>
    <x v="1"/>
    <n v="10"/>
    <d v="2026-09-18T00:00:00"/>
    <d v="2026-10-04T00:00:00"/>
    <n v="1"/>
    <n v="31151.39"/>
    <s v="Diabetes"/>
    <s v="Recovered"/>
    <n v="16"/>
    <s v="High"/>
    <s v="low risk"/>
  </r>
  <r>
    <n v="997"/>
    <x v="392"/>
    <x v="47"/>
    <x v="0"/>
    <n v="2"/>
    <d v="2024-03-20T00:00:00"/>
    <d v="2024-04-11T00:00:00"/>
    <n v="1"/>
    <n v="27287.919999999998"/>
    <s v="Diabetes"/>
    <s v="Recovered"/>
    <n v="22"/>
    <s v="High"/>
    <s v="low risk"/>
  </r>
  <r>
    <n v="998"/>
    <x v="568"/>
    <x v="54"/>
    <x v="1"/>
    <n v="10"/>
    <d v="2024-10-30T00:00:00"/>
    <d v="2024-11-29T00:00:00"/>
    <n v="4"/>
    <n v="159397.85999999999"/>
    <s v="Pneumonia"/>
    <s v="Referred"/>
    <n v="30"/>
    <s v="High"/>
    <s v="High Risk"/>
  </r>
  <r>
    <n v="999"/>
    <x v="569"/>
    <x v="71"/>
    <x v="0"/>
    <n v="5"/>
    <d v="2023-05-19T00:00:00"/>
    <d v="2023-06-09T00:00:00"/>
    <n v="6"/>
    <n v="63139.29"/>
    <s v="Kidney Disease"/>
    <s v="Deceased"/>
    <n v="21"/>
    <s v="High"/>
    <s v="High Risk"/>
  </r>
  <r>
    <n v="1000"/>
    <x v="35"/>
    <x v="64"/>
    <x v="1"/>
    <n v="3"/>
    <d v="2025-08-16T00:00:00"/>
    <d v="2025-09-14T00:00:00"/>
    <n v="1"/>
    <n v="87083.89"/>
    <s v="Diabetes"/>
    <s v="Recovered"/>
    <n v="29"/>
    <s v="High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s v="F"/>
    <n v="4"/>
    <d v="2023-04-03T00:00:00"/>
    <d v="2023-04-07T00:00:00"/>
    <n v="3"/>
    <n v="122614.16"/>
    <s v="Asthma"/>
  </r>
  <r>
    <n v="2"/>
    <x v="1"/>
    <x v="1"/>
    <s v="F"/>
    <n v="1"/>
    <d v="2022-03-03T00:00:00"/>
    <d v="2022-03-05T00:00:00"/>
    <n v="1"/>
    <n v="92200.56"/>
    <s v="Diabetes"/>
  </r>
  <r>
    <n v="3"/>
    <x v="2"/>
    <x v="2"/>
    <s v="F"/>
    <n v="4"/>
    <d v="2024-07-08T00:00:00"/>
    <d v="2024-07-26T00:00:00"/>
    <n v="1"/>
    <n v="156800.81"/>
    <s v="Diabetes"/>
  </r>
  <r>
    <n v="4"/>
    <x v="3"/>
    <x v="3"/>
    <s v="F"/>
    <n v="3"/>
    <d v="2023-03-17T00:00:00"/>
    <d v="2023-04-16T00:00:00"/>
    <n v="3"/>
    <n v="20642.32"/>
    <s v="Asthma"/>
  </r>
  <r>
    <n v="5"/>
    <x v="4"/>
    <x v="4"/>
    <s v="F"/>
    <n v="10"/>
    <d v="2023-06-26T00:00:00"/>
    <d v="2023-07-21T00:00:00"/>
    <n v="1"/>
    <n v="84047.92"/>
    <s v="Diabetes"/>
  </r>
  <r>
    <n v="6"/>
    <x v="5"/>
    <x v="5"/>
    <s v="F"/>
    <n v="10"/>
    <d v="2024-01-11T00:00:00"/>
    <d v="2024-01-29T00:00:00"/>
    <n v="1"/>
    <n v="14846.04"/>
    <s v="Diabetes"/>
  </r>
  <r>
    <n v="7"/>
    <x v="6"/>
    <x v="5"/>
    <s v="M"/>
    <n v="2"/>
    <d v="2024-02-18T00:00:00"/>
    <d v="2024-02-26T00:00:00"/>
    <n v="2"/>
    <n v="150554.6"/>
    <s v="Hypertension"/>
  </r>
  <r>
    <n v="8"/>
    <x v="7"/>
    <x v="4"/>
    <s v="M"/>
    <n v="5"/>
    <d v="2025-12-08T00:00:00"/>
    <d v="2026-01-06T00:00:00"/>
    <n v="3"/>
    <n v="15173.95"/>
    <s v="Asthma"/>
  </r>
  <r>
    <n v="9"/>
    <x v="8"/>
    <x v="6"/>
    <s v="M"/>
    <n v="3"/>
    <d v="2024-08-04T00:00:00"/>
    <d v="2024-08-16T00:00:00"/>
    <n v="1"/>
    <n v="166756.93"/>
    <s v="Diabetes"/>
  </r>
  <r>
    <n v="10"/>
    <x v="9"/>
    <x v="7"/>
    <s v="F"/>
    <n v="1"/>
    <d v="2023-04-15T00:00:00"/>
    <d v="2023-05-11T00:00:00"/>
    <n v="1"/>
    <n v="58492.92"/>
    <s v="Diabetes"/>
  </r>
  <r>
    <n v="11"/>
    <x v="10"/>
    <x v="8"/>
    <s v="F"/>
    <n v="4"/>
    <d v="2025-09-04T00:00:00"/>
    <d v="2025-09-19T00:00:00"/>
    <n v="2"/>
    <n v="164832.20000000001"/>
    <s v="Hypertension"/>
  </r>
  <r>
    <n v="12"/>
    <x v="11"/>
    <x v="9"/>
    <s v="M"/>
    <n v="4"/>
    <d v="2026-03-06T00:00:00"/>
    <d v="2026-03-23T00:00:00"/>
    <n v="2"/>
    <n v="135094.95000000001"/>
    <s v="Hypertension"/>
  </r>
  <r>
    <n v="13"/>
    <x v="12"/>
    <x v="10"/>
    <s v="F"/>
    <n v="4"/>
    <d v="2022-10-11T00:00:00"/>
    <d v="2022-10-27T00:00:00"/>
    <n v="2"/>
    <n v="136651.32999999999"/>
    <s v="Hypertension"/>
  </r>
  <r>
    <n v="14"/>
    <x v="13"/>
    <x v="11"/>
    <s v="M"/>
    <n v="7"/>
    <d v="2025-05-06T00:00:00"/>
    <d v="2025-05-08T00:00:00"/>
    <n v="2"/>
    <n v="108270.2"/>
    <s v="Hypertension"/>
  </r>
  <r>
    <n v="15"/>
    <x v="14"/>
    <x v="12"/>
    <s v="M"/>
    <n v="2"/>
    <d v="2025-10-28T00:00:00"/>
    <d v="2025-11-25T00:00:00"/>
    <n v="2"/>
    <n v="49861.47"/>
    <s v="Hypertension"/>
  </r>
  <r>
    <n v="16"/>
    <x v="15"/>
    <x v="13"/>
    <s v="F"/>
    <n v="3"/>
    <d v="2024-07-18T00:00:00"/>
    <d v="2024-07-18T00:00:00"/>
    <n v="6"/>
    <n v="157963.9"/>
    <s v="Kidney Disease"/>
  </r>
  <r>
    <n v="17"/>
    <x v="16"/>
    <x v="14"/>
    <s v="M"/>
    <n v="5"/>
    <d v="2026-09-20T00:00:00"/>
    <d v="2026-10-10T00:00:00"/>
    <n v="2"/>
    <n v="37806.720000000001"/>
    <s v="Hypertension"/>
  </r>
  <r>
    <n v="18"/>
    <x v="17"/>
    <x v="15"/>
    <s v="M"/>
    <n v="10"/>
    <d v="2023-10-26T00:00:00"/>
    <d v="2023-11-10T00:00:00"/>
    <n v="1"/>
    <n v="167415"/>
    <s v="Diabetes"/>
  </r>
  <r>
    <n v="19"/>
    <x v="18"/>
    <x v="16"/>
    <s v="M"/>
    <n v="10"/>
    <d v="2022-06-11T00:00:00"/>
    <d v="2022-06-13T00:00:00"/>
    <n v="3"/>
    <n v="147344.13"/>
    <s v="Asthma"/>
  </r>
  <r>
    <n v="20"/>
    <x v="19"/>
    <x v="17"/>
    <s v="F"/>
    <n v="9"/>
    <d v="2022-12-05T00:00:00"/>
    <d v="2022-12-13T00:00:00"/>
    <n v="2"/>
    <n v="110170.42"/>
    <s v="Hypertension"/>
  </r>
  <r>
    <n v="21"/>
    <x v="20"/>
    <x v="6"/>
    <s v="M"/>
    <n v="5"/>
    <d v="2024-03-28T00:00:00"/>
    <d v="2024-04-18T00:00:00"/>
    <n v="2"/>
    <n v="80262.759999999995"/>
    <s v="Hypertension"/>
  </r>
  <r>
    <n v="22"/>
    <x v="21"/>
    <x v="18"/>
    <s v="M"/>
    <n v="4"/>
    <d v="2022-05-12T00:00:00"/>
    <d v="2022-05-22T00:00:00"/>
    <n v="1"/>
    <n v="100821.07"/>
    <s v="Diabetes"/>
  </r>
  <r>
    <n v="23"/>
    <x v="22"/>
    <x v="19"/>
    <s v="M"/>
    <n v="1"/>
    <d v="2023-04-14T00:00:00"/>
    <d v="2023-04-16T00:00:00"/>
    <n v="5"/>
    <n v="155085.28"/>
    <s v="Heart Disease"/>
  </r>
  <r>
    <n v="24"/>
    <x v="23"/>
    <x v="20"/>
    <s v="F"/>
    <n v="8"/>
    <d v="2023-03-15T00:00:00"/>
    <d v="2023-04-01T00:00:00"/>
    <n v="1"/>
    <n v="168553.78"/>
    <s v="Diabetes"/>
  </r>
  <r>
    <n v="25"/>
    <x v="24"/>
    <x v="21"/>
    <s v="M"/>
    <n v="8"/>
    <d v="2026-07-12T00:00:00"/>
    <d v="2026-07-25T00:00:00"/>
    <n v="1"/>
    <n v="19705.22"/>
    <s v="Diabetes"/>
  </r>
  <r>
    <n v="26"/>
    <x v="25"/>
    <x v="22"/>
    <s v="F"/>
    <n v="8"/>
    <d v="2026-02-02T00:00:00"/>
    <d v="2026-02-03T00:00:00"/>
    <n v="3"/>
    <n v="177189.33"/>
    <s v="Asthma"/>
  </r>
  <r>
    <n v="27"/>
    <x v="26"/>
    <x v="10"/>
    <s v="F"/>
    <n v="2"/>
    <d v="2023-05-25T00:00:00"/>
    <d v="2023-05-31T00:00:00"/>
    <n v="1"/>
    <n v="82128.899999999994"/>
    <s v="Diabetes"/>
  </r>
  <r>
    <n v="28"/>
    <x v="27"/>
    <x v="23"/>
    <s v="F"/>
    <n v="4"/>
    <d v="2022-06-04T00:00:00"/>
    <d v="2022-06-18T00:00:00"/>
    <n v="4"/>
    <n v="154434.12"/>
    <s v="Pneumonia"/>
  </r>
  <r>
    <n v="29"/>
    <x v="26"/>
    <x v="24"/>
    <s v="M"/>
    <n v="2"/>
    <d v="2026-03-24T00:00:00"/>
    <d v="2026-04-20T00:00:00"/>
    <n v="1"/>
    <n v="74638.5"/>
    <s v="Diabetes"/>
  </r>
  <r>
    <n v="30"/>
    <x v="28"/>
    <x v="10"/>
    <s v="M"/>
    <n v="3"/>
    <d v="2024-02-16T00:00:00"/>
    <d v="2024-02-16T00:00:00"/>
    <n v="6"/>
    <n v="49573.54"/>
    <s v="Kidney Disease"/>
  </r>
  <r>
    <n v="31"/>
    <x v="29"/>
    <x v="22"/>
    <s v="F"/>
    <n v="3"/>
    <d v="2023-01-24T00:00:00"/>
    <d v="2023-02-02T00:00:00"/>
    <n v="1"/>
    <n v="12880.78"/>
    <s v="Diabetes"/>
  </r>
  <r>
    <n v="32"/>
    <x v="30"/>
    <x v="25"/>
    <s v="M"/>
    <n v="1"/>
    <d v="2025-04-11T00:00:00"/>
    <d v="2025-04-26T00:00:00"/>
    <n v="2"/>
    <n v="153857.78"/>
    <s v="Hypertension"/>
  </r>
  <r>
    <n v="33"/>
    <x v="31"/>
    <x v="26"/>
    <s v="M"/>
    <n v="3"/>
    <d v="2022-05-21T00:00:00"/>
    <d v="2022-06-09T00:00:00"/>
    <n v="1"/>
    <n v="155472.91"/>
    <s v="Diabetes"/>
  </r>
  <r>
    <n v="34"/>
    <x v="32"/>
    <x v="27"/>
    <s v="M"/>
    <n v="10"/>
    <d v="2025-05-02T00:00:00"/>
    <d v="2025-05-03T00:00:00"/>
    <n v="2"/>
    <n v="76912.42"/>
    <s v="Hypertension"/>
  </r>
  <r>
    <n v="35"/>
    <x v="33"/>
    <x v="28"/>
    <s v="F"/>
    <n v="5"/>
    <d v="2023-02-23T00:00:00"/>
    <d v="2023-03-16T00:00:00"/>
    <n v="3"/>
    <n v="44866.76"/>
    <s v="Asthma"/>
  </r>
  <r>
    <n v="36"/>
    <x v="34"/>
    <x v="29"/>
    <s v="F"/>
    <n v="8"/>
    <d v="2023-10-10T00:00:00"/>
    <d v="2023-11-08T00:00:00"/>
    <n v="3"/>
    <n v="15376.4"/>
    <s v="Asthma"/>
  </r>
  <r>
    <n v="37"/>
    <x v="35"/>
    <x v="27"/>
    <s v="M"/>
    <n v="2"/>
    <d v="2025-01-06T00:00:00"/>
    <d v="2025-01-12T00:00:00"/>
    <n v="2"/>
    <n v="26011.040000000001"/>
    <s v="Hypertension"/>
  </r>
  <r>
    <n v="38"/>
    <x v="36"/>
    <x v="30"/>
    <s v="F"/>
    <n v="5"/>
    <d v="2022-11-20T00:00:00"/>
    <d v="2022-12-04T00:00:00"/>
    <n v="4"/>
    <n v="127378.34"/>
    <s v="Pneumonia"/>
  </r>
  <r>
    <n v="39"/>
    <x v="37"/>
    <x v="31"/>
    <s v="F"/>
    <n v="2"/>
    <d v="2022-10-03T00:00:00"/>
    <d v="2022-10-11T00:00:00"/>
    <n v="1"/>
    <n v="21498.89"/>
    <s v="Diabetes"/>
  </r>
  <r>
    <n v="40"/>
    <x v="38"/>
    <x v="32"/>
    <s v="F"/>
    <n v="10"/>
    <d v="2023-03-08T00:00:00"/>
    <d v="2023-03-30T00:00:00"/>
    <n v="1"/>
    <n v="124530.74"/>
    <s v="Diabetes"/>
  </r>
  <r>
    <n v="41"/>
    <x v="16"/>
    <x v="33"/>
    <s v="F"/>
    <n v="1"/>
    <d v="2022-07-09T00:00:00"/>
    <d v="2022-07-29T00:00:00"/>
    <n v="2"/>
    <n v="51610.74"/>
    <s v="Hypertension"/>
  </r>
  <r>
    <n v="42"/>
    <x v="39"/>
    <x v="17"/>
    <s v="F"/>
    <n v="3"/>
    <d v="2026-02-27T00:00:00"/>
    <d v="2026-03-13T00:00:00"/>
    <n v="2"/>
    <n v="78414.429999999993"/>
    <s v="Hypertension"/>
  </r>
  <r>
    <n v="43"/>
    <x v="40"/>
    <x v="34"/>
    <s v="M"/>
    <n v="9"/>
    <d v="2022-03-15T00:00:00"/>
    <d v="2022-04-10T00:00:00"/>
    <n v="2"/>
    <n v="100573.2"/>
    <s v="Hypertension"/>
  </r>
  <r>
    <n v="44"/>
    <x v="41"/>
    <x v="35"/>
    <s v="F"/>
    <n v="6"/>
    <d v="2026-06-19T00:00:00"/>
    <d v="2026-07-16T00:00:00"/>
    <n v="1"/>
    <n v="66011.14"/>
    <s v="Diabetes"/>
  </r>
  <r>
    <n v="45"/>
    <x v="42"/>
    <x v="4"/>
    <s v="F"/>
    <n v="10"/>
    <d v="2026-03-15T00:00:00"/>
    <d v="2026-03-19T00:00:00"/>
    <n v="5"/>
    <n v="44520.88"/>
    <s v="Heart Disease"/>
  </r>
  <r>
    <n v="46"/>
    <x v="43"/>
    <x v="36"/>
    <s v="M"/>
    <n v="3"/>
    <d v="2026-02-17T00:00:00"/>
    <d v="2026-03-18T00:00:00"/>
    <n v="1"/>
    <n v="167719.82"/>
    <s v="Diabetes"/>
  </r>
  <r>
    <n v="47"/>
    <x v="44"/>
    <x v="37"/>
    <s v="M"/>
    <n v="7"/>
    <d v="2022-03-21T00:00:00"/>
    <d v="2022-04-17T00:00:00"/>
    <n v="2"/>
    <n v="37924.18"/>
    <s v="Hypertension"/>
  </r>
  <r>
    <n v="48"/>
    <x v="45"/>
    <x v="38"/>
    <s v="M"/>
    <n v="4"/>
    <d v="2022-02-18T00:00:00"/>
    <d v="2022-03-11T00:00:00"/>
    <n v="1"/>
    <n v="60766.5"/>
    <s v="Diabetes"/>
  </r>
  <r>
    <n v="49"/>
    <x v="46"/>
    <x v="39"/>
    <s v="F"/>
    <n v="9"/>
    <d v="2023-11-10T00:00:00"/>
    <d v="2023-12-10T00:00:00"/>
    <n v="1"/>
    <n v="158174.32"/>
    <s v="Diabetes"/>
  </r>
  <r>
    <n v="50"/>
    <x v="47"/>
    <x v="40"/>
    <s v="F"/>
    <n v="1"/>
    <d v="2022-08-11T00:00:00"/>
    <d v="2022-08-30T00:00:00"/>
    <n v="2"/>
    <n v="131816.75"/>
    <s v="Hypertension"/>
  </r>
  <r>
    <n v="51"/>
    <x v="48"/>
    <x v="41"/>
    <s v="M"/>
    <n v="7"/>
    <d v="2025-03-26T00:00:00"/>
    <d v="2025-04-01T00:00:00"/>
    <n v="1"/>
    <n v="128309.39"/>
    <s v="Diabetes"/>
  </r>
  <r>
    <n v="52"/>
    <x v="49"/>
    <x v="42"/>
    <s v="M"/>
    <n v="6"/>
    <d v="2024-06-02T00:00:00"/>
    <d v="2024-06-04T00:00:00"/>
    <n v="5"/>
    <n v="165936.82999999999"/>
    <s v="Heart Disease"/>
  </r>
  <r>
    <n v="53"/>
    <x v="50"/>
    <x v="43"/>
    <s v="M"/>
    <n v="5"/>
    <d v="2024-11-04T00:00:00"/>
    <d v="2024-11-13T00:00:00"/>
    <n v="3"/>
    <n v="60397.47"/>
    <s v="Asthma"/>
  </r>
  <r>
    <n v="54"/>
    <x v="51"/>
    <x v="17"/>
    <s v="M"/>
    <n v="7"/>
    <d v="2025-09-23T00:00:00"/>
    <d v="2025-10-23T00:00:00"/>
    <n v="2"/>
    <n v="135293.88"/>
    <s v="Hypertension"/>
  </r>
  <r>
    <n v="55"/>
    <x v="52"/>
    <x v="27"/>
    <s v="F"/>
    <n v="7"/>
    <d v="2025-01-27T00:00:00"/>
    <d v="2025-02-22T00:00:00"/>
    <n v="1"/>
    <n v="53427.18"/>
    <s v="Diabetes"/>
  </r>
  <r>
    <n v="56"/>
    <x v="12"/>
    <x v="41"/>
    <s v="F"/>
    <n v="8"/>
    <d v="2024-06-23T00:00:00"/>
    <d v="2024-07-07T00:00:00"/>
    <n v="3"/>
    <n v="93233.38"/>
    <s v="Asthma"/>
  </r>
  <r>
    <n v="57"/>
    <x v="53"/>
    <x v="44"/>
    <s v="F"/>
    <n v="2"/>
    <d v="2026-08-04T00:00:00"/>
    <d v="2026-09-03T00:00:00"/>
    <n v="3"/>
    <n v="121921.23"/>
    <s v="Asthma"/>
  </r>
  <r>
    <n v="58"/>
    <x v="54"/>
    <x v="45"/>
    <s v="M"/>
    <n v="1"/>
    <d v="2023-05-17T00:00:00"/>
    <d v="2023-06-01T00:00:00"/>
    <n v="2"/>
    <n v="138906.85999999999"/>
    <s v="Hypertension"/>
  </r>
  <r>
    <n v="59"/>
    <x v="55"/>
    <x v="11"/>
    <s v="M"/>
    <n v="7"/>
    <d v="2024-10-09T00:00:00"/>
    <d v="2024-10-21T00:00:00"/>
    <n v="1"/>
    <n v="118950.3"/>
    <s v="Diabetes"/>
  </r>
  <r>
    <n v="60"/>
    <x v="40"/>
    <x v="22"/>
    <s v="M"/>
    <n v="3"/>
    <d v="2026-07-05T00:00:00"/>
    <d v="2026-08-04T00:00:00"/>
    <n v="3"/>
    <n v="84957.6"/>
    <s v="Asthma"/>
  </r>
  <r>
    <n v="61"/>
    <x v="9"/>
    <x v="18"/>
    <s v="F"/>
    <n v="3"/>
    <d v="2026-06-30T00:00:00"/>
    <d v="2026-07-14T00:00:00"/>
    <n v="3"/>
    <n v="177850.91"/>
    <s v="Asthma"/>
  </r>
  <r>
    <n v="62"/>
    <x v="56"/>
    <x v="46"/>
    <s v="F"/>
    <n v="9"/>
    <d v="2024-07-02T00:00:00"/>
    <d v="2024-07-30T00:00:00"/>
    <n v="1"/>
    <n v="155415.35"/>
    <s v="Diabetes"/>
  </r>
  <r>
    <n v="63"/>
    <x v="57"/>
    <x v="30"/>
    <s v="F"/>
    <n v="9"/>
    <d v="2024-09-19T00:00:00"/>
    <d v="2024-10-09T00:00:00"/>
    <n v="1"/>
    <n v="80577.39"/>
    <s v="Diabetes"/>
  </r>
  <r>
    <n v="64"/>
    <x v="58"/>
    <x v="32"/>
    <s v="F"/>
    <n v="6"/>
    <d v="2025-01-11T00:00:00"/>
    <d v="2025-01-13T00:00:00"/>
    <n v="1"/>
    <n v="43548.91"/>
    <s v="Diabetes"/>
  </r>
  <r>
    <n v="65"/>
    <x v="59"/>
    <x v="47"/>
    <s v="F"/>
    <n v="7"/>
    <d v="2023-11-09T00:00:00"/>
    <d v="2023-11-26T00:00:00"/>
    <n v="2"/>
    <n v="13552.16"/>
    <s v="Hypertension"/>
  </r>
  <r>
    <n v="66"/>
    <x v="60"/>
    <x v="40"/>
    <s v="M"/>
    <n v="10"/>
    <d v="2024-02-19T00:00:00"/>
    <d v="2024-03-05T00:00:00"/>
    <n v="1"/>
    <n v="64937.19"/>
    <s v="Diabetes"/>
  </r>
  <r>
    <n v="67"/>
    <x v="61"/>
    <x v="42"/>
    <s v="M"/>
    <n v="8"/>
    <d v="2023-03-26T00:00:00"/>
    <d v="2023-04-03T00:00:00"/>
    <n v="2"/>
    <n v="7651.91"/>
    <s v="Hypertension"/>
  </r>
  <r>
    <n v="68"/>
    <x v="62"/>
    <x v="48"/>
    <s v="M"/>
    <n v="8"/>
    <d v="2022-09-19T00:00:00"/>
    <d v="2022-10-08T00:00:00"/>
    <n v="2"/>
    <n v="163479.87"/>
    <s v="Hypertension"/>
  </r>
  <r>
    <n v="69"/>
    <x v="33"/>
    <x v="43"/>
    <s v="M"/>
    <n v="2"/>
    <d v="2025-08-09T00:00:00"/>
    <d v="2025-08-22T00:00:00"/>
    <n v="1"/>
    <n v="84451.47"/>
    <s v="Diabetes"/>
  </r>
  <r>
    <n v="70"/>
    <x v="63"/>
    <x v="49"/>
    <s v="F"/>
    <n v="4"/>
    <d v="2024-07-20T00:00:00"/>
    <d v="2024-07-30T00:00:00"/>
    <n v="1"/>
    <n v="158636.1"/>
    <s v="Diabetes"/>
  </r>
  <r>
    <n v="71"/>
    <x v="64"/>
    <x v="12"/>
    <s v="M"/>
    <n v="8"/>
    <d v="2022-02-09T00:00:00"/>
    <d v="2022-03-04T00:00:00"/>
    <n v="2"/>
    <n v="179983.64"/>
    <s v="Hypertension"/>
  </r>
  <r>
    <n v="72"/>
    <x v="65"/>
    <x v="24"/>
    <s v="M"/>
    <n v="1"/>
    <d v="2026-03-25T00:00:00"/>
    <d v="2026-03-25T00:00:00"/>
    <n v="5"/>
    <n v="37886.519999999997"/>
    <s v="Heart Disease"/>
  </r>
  <r>
    <n v="73"/>
    <x v="66"/>
    <x v="50"/>
    <s v="M"/>
    <n v="3"/>
    <d v="2024-08-27T00:00:00"/>
    <d v="2024-09-17T00:00:00"/>
    <n v="1"/>
    <n v="170726.87"/>
    <s v="Diabetes"/>
  </r>
  <r>
    <n v="74"/>
    <x v="67"/>
    <x v="51"/>
    <s v="M"/>
    <n v="10"/>
    <d v="2025-05-28T00:00:00"/>
    <d v="2025-06-27T00:00:00"/>
    <n v="3"/>
    <n v="22829.58"/>
    <s v="Asthma"/>
  </r>
  <r>
    <n v="75"/>
    <x v="68"/>
    <x v="52"/>
    <s v="M"/>
    <n v="5"/>
    <d v="2025-03-25T00:00:00"/>
    <d v="2025-04-15T00:00:00"/>
    <n v="5"/>
    <n v="69116.990000000005"/>
    <s v="Heart Disease"/>
  </r>
  <r>
    <n v="76"/>
    <x v="69"/>
    <x v="1"/>
    <s v="M"/>
    <n v="2"/>
    <d v="2025-11-28T00:00:00"/>
    <d v="2025-12-22T00:00:00"/>
    <n v="1"/>
    <n v="123955.98"/>
    <s v="Diabetes"/>
  </r>
  <r>
    <n v="77"/>
    <x v="70"/>
    <x v="35"/>
    <s v="F"/>
    <n v="9"/>
    <d v="2024-05-27T00:00:00"/>
    <d v="2024-06-17T00:00:00"/>
    <n v="2"/>
    <n v="92308.04"/>
    <s v="Hypertension"/>
  </r>
  <r>
    <n v="78"/>
    <x v="71"/>
    <x v="53"/>
    <s v="F"/>
    <n v="2"/>
    <d v="2024-06-06T00:00:00"/>
    <d v="2024-07-06T00:00:00"/>
    <n v="2"/>
    <n v="160754.57"/>
    <s v="Hypertension"/>
  </r>
  <r>
    <n v="79"/>
    <x v="11"/>
    <x v="54"/>
    <s v="M"/>
    <n v="9"/>
    <d v="2025-08-25T00:00:00"/>
    <d v="2025-09-02T00:00:00"/>
    <n v="2"/>
    <n v="165732.13"/>
    <s v="Hypertension"/>
  </r>
  <r>
    <n v="80"/>
    <x v="72"/>
    <x v="54"/>
    <s v="F"/>
    <n v="6"/>
    <d v="2023-05-18T00:00:00"/>
    <d v="2023-06-13T00:00:00"/>
    <n v="5"/>
    <n v="52009.760000000002"/>
    <s v="Heart Disease"/>
  </r>
  <r>
    <n v="81"/>
    <x v="73"/>
    <x v="55"/>
    <s v="F"/>
    <n v="6"/>
    <d v="2022-02-28T00:00:00"/>
    <d v="2022-03-15T00:00:00"/>
    <n v="5"/>
    <n v="34776.57"/>
    <s v="Heart Disease"/>
  </r>
  <r>
    <n v="82"/>
    <x v="74"/>
    <x v="9"/>
    <s v="F"/>
    <n v="5"/>
    <d v="2025-05-05T00:00:00"/>
    <d v="2025-05-27T00:00:00"/>
    <n v="5"/>
    <n v="101152.91"/>
    <s v="Heart Disease"/>
  </r>
  <r>
    <n v="83"/>
    <x v="75"/>
    <x v="5"/>
    <s v="M"/>
    <n v="7"/>
    <d v="2024-09-27T00:00:00"/>
    <d v="2024-10-14T00:00:00"/>
    <n v="3"/>
    <n v="125083.16"/>
    <s v="Asthma"/>
  </r>
  <r>
    <n v="84"/>
    <x v="76"/>
    <x v="56"/>
    <s v="M"/>
    <n v="5"/>
    <d v="2023-03-30T00:00:00"/>
    <d v="2023-04-11T00:00:00"/>
    <n v="3"/>
    <n v="56851.57"/>
    <s v="Asthma"/>
  </r>
  <r>
    <n v="85"/>
    <x v="77"/>
    <x v="21"/>
    <s v="F"/>
    <n v="7"/>
    <d v="2026-03-08T00:00:00"/>
    <d v="2026-03-25T00:00:00"/>
    <n v="1"/>
    <n v="127256.75"/>
    <s v="Diabetes"/>
  </r>
  <r>
    <n v="86"/>
    <x v="78"/>
    <x v="12"/>
    <s v="M"/>
    <n v="2"/>
    <d v="2026-01-17T00:00:00"/>
    <d v="2026-01-23T00:00:00"/>
    <n v="1"/>
    <n v="134361.39000000001"/>
    <s v="Diabetes"/>
  </r>
  <r>
    <n v="87"/>
    <x v="79"/>
    <x v="8"/>
    <s v="F"/>
    <n v="5"/>
    <d v="2026-01-23T00:00:00"/>
    <d v="2026-02-10T00:00:00"/>
    <n v="6"/>
    <n v="95623.039999999994"/>
    <s v="Kidney Disease"/>
  </r>
  <r>
    <n v="88"/>
    <x v="80"/>
    <x v="57"/>
    <s v="F"/>
    <n v="4"/>
    <d v="2024-01-10T00:00:00"/>
    <d v="2024-01-15T00:00:00"/>
    <n v="1"/>
    <n v="128173.28"/>
    <s v="Diabetes"/>
  </r>
  <r>
    <n v="89"/>
    <x v="81"/>
    <x v="35"/>
    <s v="M"/>
    <n v="9"/>
    <d v="2023-08-22T00:00:00"/>
    <d v="2023-09-13T00:00:00"/>
    <n v="5"/>
    <n v="115721.86"/>
    <s v="Heart Disease"/>
  </r>
  <r>
    <n v="90"/>
    <x v="82"/>
    <x v="31"/>
    <s v="F"/>
    <n v="8"/>
    <d v="2024-09-07T00:00:00"/>
    <d v="2024-09-21T00:00:00"/>
    <n v="1"/>
    <n v="173875.83"/>
    <s v="Diabetes"/>
  </r>
  <r>
    <n v="91"/>
    <x v="83"/>
    <x v="58"/>
    <s v="M"/>
    <n v="7"/>
    <d v="2024-10-04T00:00:00"/>
    <d v="2024-10-06T00:00:00"/>
    <n v="2"/>
    <n v="124345.06"/>
    <s v="Hypertension"/>
  </r>
  <r>
    <n v="92"/>
    <x v="84"/>
    <x v="27"/>
    <s v="F"/>
    <n v="2"/>
    <d v="2023-05-24T00:00:00"/>
    <d v="2023-05-27T00:00:00"/>
    <n v="2"/>
    <n v="76370.89"/>
    <s v="Hypertension"/>
  </r>
  <r>
    <n v="93"/>
    <x v="85"/>
    <x v="59"/>
    <s v="F"/>
    <n v="8"/>
    <d v="2024-06-25T00:00:00"/>
    <d v="2024-07-04T00:00:00"/>
    <n v="5"/>
    <n v="178230.55"/>
    <s v="Heart Disease"/>
  </r>
  <r>
    <n v="94"/>
    <x v="86"/>
    <x v="60"/>
    <s v="M"/>
    <n v="10"/>
    <d v="2026-02-24T00:00:00"/>
    <d v="2026-02-27T00:00:00"/>
    <n v="5"/>
    <n v="39382.35"/>
    <s v="Heart Disease"/>
  </r>
  <r>
    <n v="95"/>
    <x v="87"/>
    <x v="43"/>
    <s v="M"/>
    <n v="3"/>
    <d v="2023-05-07T00:00:00"/>
    <d v="2023-05-12T00:00:00"/>
    <n v="2"/>
    <n v="30284.54"/>
    <s v="Hypertension"/>
  </r>
  <r>
    <n v="96"/>
    <x v="88"/>
    <x v="61"/>
    <s v="F"/>
    <n v="5"/>
    <d v="2022-03-08T00:00:00"/>
    <d v="2022-03-15T00:00:00"/>
    <n v="1"/>
    <n v="52682.51"/>
    <s v="Diabetes"/>
  </r>
  <r>
    <n v="97"/>
    <x v="89"/>
    <x v="7"/>
    <s v="M"/>
    <n v="5"/>
    <d v="2026-06-02T00:00:00"/>
    <d v="2026-06-27T00:00:00"/>
    <n v="2"/>
    <n v="119859.99"/>
    <s v="Hypertension"/>
  </r>
  <r>
    <n v="98"/>
    <x v="90"/>
    <x v="58"/>
    <s v="M"/>
    <n v="3"/>
    <d v="2023-06-29T00:00:00"/>
    <d v="2023-07-25T00:00:00"/>
    <n v="1"/>
    <n v="13085.75"/>
    <s v="Diabetes"/>
  </r>
  <r>
    <n v="99"/>
    <x v="91"/>
    <x v="27"/>
    <s v="F"/>
    <n v="8"/>
    <d v="2022-09-12T00:00:00"/>
    <d v="2022-09-26T00:00:00"/>
    <n v="3"/>
    <n v="126702.73"/>
    <s v="Asthma"/>
  </r>
  <r>
    <n v="100"/>
    <x v="92"/>
    <x v="15"/>
    <s v="F"/>
    <n v="8"/>
    <d v="2022-06-14T00:00:00"/>
    <d v="2022-07-03T00:00:00"/>
    <n v="1"/>
    <n v="79185.09"/>
    <s v="Diabetes"/>
  </r>
  <r>
    <n v="101"/>
    <x v="93"/>
    <x v="12"/>
    <s v="M"/>
    <n v="2"/>
    <d v="2023-04-14T00:00:00"/>
    <d v="2023-05-14T00:00:00"/>
    <n v="3"/>
    <n v="155241.74"/>
    <s v="Asthma"/>
  </r>
  <r>
    <n v="102"/>
    <x v="94"/>
    <x v="62"/>
    <s v="F"/>
    <n v="10"/>
    <d v="2022-03-24T00:00:00"/>
    <d v="2022-04-17T00:00:00"/>
    <n v="3"/>
    <n v="86013.9"/>
    <s v="Asthma"/>
  </r>
  <r>
    <n v="103"/>
    <x v="57"/>
    <x v="63"/>
    <s v="F"/>
    <n v="8"/>
    <d v="2022-07-06T00:00:00"/>
    <d v="2022-07-21T00:00:00"/>
    <n v="1"/>
    <n v="61662.239999999998"/>
    <s v="Diabetes"/>
  </r>
  <r>
    <n v="104"/>
    <x v="95"/>
    <x v="64"/>
    <s v="F"/>
    <n v="8"/>
    <d v="2023-08-14T00:00:00"/>
    <d v="2023-09-04T00:00:00"/>
    <n v="5"/>
    <n v="146907.97"/>
    <s v="Heart Disease"/>
  </r>
  <r>
    <n v="105"/>
    <x v="96"/>
    <x v="65"/>
    <s v="M"/>
    <n v="6"/>
    <d v="2023-06-01T00:00:00"/>
    <d v="2023-06-11T00:00:00"/>
    <n v="1"/>
    <n v="139627.26"/>
    <s v="Diabetes"/>
  </r>
  <r>
    <n v="106"/>
    <x v="97"/>
    <x v="43"/>
    <s v="F"/>
    <n v="7"/>
    <d v="2022-04-22T00:00:00"/>
    <d v="2022-04-28T00:00:00"/>
    <n v="2"/>
    <n v="113017.51"/>
    <s v="Hypertension"/>
  </r>
  <r>
    <n v="107"/>
    <x v="76"/>
    <x v="66"/>
    <s v="M"/>
    <n v="5"/>
    <d v="2025-01-29T00:00:00"/>
    <d v="2025-02-02T00:00:00"/>
    <n v="5"/>
    <n v="80265.61"/>
    <s v="Heart Disease"/>
  </r>
  <r>
    <n v="108"/>
    <x v="82"/>
    <x v="67"/>
    <s v="M"/>
    <n v="3"/>
    <d v="2023-09-29T00:00:00"/>
    <d v="2023-10-16T00:00:00"/>
    <n v="1"/>
    <n v="74918.350000000006"/>
    <s v="Diabetes"/>
  </r>
  <r>
    <n v="109"/>
    <x v="98"/>
    <x v="55"/>
    <s v="M"/>
    <n v="3"/>
    <d v="2024-10-17T00:00:00"/>
    <d v="2024-11-15T00:00:00"/>
    <n v="3"/>
    <n v="92824.78"/>
    <s v="Asthma"/>
  </r>
  <r>
    <n v="110"/>
    <x v="64"/>
    <x v="68"/>
    <s v="F"/>
    <n v="4"/>
    <d v="2024-07-24T00:00:00"/>
    <d v="2024-08-10T00:00:00"/>
    <n v="1"/>
    <n v="36333.339999999997"/>
    <s v="Diabetes"/>
  </r>
  <r>
    <n v="111"/>
    <x v="99"/>
    <x v="69"/>
    <s v="M"/>
    <n v="5"/>
    <d v="2026-05-02T00:00:00"/>
    <d v="2026-05-27T00:00:00"/>
    <n v="5"/>
    <n v="62827.86"/>
    <s v="Heart Disease"/>
  </r>
  <r>
    <n v="112"/>
    <x v="100"/>
    <x v="19"/>
    <s v="F"/>
    <n v="5"/>
    <d v="2026-09-12T00:00:00"/>
    <d v="2026-09-30T00:00:00"/>
    <n v="2"/>
    <n v="119639.48"/>
    <s v="Hypertension"/>
  </r>
  <r>
    <n v="113"/>
    <x v="101"/>
    <x v="42"/>
    <s v="F"/>
    <n v="6"/>
    <d v="2023-11-12T00:00:00"/>
    <d v="2023-11-29T00:00:00"/>
    <n v="3"/>
    <n v="69454.78"/>
    <s v="Asthma"/>
  </r>
  <r>
    <n v="114"/>
    <x v="102"/>
    <x v="70"/>
    <s v="M"/>
    <n v="10"/>
    <d v="2024-02-24T00:00:00"/>
    <d v="2024-03-02T00:00:00"/>
    <n v="5"/>
    <n v="75412.58"/>
    <s v="Heart Disease"/>
  </r>
  <r>
    <n v="115"/>
    <x v="103"/>
    <x v="71"/>
    <s v="F"/>
    <n v="7"/>
    <d v="2025-09-21T00:00:00"/>
    <d v="2025-10-16T00:00:00"/>
    <n v="4"/>
    <n v="176595.22"/>
    <s v="Pneumonia"/>
  </r>
  <r>
    <n v="116"/>
    <x v="104"/>
    <x v="17"/>
    <s v="F"/>
    <n v="2"/>
    <d v="2026-09-27T00:00:00"/>
    <d v="2026-10-11T00:00:00"/>
    <n v="1"/>
    <n v="164103.4"/>
    <s v="Diabetes"/>
  </r>
  <r>
    <n v="117"/>
    <x v="105"/>
    <x v="36"/>
    <s v="M"/>
    <n v="2"/>
    <d v="2024-08-19T00:00:00"/>
    <d v="2024-09-13T00:00:00"/>
    <n v="6"/>
    <n v="62594.62"/>
    <s v="Kidney Disease"/>
  </r>
  <r>
    <n v="118"/>
    <x v="106"/>
    <x v="64"/>
    <s v="F"/>
    <n v="6"/>
    <d v="2025-07-07T00:00:00"/>
    <d v="2025-07-29T00:00:00"/>
    <n v="5"/>
    <n v="89110.68"/>
    <s v="Heart Disease"/>
  </r>
  <r>
    <n v="119"/>
    <x v="30"/>
    <x v="60"/>
    <s v="M"/>
    <n v="4"/>
    <d v="2025-07-16T00:00:00"/>
    <d v="2025-08-06T00:00:00"/>
    <n v="5"/>
    <n v="179543.1"/>
    <s v="Heart Disease"/>
  </r>
  <r>
    <n v="120"/>
    <x v="107"/>
    <x v="72"/>
    <s v="M"/>
    <n v="8"/>
    <d v="2022-12-07T00:00:00"/>
    <d v="2022-12-29T00:00:00"/>
    <n v="1"/>
    <n v="7638.14"/>
    <s v="Diabetes"/>
  </r>
  <r>
    <n v="121"/>
    <x v="108"/>
    <x v="13"/>
    <s v="F"/>
    <n v="6"/>
    <d v="2024-06-01T00:00:00"/>
    <d v="2024-06-05T00:00:00"/>
    <n v="1"/>
    <n v="75639.19"/>
    <s v="Diabetes"/>
  </r>
  <r>
    <n v="122"/>
    <x v="109"/>
    <x v="14"/>
    <s v="M"/>
    <n v="10"/>
    <d v="2024-02-23T00:00:00"/>
    <d v="2024-03-13T00:00:00"/>
    <n v="3"/>
    <n v="90835.94"/>
    <s v="Asthma"/>
  </r>
  <r>
    <n v="123"/>
    <x v="110"/>
    <x v="73"/>
    <s v="F"/>
    <n v="5"/>
    <d v="2024-07-30T00:00:00"/>
    <d v="2024-08-07T00:00:00"/>
    <n v="3"/>
    <n v="162056.26"/>
    <s v="Asthma"/>
  </r>
  <r>
    <n v="124"/>
    <x v="29"/>
    <x v="62"/>
    <s v="M"/>
    <n v="2"/>
    <d v="2024-06-23T00:00:00"/>
    <d v="2024-07-23T00:00:00"/>
    <n v="1"/>
    <n v="106793.98"/>
    <s v="Diabetes"/>
  </r>
  <r>
    <n v="125"/>
    <x v="111"/>
    <x v="65"/>
    <s v="F"/>
    <n v="4"/>
    <d v="2024-02-27T00:00:00"/>
    <d v="2024-03-25T00:00:00"/>
    <n v="2"/>
    <n v="44604.01"/>
    <s v="Hypertension"/>
  </r>
  <r>
    <n v="126"/>
    <x v="112"/>
    <x v="74"/>
    <s v="F"/>
    <n v="5"/>
    <d v="2022-02-14T00:00:00"/>
    <d v="2022-03-12T00:00:00"/>
    <n v="3"/>
    <n v="51220.27"/>
    <s v="Asthma"/>
  </r>
  <r>
    <n v="127"/>
    <x v="113"/>
    <x v="41"/>
    <s v="F"/>
    <n v="5"/>
    <d v="2026-05-08T00:00:00"/>
    <d v="2026-06-02T00:00:00"/>
    <n v="1"/>
    <n v="144842.92000000001"/>
    <s v="Diabetes"/>
  </r>
  <r>
    <n v="128"/>
    <x v="54"/>
    <x v="60"/>
    <s v="F"/>
    <n v="3"/>
    <d v="2025-07-10T00:00:00"/>
    <d v="2025-07-13T00:00:00"/>
    <n v="5"/>
    <n v="117225.46"/>
    <s v="Heart Disease"/>
  </r>
  <r>
    <n v="129"/>
    <x v="114"/>
    <x v="75"/>
    <s v="F"/>
    <n v="3"/>
    <d v="2022-07-04T00:00:00"/>
    <d v="2022-08-02T00:00:00"/>
    <n v="1"/>
    <n v="135177.85"/>
    <s v="Diabetes"/>
  </r>
  <r>
    <n v="130"/>
    <x v="79"/>
    <x v="17"/>
    <s v="F"/>
    <n v="9"/>
    <d v="2024-10-24T00:00:00"/>
    <d v="2024-11-22T00:00:00"/>
    <n v="1"/>
    <n v="31706.63"/>
    <s v="Diabetes"/>
  </r>
  <r>
    <n v="131"/>
    <x v="115"/>
    <x v="3"/>
    <s v="M"/>
    <n v="8"/>
    <d v="2022-06-04T00:00:00"/>
    <d v="2022-06-08T00:00:00"/>
    <n v="3"/>
    <n v="42546.61"/>
    <s v="Asthma"/>
  </r>
  <r>
    <n v="132"/>
    <x v="116"/>
    <x v="76"/>
    <s v="M"/>
    <n v="7"/>
    <d v="2022-01-29T00:00:00"/>
    <d v="2022-02-06T00:00:00"/>
    <n v="2"/>
    <n v="83224.52"/>
    <s v="Hypertension"/>
  </r>
  <r>
    <n v="133"/>
    <x v="117"/>
    <x v="49"/>
    <s v="F"/>
    <n v="2"/>
    <d v="2025-10-14T00:00:00"/>
    <d v="2025-10-21T00:00:00"/>
    <n v="2"/>
    <n v="112469.57"/>
    <s v="Hypertension"/>
  </r>
  <r>
    <n v="134"/>
    <x v="118"/>
    <x v="77"/>
    <s v="M"/>
    <n v="2"/>
    <d v="2025-07-25T00:00:00"/>
    <d v="2025-08-20T00:00:00"/>
    <n v="2"/>
    <n v="126941.2"/>
    <s v="Hypertension"/>
  </r>
  <r>
    <n v="135"/>
    <x v="119"/>
    <x v="69"/>
    <s v="M"/>
    <n v="1"/>
    <d v="2023-09-16T00:00:00"/>
    <d v="2023-10-01T00:00:00"/>
    <n v="1"/>
    <n v="44177.01"/>
    <s v="Diabetes"/>
  </r>
  <r>
    <n v="136"/>
    <x v="19"/>
    <x v="78"/>
    <s v="F"/>
    <n v="6"/>
    <d v="2025-10-05T00:00:00"/>
    <d v="2025-11-04T00:00:00"/>
    <n v="3"/>
    <n v="170410.4"/>
    <s v="Asthma"/>
  </r>
  <r>
    <n v="137"/>
    <x v="120"/>
    <x v="6"/>
    <s v="M"/>
    <n v="7"/>
    <d v="2025-09-03T00:00:00"/>
    <d v="2025-09-06T00:00:00"/>
    <n v="4"/>
    <n v="111778.27"/>
    <s v="Pneumonia"/>
  </r>
  <r>
    <n v="138"/>
    <x v="121"/>
    <x v="61"/>
    <s v="F"/>
    <n v="4"/>
    <d v="2024-06-27T00:00:00"/>
    <d v="2024-07-11T00:00:00"/>
    <n v="6"/>
    <n v="154342.41"/>
    <s v="Kidney Disease"/>
  </r>
  <r>
    <n v="139"/>
    <x v="122"/>
    <x v="15"/>
    <s v="F"/>
    <n v="1"/>
    <d v="2024-03-26T00:00:00"/>
    <d v="2024-04-03T00:00:00"/>
    <n v="1"/>
    <n v="24183.35"/>
    <s v="Diabetes"/>
  </r>
  <r>
    <n v="140"/>
    <x v="89"/>
    <x v="43"/>
    <s v="M"/>
    <n v="10"/>
    <d v="2022-02-13T00:00:00"/>
    <d v="2022-02-14T00:00:00"/>
    <n v="4"/>
    <n v="45733.48"/>
    <s v="Pneumonia"/>
  </r>
  <r>
    <n v="141"/>
    <x v="123"/>
    <x v="79"/>
    <s v="M"/>
    <n v="9"/>
    <d v="2023-03-01T00:00:00"/>
    <d v="2023-03-19T00:00:00"/>
    <n v="1"/>
    <n v="156870.94"/>
    <s v="Diabetes"/>
  </r>
  <r>
    <n v="142"/>
    <x v="124"/>
    <x v="80"/>
    <s v="M"/>
    <n v="5"/>
    <d v="2022-10-24T00:00:00"/>
    <d v="2022-10-28T00:00:00"/>
    <n v="2"/>
    <n v="144236.20000000001"/>
    <s v="Hypertension"/>
  </r>
  <r>
    <n v="143"/>
    <x v="0"/>
    <x v="17"/>
    <s v="M"/>
    <n v="6"/>
    <d v="2026-06-06T00:00:00"/>
    <d v="2026-07-01T00:00:00"/>
    <n v="1"/>
    <n v="59969.43"/>
    <s v="Diabetes"/>
  </r>
  <r>
    <n v="144"/>
    <x v="125"/>
    <x v="66"/>
    <s v="M"/>
    <n v="7"/>
    <d v="2024-12-13T00:00:00"/>
    <d v="2024-12-16T00:00:00"/>
    <n v="3"/>
    <n v="87033.66"/>
    <s v="Asthma"/>
  </r>
  <r>
    <n v="145"/>
    <x v="126"/>
    <x v="1"/>
    <s v="M"/>
    <n v="8"/>
    <d v="2024-10-28T00:00:00"/>
    <d v="2024-11-04T00:00:00"/>
    <n v="5"/>
    <n v="10197.290000000001"/>
    <s v="Heart Disease"/>
  </r>
  <r>
    <n v="146"/>
    <x v="127"/>
    <x v="65"/>
    <s v="M"/>
    <n v="1"/>
    <d v="2024-09-07T00:00:00"/>
    <d v="2024-10-04T00:00:00"/>
    <n v="2"/>
    <n v="124282.31"/>
    <s v="Hypertension"/>
  </r>
  <r>
    <n v="147"/>
    <x v="76"/>
    <x v="34"/>
    <s v="M"/>
    <n v="6"/>
    <d v="2025-05-30T00:00:00"/>
    <d v="2025-06-03T00:00:00"/>
    <n v="1"/>
    <n v="51315.34"/>
    <s v="Diabetes"/>
  </r>
  <r>
    <n v="148"/>
    <x v="128"/>
    <x v="81"/>
    <s v="F"/>
    <n v="7"/>
    <d v="2025-05-08T00:00:00"/>
    <d v="2025-05-24T00:00:00"/>
    <n v="1"/>
    <n v="92235.32"/>
    <s v="Diabetes"/>
  </r>
  <r>
    <n v="149"/>
    <x v="129"/>
    <x v="70"/>
    <s v="M"/>
    <n v="9"/>
    <d v="2026-01-16T00:00:00"/>
    <d v="2026-02-12T00:00:00"/>
    <n v="1"/>
    <n v="82651"/>
    <s v="Diabetes"/>
  </r>
  <r>
    <n v="150"/>
    <x v="130"/>
    <x v="3"/>
    <s v="F"/>
    <n v="7"/>
    <d v="2024-05-01T00:00:00"/>
    <d v="2024-05-24T00:00:00"/>
    <n v="1"/>
    <n v="78250.61"/>
    <s v="Diabetes"/>
  </r>
  <r>
    <n v="151"/>
    <x v="131"/>
    <x v="50"/>
    <s v="F"/>
    <n v="2"/>
    <d v="2022-07-06T00:00:00"/>
    <d v="2022-08-01T00:00:00"/>
    <n v="1"/>
    <n v="79158.080000000002"/>
    <s v="Diabetes"/>
  </r>
  <r>
    <n v="152"/>
    <x v="132"/>
    <x v="82"/>
    <s v="M"/>
    <n v="10"/>
    <d v="2025-02-24T00:00:00"/>
    <d v="2025-03-13T00:00:00"/>
    <n v="1"/>
    <n v="24196.05"/>
    <s v="Diabetes"/>
  </r>
  <r>
    <n v="153"/>
    <x v="133"/>
    <x v="48"/>
    <s v="M"/>
    <n v="5"/>
    <d v="2025-05-14T00:00:00"/>
    <d v="2025-05-23T00:00:00"/>
    <n v="2"/>
    <n v="105080.54"/>
    <s v="Hypertension"/>
  </r>
  <r>
    <n v="154"/>
    <x v="134"/>
    <x v="43"/>
    <s v="F"/>
    <n v="4"/>
    <d v="2022-08-10T00:00:00"/>
    <d v="2022-08-21T00:00:00"/>
    <n v="4"/>
    <n v="67742.09"/>
    <s v="Pneumonia"/>
  </r>
  <r>
    <n v="155"/>
    <x v="135"/>
    <x v="59"/>
    <s v="F"/>
    <n v="9"/>
    <d v="2026-04-21T00:00:00"/>
    <d v="2026-05-17T00:00:00"/>
    <n v="2"/>
    <n v="122308.37"/>
    <s v="Hypertension"/>
  </r>
  <r>
    <n v="156"/>
    <x v="136"/>
    <x v="41"/>
    <s v="F"/>
    <n v="1"/>
    <d v="2023-01-05T00:00:00"/>
    <d v="2023-01-13T00:00:00"/>
    <n v="3"/>
    <n v="57344.78"/>
    <s v="Asthma"/>
  </r>
  <r>
    <n v="157"/>
    <x v="137"/>
    <x v="19"/>
    <s v="M"/>
    <n v="3"/>
    <d v="2025-03-05T00:00:00"/>
    <d v="2025-03-26T00:00:00"/>
    <n v="2"/>
    <n v="27682.75"/>
    <s v="Hypertension"/>
  </r>
  <r>
    <n v="158"/>
    <x v="138"/>
    <x v="83"/>
    <s v="M"/>
    <n v="7"/>
    <d v="2024-05-09T00:00:00"/>
    <d v="2024-05-23T00:00:00"/>
    <n v="1"/>
    <n v="68184.42"/>
    <s v="Diabetes"/>
  </r>
  <r>
    <n v="159"/>
    <x v="139"/>
    <x v="80"/>
    <s v="M"/>
    <n v="1"/>
    <d v="2022-11-15T00:00:00"/>
    <d v="2022-11-20T00:00:00"/>
    <n v="3"/>
    <n v="11332.84"/>
    <s v="Asthma"/>
  </r>
  <r>
    <n v="160"/>
    <x v="140"/>
    <x v="46"/>
    <s v="F"/>
    <n v="8"/>
    <d v="2025-05-28T00:00:00"/>
    <d v="2025-06-11T00:00:00"/>
    <n v="2"/>
    <n v="40763.49"/>
    <s v="Hypertension"/>
  </r>
  <r>
    <n v="161"/>
    <x v="141"/>
    <x v="39"/>
    <s v="F"/>
    <n v="2"/>
    <d v="2023-08-04T00:00:00"/>
    <d v="2023-08-25T00:00:00"/>
    <n v="3"/>
    <n v="88877.31"/>
    <s v="Asthma"/>
  </r>
  <r>
    <n v="162"/>
    <x v="142"/>
    <x v="59"/>
    <s v="F"/>
    <n v="10"/>
    <d v="2022-04-23T00:00:00"/>
    <d v="2022-04-23T00:00:00"/>
    <n v="1"/>
    <n v="170295.03"/>
    <s v="Diabetes"/>
  </r>
  <r>
    <n v="163"/>
    <x v="81"/>
    <x v="13"/>
    <s v="F"/>
    <n v="2"/>
    <d v="2022-01-16T00:00:00"/>
    <d v="2022-01-31T00:00:00"/>
    <n v="3"/>
    <n v="33685.83"/>
    <s v="Asthma"/>
  </r>
  <r>
    <n v="164"/>
    <x v="143"/>
    <x v="71"/>
    <s v="M"/>
    <n v="9"/>
    <d v="2025-02-18T00:00:00"/>
    <d v="2025-03-16T00:00:00"/>
    <n v="3"/>
    <n v="65364.67"/>
    <s v="Asthma"/>
  </r>
  <r>
    <n v="165"/>
    <x v="144"/>
    <x v="54"/>
    <s v="M"/>
    <n v="8"/>
    <d v="2022-06-09T00:00:00"/>
    <d v="2022-07-06T00:00:00"/>
    <n v="1"/>
    <n v="78697.960000000006"/>
    <s v="Diabetes"/>
  </r>
  <r>
    <n v="166"/>
    <x v="145"/>
    <x v="13"/>
    <s v="M"/>
    <n v="7"/>
    <d v="2022-02-12T00:00:00"/>
    <d v="2022-03-14T00:00:00"/>
    <n v="1"/>
    <n v="144734.68"/>
    <s v="Diabetes"/>
  </r>
  <r>
    <n v="167"/>
    <x v="146"/>
    <x v="61"/>
    <s v="F"/>
    <n v="2"/>
    <d v="2024-06-13T00:00:00"/>
    <d v="2024-07-10T00:00:00"/>
    <n v="1"/>
    <n v="79832.58"/>
    <s v="Diabetes"/>
  </r>
  <r>
    <n v="168"/>
    <x v="147"/>
    <x v="5"/>
    <s v="F"/>
    <n v="5"/>
    <d v="2026-03-08T00:00:00"/>
    <d v="2026-03-18T00:00:00"/>
    <n v="1"/>
    <n v="140793.42000000001"/>
    <s v="Diabetes"/>
  </r>
  <r>
    <n v="169"/>
    <x v="23"/>
    <x v="84"/>
    <s v="M"/>
    <n v="9"/>
    <d v="2024-11-10T00:00:00"/>
    <d v="2024-11-16T00:00:00"/>
    <n v="5"/>
    <n v="64514.11"/>
    <s v="Heart Disease"/>
  </r>
  <r>
    <n v="170"/>
    <x v="148"/>
    <x v="52"/>
    <s v="M"/>
    <n v="5"/>
    <d v="2023-02-09T00:00:00"/>
    <d v="2023-02-14T00:00:00"/>
    <n v="2"/>
    <n v="137438.21"/>
    <s v="Hypertension"/>
  </r>
  <r>
    <n v="171"/>
    <x v="149"/>
    <x v="11"/>
    <s v="F"/>
    <n v="8"/>
    <d v="2026-03-26T00:00:00"/>
    <d v="2026-04-13T00:00:00"/>
    <n v="3"/>
    <n v="82180.679999999993"/>
    <s v="Asthma"/>
  </r>
  <r>
    <n v="172"/>
    <x v="150"/>
    <x v="85"/>
    <s v="F"/>
    <n v="3"/>
    <d v="2024-06-19T00:00:00"/>
    <d v="2024-06-21T00:00:00"/>
    <n v="2"/>
    <n v="114570.86"/>
    <s v="Hypertension"/>
  </r>
  <r>
    <n v="173"/>
    <x v="135"/>
    <x v="16"/>
    <s v="F"/>
    <n v="9"/>
    <d v="2022-06-01T00:00:00"/>
    <d v="2022-06-10T00:00:00"/>
    <n v="2"/>
    <n v="9175.2900000000009"/>
    <s v="Hypertension"/>
  </r>
  <r>
    <n v="174"/>
    <x v="151"/>
    <x v="34"/>
    <s v="M"/>
    <n v="10"/>
    <d v="2025-05-01T00:00:00"/>
    <d v="2025-05-17T00:00:00"/>
    <n v="2"/>
    <n v="105508.47"/>
    <s v="Hypertension"/>
  </r>
  <r>
    <n v="175"/>
    <x v="152"/>
    <x v="74"/>
    <s v="M"/>
    <n v="6"/>
    <d v="2025-05-24T00:00:00"/>
    <d v="2025-06-08T00:00:00"/>
    <n v="2"/>
    <n v="172495.72"/>
    <s v="Hypertension"/>
  </r>
  <r>
    <n v="176"/>
    <x v="153"/>
    <x v="3"/>
    <s v="M"/>
    <n v="9"/>
    <d v="2025-08-16T00:00:00"/>
    <d v="2025-08-21T00:00:00"/>
    <n v="1"/>
    <n v="128102.85"/>
    <s v="Diabetes"/>
  </r>
  <r>
    <n v="177"/>
    <x v="154"/>
    <x v="28"/>
    <s v="M"/>
    <n v="6"/>
    <d v="2024-02-03T00:00:00"/>
    <d v="2024-03-03T00:00:00"/>
    <n v="1"/>
    <n v="75056.570000000007"/>
    <s v="Diabetes"/>
  </r>
  <r>
    <n v="178"/>
    <x v="155"/>
    <x v="66"/>
    <s v="F"/>
    <n v="2"/>
    <d v="2023-11-07T00:00:00"/>
    <d v="2023-11-10T00:00:00"/>
    <n v="2"/>
    <n v="71115.149999999994"/>
    <s v="Hypertension"/>
  </r>
  <r>
    <n v="179"/>
    <x v="156"/>
    <x v="50"/>
    <s v="F"/>
    <n v="2"/>
    <d v="2025-04-08T00:00:00"/>
    <d v="2025-04-29T00:00:00"/>
    <n v="1"/>
    <n v="64593.19"/>
    <s v="Diabetes"/>
  </r>
  <r>
    <n v="180"/>
    <x v="34"/>
    <x v="80"/>
    <s v="M"/>
    <n v="5"/>
    <d v="2025-02-18T00:00:00"/>
    <d v="2025-03-02T00:00:00"/>
    <n v="2"/>
    <n v="60804.59"/>
    <s v="Hypertension"/>
  </r>
  <r>
    <n v="181"/>
    <x v="157"/>
    <x v="86"/>
    <s v="F"/>
    <n v="9"/>
    <d v="2024-01-12T00:00:00"/>
    <d v="2024-01-12T00:00:00"/>
    <n v="2"/>
    <n v="34496.67"/>
    <s v="Hypertension"/>
  </r>
  <r>
    <n v="182"/>
    <x v="158"/>
    <x v="33"/>
    <s v="M"/>
    <n v="4"/>
    <d v="2022-10-09T00:00:00"/>
    <d v="2022-10-13T00:00:00"/>
    <n v="1"/>
    <n v="152386.04"/>
    <s v="Diabetes"/>
  </r>
  <r>
    <n v="183"/>
    <x v="159"/>
    <x v="15"/>
    <s v="M"/>
    <n v="6"/>
    <d v="2026-04-19T00:00:00"/>
    <d v="2026-05-08T00:00:00"/>
    <n v="1"/>
    <n v="69367.78"/>
    <s v="Diabetes"/>
  </r>
  <r>
    <n v="184"/>
    <x v="43"/>
    <x v="61"/>
    <s v="M"/>
    <n v="8"/>
    <d v="2022-03-31T00:00:00"/>
    <d v="2022-04-13T00:00:00"/>
    <n v="2"/>
    <n v="130226.46"/>
    <s v="Hypertension"/>
  </r>
  <r>
    <n v="185"/>
    <x v="160"/>
    <x v="44"/>
    <s v="F"/>
    <n v="4"/>
    <d v="2024-12-29T00:00:00"/>
    <d v="2025-01-05T00:00:00"/>
    <n v="1"/>
    <n v="146030.74"/>
    <s v="Diabetes"/>
  </r>
  <r>
    <n v="186"/>
    <x v="28"/>
    <x v="51"/>
    <s v="F"/>
    <n v="8"/>
    <d v="2026-04-25T00:00:00"/>
    <d v="2026-05-04T00:00:00"/>
    <n v="4"/>
    <n v="91765.94"/>
    <s v="Pneumonia"/>
  </r>
  <r>
    <n v="187"/>
    <x v="161"/>
    <x v="2"/>
    <s v="M"/>
    <n v="5"/>
    <d v="2022-04-17T00:00:00"/>
    <d v="2022-05-07T00:00:00"/>
    <n v="2"/>
    <n v="68390.149999999994"/>
    <s v="Hypertension"/>
  </r>
  <r>
    <n v="188"/>
    <x v="159"/>
    <x v="18"/>
    <s v="F"/>
    <n v="2"/>
    <d v="2026-04-12T00:00:00"/>
    <d v="2026-04-17T00:00:00"/>
    <n v="1"/>
    <n v="163191.85"/>
    <s v="Diabetes"/>
  </r>
  <r>
    <n v="189"/>
    <x v="162"/>
    <x v="86"/>
    <s v="M"/>
    <n v="8"/>
    <d v="2023-12-17T00:00:00"/>
    <d v="2024-01-15T00:00:00"/>
    <n v="1"/>
    <n v="11953.1"/>
    <s v="Diabetes"/>
  </r>
  <r>
    <n v="190"/>
    <x v="163"/>
    <x v="20"/>
    <s v="F"/>
    <n v="2"/>
    <d v="2024-02-07T00:00:00"/>
    <d v="2024-02-14T00:00:00"/>
    <n v="1"/>
    <n v="167721.60000000001"/>
    <s v="Diabetes"/>
  </r>
  <r>
    <n v="191"/>
    <x v="124"/>
    <x v="69"/>
    <s v="M"/>
    <n v="5"/>
    <d v="2026-08-27T00:00:00"/>
    <d v="2026-09-11T00:00:00"/>
    <n v="3"/>
    <n v="27135.7"/>
    <s v="Asthma"/>
  </r>
  <r>
    <n v="192"/>
    <x v="72"/>
    <x v="77"/>
    <s v="M"/>
    <n v="2"/>
    <d v="2022-02-08T00:00:00"/>
    <d v="2022-02-16T00:00:00"/>
    <n v="1"/>
    <n v="29039.73"/>
    <s v="Diabetes"/>
  </r>
  <r>
    <n v="193"/>
    <x v="99"/>
    <x v="22"/>
    <s v="M"/>
    <n v="5"/>
    <d v="2023-05-02T00:00:00"/>
    <d v="2023-05-11T00:00:00"/>
    <n v="1"/>
    <n v="44823.01"/>
    <s v="Diabetes"/>
  </r>
  <r>
    <n v="194"/>
    <x v="146"/>
    <x v="47"/>
    <s v="M"/>
    <n v="8"/>
    <d v="2025-05-07T00:00:00"/>
    <d v="2025-05-24T00:00:00"/>
    <n v="1"/>
    <n v="93979.19"/>
    <s v="Diabetes"/>
  </r>
  <r>
    <n v="195"/>
    <x v="164"/>
    <x v="13"/>
    <s v="F"/>
    <n v="1"/>
    <d v="2025-06-13T00:00:00"/>
    <d v="2025-06-24T00:00:00"/>
    <n v="1"/>
    <n v="76440.75"/>
    <s v="Diabetes"/>
  </r>
  <r>
    <n v="196"/>
    <x v="165"/>
    <x v="76"/>
    <s v="M"/>
    <n v="9"/>
    <d v="2025-01-19T00:00:00"/>
    <d v="2025-02-04T00:00:00"/>
    <n v="4"/>
    <n v="92603.01"/>
    <s v="Pneumonia"/>
  </r>
  <r>
    <n v="197"/>
    <x v="166"/>
    <x v="21"/>
    <s v="M"/>
    <n v="7"/>
    <d v="2024-02-04T00:00:00"/>
    <d v="2024-02-12T00:00:00"/>
    <n v="3"/>
    <n v="65884.160000000003"/>
    <s v="Asthma"/>
  </r>
  <r>
    <n v="198"/>
    <x v="167"/>
    <x v="20"/>
    <s v="M"/>
    <n v="10"/>
    <d v="2026-02-14T00:00:00"/>
    <d v="2026-03-10T00:00:00"/>
    <n v="1"/>
    <n v="10369.58"/>
    <s v="Diabetes"/>
  </r>
  <r>
    <n v="199"/>
    <x v="168"/>
    <x v="87"/>
    <s v="M"/>
    <n v="8"/>
    <d v="2025-11-25T00:00:00"/>
    <d v="2025-12-10T00:00:00"/>
    <n v="2"/>
    <n v="146540.84"/>
    <s v="Hypertension"/>
  </r>
  <r>
    <n v="200"/>
    <x v="169"/>
    <x v="75"/>
    <s v="F"/>
    <n v="4"/>
    <d v="2022-03-31T00:00:00"/>
    <d v="2022-04-25T00:00:00"/>
    <n v="1"/>
    <n v="9938.2999999999993"/>
    <s v="Diabetes"/>
  </r>
  <r>
    <n v="201"/>
    <x v="170"/>
    <x v="88"/>
    <s v="F"/>
    <n v="5"/>
    <d v="2022-03-16T00:00:00"/>
    <d v="2022-04-09T00:00:00"/>
    <n v="2"/>
    <n v="53284.68"/>
    <s v="Hypertension"/>
  </r>
  <r>
    <n v="202"/>
    <x v="171"/>
    <x v="32"/>
    <s v="M"/>
    <n v="6"/>
    <d v="2024-06-13T00:00:00"/>
    <d v="2024-07-11T00:00:00"/>
    <n v="2"/>
    <n v="80553.25"/>
    <s v="Hypertension"/>
  </r>
  <r>
    <n v="203"/>
    <x v="172"/>
    <x v="63"/>
    <s v="F"/>
    <n v="8"/>
    <d v="2024-01-23T00:00:00"/>
    <d v="2024-02-21T00:00:00"/>
    <n v="4"/>
    <n v="49842.92"/>
    <s v="Pneumonia"/>
  </r>
  <r>
    <n v="204"/>
    <x v="107"/>
    <x v="5"/>
    <s v="F"/>
    <n v="10"/>
    <d v="2026-08-12T00:00:00"/>
    <d v="2026-08-17T00:00:00"/>
    <n v="2"/>
    <n v="59515.03"/>
    <s v="Hypertension"/>
  </r>
  <r>
    <n v="205"/>
    <x v="173"/>
    <x v="43"/>
    <s v="F"/>
    <n v="5"/>
    <d v="2024-07-02T00:00:00"/>
    <d v="2024-07-21T00:00:00"/>
    <n v="3"/>
    <n v="32079.45"/>
    <s v="Asthma"/>
  </r>
  <r>
    <n v="206"/>
    <x v="174"/>
    <x v="89"/>
    <s v="M"/>
    <n v="6"/>
    <d v="2025-06-13T00:00:00"/>
    <d v="2025-06-26T00:00:00"/>
    <n v="1"/>
    <n v="176454.84"/>
    <s v="Diabetes"/>
  </r>
  <r>
    <n v="207"/>
    <x v="175"/>
    <x v="29"/>
    <s v="F"/>
    <n v="6"/>
    <d v="2024-11-16T00:00:00"/>
    <d v="2024-12-11T00:00:00"/>
    <n v="3"/>
    <n v="30897.64"/>
    <s v="Asthma"/>
  </r>
  <r>
    <n v="208"/>
    <x v="176"/>
    <x v="41"/>
    <s v="F"/>
    <n v="1"/>
    <d v="2022-09-16T00:00:00"/>
    <d v="2022-09-18T00:00:00"/>
    <n v="1"/>
    <n v="117016.41"/>
    <s v="Diabetes"/>
  </r>
  <r>
    <n v="209"/>
    <x v="177"/>
    <x v="27"/>
    <s v="M"/>
    <n v="10"/>
    <d v="2022-11-11T00:00:00"/>
    <d v="2022-12-02T00:00:00"/>
    <n v="2"/>
    <n v="68346.2"/>
    <s v="Hypertension"/>
  </r>
  <r>
    <n v="210"/>
    <x v="178"/>
    <x v="74"/>
    <s v="M"/>
    <n v="9"/>
    <d v="2024-01-22T00:00:00"/>
    <d v="2024-02-03T00:00:00"/>
    <n v="1"/>
    <n v="51967.43"/>
    <s v="Diabetes"/>
  </r>
  <r>
    <n v="211"/>
    <x v="0"/>
    <x v="0"/>
    <s v="M"/>
    <n v="8"/>
    <d v="2024-11-26T00:00:00"/>
    <d v="2024-12-08T00:00:00"/>
    <n v="5"/>
    <n v="23402.58"/>
    <s v="Heart Disease"/>
  </r>
  <r>
    <n v="212"/>
    <x v="179"/>
    <x v="8"/>
    <s v="F"/>
    <n v="8"/>
    <d v="2023-02-14T00:00:00"/>
    <d v="2023-02-17T00:00:00"/>
    <n v="1"/>
    <n v="15644.24"/>
    <s v="Diabetes"/>
  </r>
  <r>
    <n v="213"/>
    <x v="180"/>
    <x v="86"/>
    <s v="F"/>
    <n v="6"/>
    <d v="2025-12-24T00:00:00"/>
    <d v="2025-12-26T00:00:00"/>
    <n v="2"/>
    <n v="54039.31"/>
    <s v="Hypertension"/>
  </r>
  <r>
    <n v="214"/>
    <x v="181"/>
    <x v="81"/>
    <s v="M"/>
    <n v="6"/>
    <d v="2024-11-07T00:00:00"/>
    <d v="2024-11-14T00:00:00"/>
    <n v="1"/>
    <n v="38174.019999999997"/>
    <s v="Diabetes"/>
  </r>
  <r>
    <n v="215"/>
    <x v="182"/>
    <x v="90"/>
    <s v="M"/>
    <n v="6"/>
    <d v="2025-02-08T00:00:00"/>
    <d v="2025-02-26T00:00:00"/>
    <n v="2"/>
    <n v="145149.96"/>
    <s v="Hypertension"/>
  </r>
  <r>
    <n v="216"/>
    <x v="38"/>
    <x v="77"/>
    <s v="M"/>
    <n v="2"/>
    <d v="2023-09-26T00:00:00"/>
    <d v="2023-10-08T00:00:00"/>
    <n v="6"/>
    <n v="130099.36"/>
    <s v="Kidney Disease"/>
  </r>
  <r>
    <n v="217"/>
    <x v="183"/>
    <x v="36"/>
    <s v="M"/>
    <n v="3"/>
    <d v="2023-10-12T00:00:00"/>
    <d v="2023-11-01T00:00:00"/>
    <n v="1"/>
    <n v="85185.39"/>
    <s v="Diabetes"/>
  </r>
  <r>
    <n v="218"/>
    <x v="184"/>
    <x v="17"/>
    <s v="M"/>
    <n v="3"/>
    <d v="2024-06-05T00:00:00"/>
    <d v="2024-06-21T00:00:00"/>
    <n v="5"/>
    <n v="12335.78"/>
    <s v="Heart Disease"/>
  </r>
  <r>
    <n v="219"/>
    <x v="185"/>
    <x v="50"/>
    <s v="F"/>
    <n v="3"/>
    <d v="2022-11-28T00:00:00"/>
    <d v="2022-12-08T00:00:00"/>
    <n v="5"/>
    <n v="42520.98"/>
    <s v="Heart Disease"/>
  </r>
  <r>
    <n v="220"/>
    <x v="127"/>
    <x v="5"/>
    <s v="F"/>
    <n v="4"/>
    <d v="2025-07-24T00:00:00"/>
    <d v="2025-08-23T00:00:00"/>
    <n v="2"/>
    <n v="24717.73"/>
    <s v="Hypertension"/>
  </r>
  <r>
    <n v="221"/>
    <x v="91"/>
    <x v="42"/>
    <s v="M"/>
    <n v="9"/>
    <d v="2025-08-05T00:00:00"/>
    <d v="2025-08-10T00:00:00"/>
    <n v="2"/>
    <n v="105564.75"/>
    <s v="Hypertension"/>
  </r>
  <r>
    <n v="222"/>
    <x v="186"/>
    <x v="48"/>
    <s v="F"/>
    <n v="10"/>
    <d v="2022-03-26T00:00:00"/>
    <d v="2022-04-21T00:00:00"/>
    <n v="5"/>
    <n v="16917.060000000001"/>
    <s v="Heart Disease"/>
  </r>
  <r>
    <n v="223"/>
    <x v="187"/>
    <x v="24"/>
    <s v="M"/>
    <n v="10"/>
    <d v="2024-05-03T00:00:00"/>
    <d v="2024-05-22T00:00:00"/>
    <n v="2"/>
    <n v="90901.759999999995"/>
    <s v="Hypertension"/>
  </r>
  <r>
    <n v="224"/>
    <x v="188"/>
    <x v="87"/>
    <s v="F"/>
    <n v="8"/>
    <d v="2023-05-17T00:00:00"/>
    <d v="2023-06-11T00:00:00"/>
    <n v="4"/>
    <n v="74581.42"/>
    <s v="Pneumonia"/>
  </r>
  <r>
    <n v="225"/>
    <x v="89"/>
    <x v="61"/>
    <s v="M"/>
    <n v="3"/>
    <d v="2024-06-19T00:00:00"/>
    <d v="2024-07-02T00:00:00"/>
    <n v="2"/>
    <n v="38714.080000000002"/>
    <s v="Hypertension"/>
  </r>
  <r>
    <n v="226"/>
    <x v="189"/>
    <x v="25"/>
    <s v="F"/>
    <n v="6"/>
    <d v="2024-03-27T00:00:00"/>
    <d v="2024-03-31T00:00:00"/>
    <n v="3"/>
    <n v="93908.97"/>
    <s v="Asthma"/>
  </r>
  <r>
    <n v="227"/>
    <x v="190"/>
    <x v="20"/>
    <s v="F"/>
    <n v="2"/>
    <d v="2023-07-02T00:00:00"/>
    <d v="2023-07-16T00:00:00"/>
    <n v="1"/>
    <n v="19684.07"/>
    <s v="Diabetes"/>
  </r>
  <r>
    <n v="228"/>
    <x v="191"/>
    <x v="77"/>
    <s v="F"/>
    <n v="4"/>
    <d v="2022-11-24T00:00:00"/>
    <d v="2022-12-20T00:00:00"/>
    <n v="1"/>
    <n v="105039.45"/>
    <s v="Diabetes"/>
  </r>
  <r>
    <n v="229"/>
    <x v="102"/>
    <x v="37"/>
    <s v="F"/>
    <n v="9"/>
    <d v="2024-08-14T00:00:00"/>
    <d v="2024-08-29T00:00:00"/>
    <n v="5"/>
    <n v="90783.22"/>
    <s v="Heart Disease"/>
  </r>
  <r>
    <n v="230"/>
    <x v="192"/>
    <x v="91"/>
    <s v="F"/>
    <n v="4"/>
    <d v="2023-03-17T00:00:00"/>
    <d v="2023-04-04T00:00:00"/>
    <n v="2"/>
    <n v="11470.92"/>
    <s v="Hypertension"/>
  </r>
  <r>
    <n v="231"/>
    <x v="193"/>
    <x v="24"/>
    <s v="F"/>
    <n v="5"/>
    <d v="2025-01-04T00:00:00"/>
    <d v="2025-01-04T00:00:00"/>
    <n v="4"/>
    <n v="78989.679999999993"/>
    <s v="Pneumonia"/>
  </r>
  <r>
    <n v="232"/>
    <x v="131"/>
    <x v="10"/>
    <s v="F"/>
    <n v="1"/>
    <d v="2024-03-31T00:00:00"/>
    <d v="2024-04-01T00:00:00"/>
    <n v="2"/>
    <n v="37051.32"/>
    <s v="Hypertension"/>
  </r>
  <r>
    <n v="233"/>
    <x v="194"/>
    <x v="34"/>
    <s v="F"/>
    <n v="9"/>
    <d v="2024-07-11T00:00:00"/>
    <d v="2024-08-04T00:00:00"/>
    <n v="2"/>
    <n v="148992.76"/>
    <s v="Hypertension"/>
  </r>
  <r>
    <n v="234"/>
    <x v="195"/>
    <x v="18"/>
    <s v="M"/>
    <n v="2"/>
    <d v="2024-03-17T00:00:00"/>
    <d v="2024-03-28T00:00:00"/>
    <n v="4"/>
    <n v="62687.64"/>
    <s v="Pneumonia"/>
  </r>
  <r>
    <n v="235"/>
    <x v="132"/>
    <x v="2"/>
    <s v="F"/>
    <n v="9"/>
    <d v="2022-03-24T00:00:00"/>
    <d v="2022-03-25T00:00:00"/>
    <n v="1"/>
    <n v="129162.55"/>
    <s v="Diabetes"/>
  </r>
  <r>
    <n v="236"/>
    <x v="196"/>
    <x v="65"/>
    <s v="M"/>
    <n v="10"/>
    <d v="2024-11-21T00:00:00"/>
    <d v="2024-11-25T00:00:00"/>
    <n v="1"/>
    <n v="111319.59"/>
    <s v="Diabetes"/>
  </r>
  <r>
    <n v="237"/>
    <x v="197"/>
    <x v="77"/>
    <s v="F"/>
    <n v="10"/>
    <d v="2023-11-20T00:00:00"/>
    <d v="2023-12-06T00:00:00"/>
    <n v="4"/>
    <n v="96990.32"/>
    <s v="Pneumonia"/>
  </r>
  <r>
    <n v="238"/>
    <x v="198"/>
    <x v="21"/>
    <s v="M"/>
    <n v="6"/>
    <d v="2023-11-10T00:00:00"/>
    <d v="2023-12-01T00:00:00"/>
    <n v="1"/>
    <n v="76435.899999999994"/>
    <s v="Diabetes"/>
  </r>
  <r>
    <n v="239"/>
    <x v="199"/>
    <x v="80"/>
    <s v="F"/>
    <n v="5"/>
    <d v="2025-09-04T00:00:00"/>
    <d v="2025-09-29T00:00:00"/>
    <n v="6"/>
    <n v="105179.19"/>
    <s v="Kidney Disease"/>
  </r>
  <r>
    <n v="240"/>
    <x v="200"/>
    <x v="40"/>
    <s v="F"/>
    <n v="3"/>
    <d v="2024-12-09T00:00:00"/>
    <d v="2024-12-29T00:00:00"/>
    <n v="3"/>
    <n v="139992.59"/>
    <s v="Asthma"/>
  </r>
  <r>
    <n v="241"/>
    <x v="201"/>
    <x v="7"/>
    <s v="M"/>
    <n v="1"/>
    <d v="2025-03-18T00:00:00"/>
    <d v="2025-04-17T00:00:00"/>
    <n v="3"/>
    <n v="36364.22"/>
    <s v="Asthma"/>
  </r>
  <r>
    <n v="242"/>
    <x v="202"/>
    <x v="53"/>
    <s v="M"/>
    <n v="7"/>
    <d v="2025-11-15T00:00:00"/>
    <d v="2025-11-21T00:00:00"/>
    <n v="2"/>
    <n v="140057.57999999999"/>
    <s v="Hypertension"/>
  </r>
  <r>
    <n v="243"/>
    <x v="203"/>
    <x v="71"/>
    <s v="M"/>
    <n v="9"/>
    <d v="2023-03-01T00:00:00"/>
    <d v="2023-03-18T00:00:00"/>
    <n v="1"/>
    <n v="120045.26"/>
    <s v="Diabetes"/>
  </r>
  <r>
    <n v="244"/>
    <x v="204"/>
    <x v="25"/>
    <s v="M"/>
    <n v="8"/>
    <d v="2024-12-27T00:00:00"/>
    <d v="2025-01-06T00:00:00"/>
    <n v="2"/>
    <n v="122466.67"/>
    <s v="Hypertension"/>
  </r>
  <r>
    <n v="245"/>
    <x v="156"/>
    <x v="68"/>
    <s v="M"/>
    <n v="4"/>
    <d v="2023-07-26T00:00:00"/>
    <d v="2023-08-12T00:00:00"/>
    <n v="1"/>
    <n v="169613.68"/>
    <s v="Diabetes"/>
  </r>
  <r>
    <n v="246"/>
    <x v="205"/>
    <x v="71"/>
    <s v="M"/>
    <n v="8"/>
    <d v="2023-10-12T00:00:00"/>
    <d v="2023-10-27T00:00:00"/>
    <n v="1"/>
    <n v="168231.82"/>
    <s v="Diabetes"/>
  </r>
  <r>
    <n v="247"/>
    <x v="78"/>
    <x v="18"/>
    <s v="F"/>
    <n v="7"/>
    <d v="2026-08-04T00:00:00"/>
    <d v="2026-08-15T00:00:00"/>
    <n v="6"/>
    <n v="145319.31"/>
    <s v="Kidney Disease"/>
  </r>
  <r>
    <n v="248"/>
    <x v="206"/>
    <x v="44"/>
    <s v="M"/>
    <n v="6"/>
    <d v="2024-06-24T00:00:00"/>
    <d v="2024-07-14T00:00:00"/>
    <n v="1"/>
    <n v="87536.57"/>
    <s v="Diabetes"/>
  </r>
  <r>
    <n v="249"/>
    <x v="207"/>
    <x v="32"/>
    <s v="F"/>
    <n v="3"/>
    <d v="2022-08-12T00:00:00"/>
    <d v="2022-08-31T00:00:00"/>
    <n v="3"/>
    <n v="44972.57"/>
    <s v="Asthma"/>
  </r>
  <r>
    <n v="250"/>
    <x v="208"/>
    <x v="59"/>
    <s v="M"/>
    <n v="1"/>
    <d v="2022-07-25T00:00:00"/>
    <d v="2022-08-07T00:00:00"/>
    <n v="1"/>
    <n v="86351.69"/>
    <s v="Diabetes"/>
  </r>
  <r>
    <n v="251"/>
    <x v="209"/>
    <x v="92"/>
    <s v="M"/>
    <n v="7"/>
    <d v="2025-08-30T00:00:00"/>
    <d v="2025-09-28T00:00:00"/>
    <n v="5"/>
    <n v="86936.69"/>
    <s v="Heart Disease"/>
  </r>
  <r>
    <n v="252"/>
    <x v="210"/>
    <x v="85"/>
    <s v="F"/>
    <n v="1"/>
    <d v="2026-04-24T00:00:00"/>
    <d v="2026-04-26T00:00:00"/>
    <n v="3"/>
    <n v="43719.09"/>
    <s v="Asthma"/>
  </r>
  <r>
    <n v="253"/>
    <x v="211"/>
    <x v="53"/>
    <s v="M"/>
    <n v="1"/>
    <d v="2026-09-09T00:00:00"/>
    <d v="2026-09-21T00:00:00"/>
    <n v="4"/>
    <n v="35570.31"/>
    <s v="Pneumonia"/>
  </r>
  <r>
    <n v="254"/>
    <x v="206"/>
    <x v="31"/>
    <s v="F"/>
    <n v="10"/>
    <d v="2025-05-19T00:00:00"/>
    <d v="2025-05-22T00:00:00"/>
    <n v="5"/>
    <n v="61969.98"/>
    <s v="Heart Disease"/>
  </r>
  <r>
    <n v="255"/>
    <x v="212"/>
    <x v="83"/>
    <s v="F"/>
    <n v="3"/>
    <d v="2024-10-29T00:00:00"/>
    <d v="2024-11-12T00:00:00"/>
    <n v="1"/>
    <n v="146064.46"/>
    <s v="Diabetes"/>
  </r>
  <r>
    <n v="256"/>
    <x v="213"/>
    <x v="6"/>
    <s v="F"/>
    <n v="5"/>
    <d v="2026-01-11T00:00:00"/>
    <d v="2026-01-16T00:00:00"/>
    <n v="1"/>
    <n v="62337.41"/>
    <s v="Diabetes"/>
  </r>
  <r>
    <n v="257"/>
    <x v="214"/>
    <x v="62"/>
    <s v="M"/>
    <n v="3"/>
    <d v="2025-06-05T00:00:00"/>
    <d v="2025-07-02T00:00:00"/>
    <n v="2"/>
    <n v="74474.539999999994"/>
    <s v="Hypertension"/>
  </r>
  <r>
    <n v="258"/>
    <x v="215"/>
    <x v="85"/>
    <s v="M"/>
    <n v="7"/>
    <d v="2025-10-02T00:00:00"/>
    <d v="2025-10-05T00:00:00"/>
    <n v="1"/>
    <n v="27458.61"/>
    <s v="Diabetes"/>
  </r>
  <r>
    <n v="259"/>
    <x v="216"/>
    <x v="19"/>
    <s v="F"/>
    <n v="7"/>
    <d v="2023-04-28T00:00:00"/>
    <d v="2023-05-12T00:00:00"/>
    <n v="3"/>
    <n v="171841.18"/>
    <s v="Asthma"/>
  </r>
  <r>
    <n v="260"/>
    <x v="86"/>
    <x v="48"/>
    <s v="M"/>
    <n v="5"/>
    <d v="2025-08-31T00:00:00"/>
    <d v="2025-09-11T00:00:00"/>
    <n v="3"/>
    <n v="13527.07"/>
    <s v="Asthma"/>
  </r>
  <r>
    <n v="261"/>
    <x v="217"/>
    <x v="38"/>
    <s v="M"/>
    <n v="7"/>
    <d v="2025-11-06T00:00:00"/>
    <d v="2025-11-22T00:00:00"/>
    <n v="5"/>
    <n v="160084.75"/>
    <s v="Heart Disease"/>
  </r>
  <r>
    <n v="262"/>
    <x v="218"/>
    <x v="84"/>
    <s v="F"/>
    <n v="6"/>
    <d v="2025-06-12T00:00:00"/>
    <d v="2025-06-19T00:00:00"/>
    <n v="1"/>
    <n v="26208.46"/>
    <s v="Diabetes"/>
  </r>
  <r>
    <n v="263"/>
    <x v="101"/>
    <x v="41"/>
    <s v="F"/>
    <n v="7"/>
    <d v="2025-12-08T00:00:00"/>
    <d v="2025-12-25T00:00:00"/>
    <n v="5"/>
    <n v="136929.72"/>
    <s v="Heart Disease"/>
  </r>
  <r>
    <n v="264"/>
    <x v="219"/>
    <x v="7"/>
    <s v="M"/>
    <n v="9"/>
    <d v="2024-07-03T00:00:00"/>
    <d v="2024-07-19T00:00:00"/>
    <n v="3"/>
    <n v="16363.23"/>
    <s v="Asthma"/>
  </r>
  <r>
    <n v="265"/>
    <x v="220"/>
    <x v="16"/>
    <s v="M"/>
    <n v="10"/>
    <d v="2025-01-04T00:00:00"/>
    <d v="2025-01-08T00:00:00"/>
    <n v="1"/>
    <n v="154171.26999999999"/>
    <s v="Diabetes"/>
  </r>
  <r>
    <n v="266"/>
    <x v="153"/>
    <x v="7"/>
    <s v="M"/>
    <n v="10"/>
    <d v="2024-09-28T00:00:00"/>
    <d v="2024-09-30T00:00:00"/>
    <n v="5"/>
    <n v="81573.179999999993"/>
    <s v="Heart Disease"/>
  </r>
  <r>
    <n v="267"/>
    <x v="221"/>
    <x v="17"/>
    <s v="F"/>
    <n v="8"/>
    <d v="2025-02-28T00:00:00"/>
    <d v="2025-03-01T00:00:00"/>
    <n v="2"/>
    <n v="121916.27"/>
    <s v="Hypertension"/>
  </r>
  <r>
    <n v="268"/>
    <x v="199"/>
    <x v="88"/>
    <s v="F"/>
    <n v="1"/>
    <d v="2026-03-08T00:00:00"/>
    <d v="2026-03-14T00:00:00"/>
    <n v="2"/>
    <n v="10538.94"/>
    <s v="Hypertension"/>
  </r>
  <r>
    <n v="269"/>
    <x v="36"/>
    <x v="15"/>
    <s v="M"/>
    <n v="2"/>
    <d v="2024-08-24T00:00:00"/>
    <d v="2024-08-25T00:00:00"/>
    <n v="1"/>
    <n v="34446.69"/>
    <s v="Diabetes"/>
  </r>
  <r>
    <n v="270"/>
    <x v="222"/>
    <x v="51"/>
    <s v="F"/>
    <n v="8"/>
    <d v="2024-02-13T00:00:00"/>
    <d v="2024-02-25T00:00:00"/>
    <n v="1"/>
    <n v="173635.63"/>
    <s v="Diabetes"/>
  </r>
  <r>
    <n v="271"/>
    <x v="19"/>
    <x v="24"/>
    <s v="F"/>
    <n v="2"/>
    <d v="2023-01-01T00:00:00"/>
    <d v="2023-01-18T00:00:00"/>
    <n v="2"/>
    <n v="25104.11"/>
    <s v="Hypertension"/>
  </r>
  <r>
    <n v="272"/>
    <x v="223"/>
    <x v="56"/>
    <s v="F"/>
    <n v="8"/>
    <d v="2025-10-11T00:00:00"/>
    <d v="2025-11-03T00:00:00"/>
    <n v="2"/>
    <n v="96918.22"/>
    <s v="Hypertension"/>
  </r>
  <r>
    <n v="273"/>
    <x v="224"/>
    <x v="65"/>
    <s v="F"/>
    <n v="3"/>
    <d v="2023-07-19T00:00:00"/>
    <d v="2023-07-25T00:00:00"/>
    <n v="5"/>
    <n v="131191.75"/>
    <s v="Heart Disease"/>
  </r>
  <r>
    <n v="274"/>
    <x v="225"/>
    <x v="43"/>
    <s v="F"/>
    <n v="10"/>
    <d v="2026-04-18T00:00:00"/>
    <d v="2026-05-17T00:00:00"/>
    <n v="5"/>
    <n v="5277.13"/>
    <s v="Heart Disease"/>
  </r>
  <r>
    <n v="275"/>
    <x v="226"/>
    <x v="72"/>
    <s v="M"/>
    <n v="8"/>
    <d v="2025-05-09T00:00:00"/>
    <d v="2025-05-30T00:00:00"/>
    <n v="3"/>
    <n v="11140.05"/>
    <s v="Asthma"/>
  </r>
  <r>
    <n v="276"/>
    <x v="227"/>
    <x v="46"/>
    <s v="M"/>
    <n v="9"/>
    <d v="2023-03-21T00:00:00"/>
    <d v="2023-04-14T00:00:00"/>
    <n v="5"/>
    <n v="12518.82"/>
    <s v="Heart Disease"/>
  </r>
  <r>
    <n v="277"/>
    <x v="228"/>
    <x v="73"/>
    <s v="F"/>
    <n v="10"/>
    <d v="2025-05-09T00:00:00"/>
    <d v="2025-06-02T00:00:00"/>
    <n v="3"/>
    <n v="59418.06"/>
    <s v="Asthma"/>
  </r>
  <r>
    <n v="278"/>
    <x v="229"/>
    <x v="43"/>
    <s v="M"/>
    <n v="7"/>
    <d v="2023-09-08T00:00:00"/>
    <d v="2023-09-16T00:00:00"/>
    <n v="1"/>
    <n v="170862.35"/>
    <s v="Diabetes"/>
  </r>
  <r>
    <n v="279"/>
    <x v="230"/>
    <x v="82"/>
    <s v="F"/>
    <n v="1"/>
    <d v="2023-12-07T00:00:00"/>
    <d v="2024-01-06T00:00:00"/>
    <n v="2"/>
    <n v="70154.95"/>
    <s v="Hypertension"/>
  </r>
  <r>
    <n v="280"/>
    <x v="231"/>
    <x v="70"/>
    <s v="F"/>
    <n v="7"/>
    <d v="2022-11-02T00:00:00"/>
    <d v="2022-11-11T00:00:00"/>
    <n v="2"/>
    <n v="136408.85999999999"/>
    <s v="Hypertension"/>
  </r>
  <r>
    <n v="281"/>
    <x v="232"/>
    <x v="59"/>
    <s v="F"/>
    <n v="3"/>
    <d v="2026-07-09T00:00:00"/>
    <d v="2026-07-23T00:00:00"/>
    <n v="5"/>
    <n v="102323.51"/>
    <s v="Heart Disease"/>
  </r>
  <r>
    <n v="282"/>
    <x v="233"/>
    <x v="83"/>
    <s v="M"/>
    <n v="7"/>
    <d v="2023-05-13T00:00:00"/>
    <d v="2023-05-21T00:00:00"/>
    <n v="1"/>
    <n v="117290.29"/>
    <s v="Diabetes"/>
  </r>
  <r>
    <n v="283"/>
    <x v="174"/>
    <x v="86"/>
    <s v="M"/>
    <n v="1"/>
    <d v="2023-07-04T00:00:00"/>
    <d v="2023-07-16T00:00:00"/>
    <n v="3"/>
    <n v="109518.66"/>
    <s v="Asthma"/>
  </r>
  <r>
    <n v="284"/>
    <x v="234"/>
    <x v="1"/>
    <s v="M"/>
    <n v="8"/>
    <d v="2023-03-04T00:00:00"/>
    <d v="2023-03-31T00:00:00"/>
    <n v="5"/>
    <n v="56315.87"/>
    <s v="Heart Disease"/>
  </r>
  <r>
    <n v="285"/>
    <x v="235"/>
    <x v="57"/>
    <s v="M"/>
    <n v="8"/>
    <d v="2023-05-12T00:00:00"/>
    <d v="2023-06-03T00:00:00"/>
    <n v="2"/>
    <n v="38801.08"/>
    <s v="Hypertension"/>
  </r>
  <r>
    <n v="286"/>
    <x v="236"/>
    <x v="85"/>
    <s v="F"/>
    <n v="7"/>
    <d v="2024-08-12T00:00:00"/>
    <d v="2024-08-29T00:00:00"/>
    <n v="2"/>
    <n v="57244.959999999999"/>
    <s v="Hypertension"/>
  </r>
  <r>
    <n v="287"/>
    <x v="126"/>
    <x v="90"/>
    <s v="F"/>
    <n v="2"/>
    <d v="2026-07-03T00:00:00"/>
    <d v="2026-07-26T00:00:00"/>
    <n v="2"/>
    <n v="151552.28"/>
    <s v="Hypertension"/>
  </r>
  <r>
    <n v="288"/>
    <x v="74"/>
    <x v="25"/>
    <s v="F"/>
    <n v="1"/>
    <d v="2025-02-26T00:00:00"/>
    <d v="2025-03-25T00:00:00"/>
    <n v="1"/>
    <n v="28401.279999999999"/>
    <s v="Diabetes"/>
  </r>
  <r>
    <n v="289"/>
    <x v="237"/>
    <x v="40"/>
    <s v="F"/>
    <n v="5"/>
    <d v="2022-11-09T00:00:00"/>
    <d v="2022-11-15T00:00:00"/>
    <n v="1"/>
    <n v="69921.56"/>
    <s v="Diabetes"/>
  </r>
  <r>
    <n v="290"/>
    <x v="238"/>
    <x v="92"/>
    <s v="F"/>
    <n v="5"/>
    <d v="2026-04-13T00:00:00"/>
    <d v="2026-05-09T00:00:00"/>
    <n v="2"/>
    <n v="130931.54"/>
    <s v="Hypertension"/>
  </r>
  <r>
    <n v="291"/>
    <x v="76"/>
    <x v="93"/>
    <s v="F"/>
    <n v="3"/>
    <d v="2022-10-14T00:00:00"/>
    <d v="2022-11-06T00:00:00"/>
    <n v="2"/>
    <n v="35168.480000000003"/>
    <s v="Hypertension"/>
  </r>
  <r>
    <n v="292"/>
    <x v="30"/>
    <x v="83"/>
    <s v="M"/>
    <n v="2"/>
    <d v="2026-08-03T00:00:00"/>
    <d v="2026-08-24T00:00:00"/>
    <n v="1"/>
    <n v="3633.13"/>
    <s v="Diabetes"/>
  </r>
  <r>
    <n v="293"/>
    <x v="182"/>
    <x v="47"/>
    <s v="M"/>
    <n v="1"/>
    <d v="2023-03-24T00:00:00"/>
    <d v="2023-04-09T00:00:00"/>
    <n v="2"/>
    <n v="13229.9"/>
    <s v="Hypertension"/>
  </r>
  <r>
    <n v="294"/>
    <x v="239"/>
    <x v="43"/>
    <s v="F"/>
    <n v="1"/>
    <d v="2022-01-14T00:00:00"/>
    <d v="2022-01-31T00:00:00"/>
    <n v="2"/>
    <n v="4603.55"/>
    <s v="Hypertension"/>
  </r>
  <r>
    <n v="295"/>
    <x v="240"/>
    <x v="42"/>
    <s v="F"/>
    <n v="1"/>
    <d v="2024-10-25T00:00:00"/>
    <d v="2024-11-20T00:00:00"/>
    <n v="3"/>
    <n v="78926.740000000005"/>
    <s v="Asthma"/>
  </r>
  <r>
    <n v="296"/>
    <x v="241"/>
    <x v="72"/>
    <s v="M"/>
    <n v="4"/>
    <d v="2023-01-29T00:00:00"/>
    <d v="2023-02-17T00:00:00"/>
    <n v="2"/>
    <n v="147200.54999999999"/>
    <s v="Hypertension"/>
  </r>
  <r>
    <n v="297"/>
    <x v="242"/>
    <x v="5"/>
    <s v="F"/>
    <n v="7"/>
    <d v="2024-07-29T00:00:00"/>
    <d v="2024-08-16T00:00:00"/>
    <n v="1"/>
    <n v="126259.45"/>
    <s v="Diabetes"/>
  </r>
  <r>
    <n v="298"/>
    <x v="243"/>
    <x v="24"/>
    <s v="M"/>
    <n v="2"/>
    <d v="2024-04-10T00:00:00"/>
    <d v="2024-04-22T00:00:00"/>
    <n v="2"/>
    <n v="86990.91"/>
    <s v="Hypertension"/>
  </r>
  <r>
    <n v="299"/>
    <x v="244"/>
    <x v="5"/>
    <s v="F"/>
    <n v="7"/>
    <d v="2025-08-13T00:00:00"/>
    <d v="2025-09-07T00:00:00"/>
    <n v="1"/>
    <n v="175975.94"/>
    <s v="Diabetes"/>
  </r>
  <r>
    <n v="300"/>
    <x v="159"/>
    <x v="35"/>
    <s v="M"/>
    <n v="4"/>
    <d v="2025-11-18T00:00:00"/>
    <d v="2025-12-16T00:00:00"/>
    <n v="2"/>
    <n v="50619.37"/>
    <s v="Hypertension"/>
  </r>
  <r>
    <n v="301"/>
    <x v="46"/>
    <x v="15"/>
    <s v="M"/>
    <n v="3"/>
    <d v="2023-10-07T00:00:00"/>
    <d v="2023-10-07T00:00:00"/>
    <n v="6"/>
    <n v="106698.91"/>
    <s v="Kidney Disease"/>
  </r>
  <r>
    <n v="302"/>
    <x v="106"/>
    <x v="94"/>
    <s v="M"/>
    <n v="10"/>
    <d v="2023-05-08T00:00:00"/>
    <d v="2023-05-26T00:00:00"/>
    <n v="4"/>
    <n v="71575.3"/>
    <s v="Pneumonia"/>
  </r>
  <r>
    <n v="303"/>
    <x v="168"/>
    <x v="78"/>
    <s v="M"/>
    <n v="2"/>
    <d v="2024-10-22T00:00:00"/>
    <d v="2024-11-14T00:00:00"/>
    <n v="6"/>
    <n v="12031.12"/>
    <s v="Kidney Disease"/>
  </r>
  <r>
    <n v="304"/>
    <x v="245"/>
    <x v="34"/>
    <s v="F"/>
    <n v="10"/>
    <d v="2026-04-24T00:00:00"/>
    <d v="2026-05-13T00:00:00"/>
    <n v="6"/>
    <n v="72914.789999999994"/>
    <s v="Kidney Disease"/>
  </r>
  <r>
    <n v="305"/>
    <x v="246"/>
    <x v="84"/>
    <s v="F"/>
    <n v="8"/>
    <d v="2024-10-01T00:00:00"/>
    <d v="2024-10-08T00:00:00"/>
    <n v="2"/>
    <n v="169552.85"/>
    <s v="Hypertension"/>
  </r>
  <r>
    <n v="306"/>
    <x v="27"/>
    <x v="7"/>
    <s v="F"/>
    <n v="2"/>
    <d v="2026-05-01T00:00:00"/>
    <d v="2026-05-20T00:00:00"/>
    <n v="1"/>
    <n v="46244.84"/>
    <s v="Diabetes"/>
  </r>
  <r>
    <n v="307"/>
    <x v="247"/>
    <x v="32"/>
    <s v="M"/>
    <n v="7"/>
    <d v="2025-12-28T00:00:00"/>
    <d v="2026-01-22T00:00:00"/>
    <n v="2"/>
    <n v="133788.81"/>
    <s v="Hypertension"/>
  </r>
  <r>
    <n v="308"/>
    <x v="248"/>
    <x v="52"/>
    <s v="M"/>
    <n v="1"/>
    <d v="2023-09-24T00:00:00"/>
    <d v="2023-10-08T00:00:00"/>
    <n v="2"/>
    <n v="50383.54"/>
    <s v="Hypertension"/>
  </r>
  <r>
    <n v="309"/>
    <x v="249"/>
    <x v="63"/>
    <s v="F"/>
    <n v="8"/>
    <d v="2025-02-14T00:00:00"/>
    <d v="2025-03-03T00:00:00"/>
    <n v="2"/>
    <n v="20834.490000000002"/>
    <s v="Hypertension"/>
  </r>
  <r>
    <n v="310"/>
    <x v="250"/>
    <x v="92"/>
    <s v="M"/>
    <n v="10"/>
    <d v="2025-05-09T00:00:00"/>
    <d v="2025-06-03T00:00:00"/>
    <n v="1"/>
    <n v="70879.73"/>
    <s v="Diabetes"/>
  </r>
  <r>
    <n v="311"/>
    <x v="251"/>
    <x v="78"/>
    <s v="M"/>
    <n v="9"/>
    <d v="2023-05-13T00:00:00"/>
    <d v="2023-05-31T00:00:00"/>
    <n v="2"/>
    <n v="124143.59"/>
    <s v="Hypertension"/>
  </r>
  <r>
    <n v="312"/>
    <x v="252"/>
    <x v="32"/>
    <s v="F"/>
    <n v="5"/>
    <d v="2024-10-06T00:00:00"/>
    <d v="2024-10-10T00:00:00"/>
    <n v="1"/>
    <n v="79655.039999999994"/>
    <s v="Diabetes"/>
  </r>
  <r>
    <n v="313"/>
    <x v="253"/>
    <x v="68"/>
    <s v="M"/>
    <n v="6"/>
    <d v="2023-05-31T00:00:00"/>
    <d v="2023-06-30T00:00:00"/>
    <n v="1"/>
    <n v="113443.48"/>
    <s v="Diabetes"/>
  </r>
  <r>
    <n v="314"/>
    <x v="85"/>
    <x v="2"/>
    <s v="F"/>
    <n v="2"/>
    <d v="2022-10-05T00:00:00"/>
    <d v="2022-10-14T00:00:00"/>
    <n v="1"/>
    <n v="72735.33"/>
    <s v="Diabetes"/>
  </r>
  <r>
    <n v="315"/>
    <x v="254"/>
    <x v="64"/>
    <s v="F"/>
    <n v="6"/>
    <d v="2024-05-31T00:00:00"/>
    <d v="2024-06-26T00:00:00"/>
    <n v="4"/>
    <n v="118059.04"/>
    <s v="Pneumonia"/>
  </r>
  <r>
    <n v="316"/>
    <x v="189"/>
    <x v="94"/>
    <s v="F"/>
    <n v="10"/>
    <d v="2025-11-24T00:00:00"/>
    <d v="2025-11-30T00:00:00"/>
    <n v="2"/>
    <n v="34030.620000000003"/>
    <s v="Hypertension"/>
  </r>
  <r>
    <n v="317"/>
    <x v="255"/>
    <x v="13"/>
    <s v="F"/>
    <n v="10"/>
    <d v="2026-05-21T00:00:00"/>
    <d v="2026-05-28T00:00:00"/>
    <n v="1"/>
    <n v="52253.279999999999"/>
    <s v="Diabetes"/>
  </r>
  <r>
    <n v="318"/>
    <x v="256"/>
    <x v="58"/>
    <s v="M"/>
    <n v="10"/>
    <d v="2025-01-22T00:00:00"/>
    <d v="2025-01-27T00:00:00"/>
    <n v="3"/>
    <n v="100142.6"/>
    <s v="Asthma"/>
  </r>
  <r>
    <n v="319"/>
    <x v="257"/>
    <x v="46"/>
    <s v="F"/>
    <n v="2"/>
    <d v="2026-08-05T00:00:00"/>
    <d v="2026-09-01T00:00:00"/>
    <n v="4"/>
    <n v="75122.63"/>
    <s v="Pneumonia"/>
  </r>
  <r>
    <n v="320"/>
    <x v="258"/>
    <x v="84"/>
    <s v="F"/>
    <n v="4"/>
    <d v="2023-06-02T00:00:00"/>
    <d v="2023-06-23T00:00:00"/>
    <n v="1"/>
    <n v="77605.210000000006"/>
    <s v="Diabetes"/>
  </r>
  <r>
    <n v="321"/>
    <x v="259"/>
    <x v="89"/>
    <s v="F"/>
    <n v="10"/>
    <d v="2024-03-31T00:00:00"/>
    <d v="2024-04-17T00:00:00"/>
    <n v="2"/>
    <n v="165869.60999999999"/>
    <s v="Hypertension"/>
  </r>
  <r>
    <n v="322"/>
    <x v="233"/>
    <x v="75"/>
    <s v="F"/>
    <n v="9"/>
    <d v="2025-05-01T00:00:00"/>
    <d v="2025-05-21T00:00:00"/>
    <n v="5"/>
    <n v="21913.07"/>
    <s v="Heart Disease"/>
  </r>
  <r>
    <n v="323"/>
    <x v="260"/>
    <x v="93"/>
    <s v="M"/>
    <n v="10"/>
    <d v="2025-08-14T00:00:00"/>
    <d v="2025-09-04T00:00:00"/>
    <n v="2"/>
    <n v="174108.98"/>
    <s v="Hypertension"/>
  </r>
  <r>
    <n v="324"/>
    <x v="261"/>
    <x v="52"/>
    <s v="M"/>
    <n v="2"/>
    <d v="2023-06-14T00:00:00"/>
    <d v="2023-06-21T00:00:00"/>
    <n v="2"/>
    <n v="94586.6"/>
    <s v="Hypertension"/>
  </r>
  <r>
    <n v="325"/>
    <x v="33"/>
    <x v="59"/>
    <s v="F"/>
    <n v="6"/>
    <d v="2024-03-12T00:00:00"/>
    <d v="2024-03-26T00:00:00"/>
    <n v="4"/>
    <n v="106974.72"/>
    <s v="Pneumonia"/>
  </r>
  <r>
    <n v="326"/>
    <x v="262"/>
    <x v="39"/>
    <s v="M"/>
    <n v="8"/>
    <d v="2022-08-03T00:00:00"/>
    <d v="2022-08-12T00:00:00"/>
    <n v="2"/>
    <n v="173206.7"/>
    <s v="Hypertension"/>
  </r>
  <r>
    <n v="327"/>
    <x v="13"/>
    <x v="39"/>
    <s v="F"/>
    <n v="6"/>
    <d v="2024-07-21T00:00:00"/>
    <d v="2024-08-15T00:00:00"/>
    <n v="1"/>
    <n v="88219.36"/>
    <s v="Diabetes"/>
  </r>
  <r>
    <n v="328"/>
    <x v="263"/>
    <x v="46"/>
    <s v="F"/>
    <n v="6"/>
    <d v="2022-05-18T00:00:00"/>
    <d v="2022-05-27T00:00:00"/>
    <n v="1"/>
    <n v="128663.27"/>
    <s v="Diabetes"/>
  </r>
  <r>
    <n v="329"/>
    <x v="264"/>
    <x v="87"/>
    <s v="M"/>
    <n v="3"/>
    <d v="2026-02-25T00:00:00"/>
    <d v="2026-03-04T00:00:00"/>
    <n v="2"/>
    <n v="100464.08"/>
    <s v="Hypertension"/>
  </r>
  <r>
    <n v="330"/>
    <x v="265"/>
    <x v="22"/>
    <s v="F"/>
    <n v="4"/>
    <d v="2026-06-22T00:00:00"/>
    <d v="2026-07-04T00:00:00"/>
    <n v="2"/>
    <n v="35583.68"/>
    <s v="Hypertension"/>
  </r>
  <r>
    <n v="331"/>
    <x v="266"/>
    <x v="67"/>
    <s v="M"/>
    <n v="8"/>
    <d v="2025-04-27T00:00:00"/>
    <d v="2025-05-10T00:00:00"/>
    <n v="2"/>
    <n v="127590.57"/>
    <s v="Hypertension"/>
  </r>
  <r>
    <n v="332"/>
    <x v="87"/>
    <x v="71"/>
    <s v="M"/>
    <n v="10"/>
    <d v="2022-07-28T00:00:00"/>
    <d v="2022-08-22T00:00:00"/>
    <n v="5"/>
    <n v="35685.370000000003"/>
    <s v="Heart Disease"/>
  </r>
  <r>
    <n v="333"/>
    <x v="102"/>
    <x v="65"/>
    <s v="M"/>
    <n v="5"/>
    <d v="2025-10-05T00:00:00"/>
    <d v="2025-11-01T00:00:00"/>
    <n v="2"/>
    <n v="173950.16"/>
    <s v="Hypertension"/>
  </r>
  <r>
    <n v="334"/>
    <x v="93"/>
    <x v="78"/>
    <s v="F"/>
    <n v="10"/>
    <d v="2022-08-22T00:00:00"/>
    <d v="2022-09-02T00:00:00"/>
    <n v="2"/>
    <n v="83770.25"/>
    <s v="Hypertension"/>
  </r>
  <r>
    <n v="335"/>
    <x v="267"/>
    <x v="77"/>
    <s v="M"/>
    <n v="3"/>
    <d v="2023-10-04T00:00:00"/>
    <d v="2023-10-07T00:00:00"/>
    <n v="1"/>
    <n v="23258.43"/>
    <s v="Diabetes"/>
  </r>
  <r>
    <n v="336"/>
    <x v="132"/>
    <x v="26"/>
    <s v="F"/>
    <n v="7"/>
    <d v="2025-05-06T00:00:00"/>
    <d v="2025-05-10T00:00:00"/>
    <n v="2"/>
    <n v="77589.38"/>
    <s v="Hypertension"/>
  </r>
  <r>
    <n v="337"/>
    <x v="268"/>
    <x v="61"/>
    <s v="M"/>
    <n v="9"/>
    <d v="2022-12-08T00:00:00"/>
    <d v="2022-12-23T00:00:00"/>
    <n v="1"/>
    <n v="35710"/>
    <s v="Diabetes"/>
  </r>
  <r>
    <n v="338"/>
    <x v="160"/>
    <x v="66"/>
    <s v="F"/>
    <n v="1"/>
    <d v="2024-09-19T00:00:00"/>
    <d v="2024-09-23T00:00:00"/>
    <n v="1"/>
    <n v="70650.09"/>
    <s v="Diabetes"/>
  </r>
  <r>
    <n v="339"/>
    <x v="269"/>
    <x v="24"/>
    <s v="F"/>
    <n v="7"/>
    <d v="2025-11-03T00:00:00"/>
    <d v="2025-11-18T00:00:00"/>
    <n v="2"/>
    <n v="151580.79"/>
    <s v="Hypertension"/>
  </r>
  <r>
    <n v="340"/>
    <x v="270"/>
    <x v="5"/>
    <s v="M"/>
    <n v="4"/>
    <d v="2023-08-22T00:00:00"/>
    <d v="2023-08-23T00:00:00"/>
    <n v="1"/>
    <n v="97925.53"/>
    <s v="Diabetes"/>
  </r>
  <r>
    <n v="341"/>
    <x v="271"/>
    <x v="27"/>
    <s v="F"/>
    <n v="9"/>
    <d v="2024-11-12T00:00:00"/>
    <d v="2024-11-15T00:00:00"/>
    <n v="2"/>
    <n v="50050.28"/>
    <s v="Hypertension"/>
  </r>
  <r>
    <n v="342"/>
    <x v="272"/>
    <x v="15"/>
    <s v="M"/>
    <n v="8"/>
    <d v="2025-01-23T00:00:00"/>
    <d v="2025-01-29T00:00:00"/>
    <n v="6"/>
    <n v="20678.919999999998"/>
    <s v="Kidney Disease"/>
  </r>
  <r>
    <n v="343"/>
    <x v="273"/>
    <x v="75"/>
    <s v="F"/>
    <n v="5"/>
    <d v="2023-12-15T00:00:00"/>
    <d v="2024-01-11T00:00:00"/>
    <n v="4"/>
    <n v="80434.91"/>
    <s v="Pneumonia"/>
  </r>
  <r>
    <n v="344"/>
    <x v="274"/>
    <x v="79"/>
    <s v="F"/>
    <n v="10"/>
    <d v="2025-07-19T00:00:00"/>
    <d v="2025-08-01T00:00:00"/>
    <n v="1"/>
    <n v="27214.21"/>
    <s v="Diabetes"/>
  </r>
  <r>
    <n v="345"/>
    <x v="275"/>
    <x v="16"/>
    <s v="F"/>
    <n v="9"/>
    <d v="2023-07-30T00:00:00"/>
    <d v="2023-08-18T00:00:00"/>
    <n v="2"/>
    <n v="59948.52"/>
    <s v="Hypertension"/>
  </r>
  <r>
    <n v="346"/>
    <x v="276"/>
    <x v="74"/>
    <s v="F"/>
    <n v="9"/>
    <d v="2025-10-23T00:00:00"/>
    <d v="2025-11-18T00:00:00"/>
    <n v="1"/>
    <n v="173392.03"/>
    <s v="Diabetes"/>
  </r>
  <r>
    <n v="347"/>
    <x v="277"/>
    <x v="23"/>
    <s v="M"/>
    <n v="3"/>
    <d v="2023-05-27T00:00:00"/>
    <d v="2023-05-31T00:00:00"/>
    <n v="3"/>
    <n v="149555.51999999999"/>
    <s v="Asthma"/>
  </r>
  <r>
    <n v="348"/>
    <x v="278"/>
    <x v="45"/>
    <s v="F"/>
    <n v="7"/>
    <d v="2024-02-08T00:00:00"/>
    <d v="2024-02-22T00:00:00"/>
    <n v="1"/>
    <n v="143541.26"/>
    <s v="Diabetes"/>
  </r>
  <r>
    <n v="349"/>
    <x v="192"/>
    <x v="26"/>
    <s v="F"/>
    <n v="6"/>
    <d v="2024-07-20T00:00:00"/>
    <d v="2024-08-19T00:00:00"/>
    <n v="2"/>
    <n v="105797.11"/>
    <s v="Hypertension"/>
  </r>
  <r>
    <n v="350"/>
    <x v="279"/>
    <x v="84"/>
    <s v="F"/>
    <n v="2"/>
    <d v="2026-06-18T00:00:00"/>
    <d v="2026-07-05T00:00:00"/>
    <n v="2"/>
    <n v="174342.82"/>
    <s v="Hypertension"/>
  </r>
  <r>
    <n v="351"/>
    <x v="280"/>
    <x v="32"/>
    <s v="F"/>
    <n v="5"/>
    <d v="2023-11-23T00:00:00"/>
    <d v="2023-12-10T00:00:00"/>
    <n v="2"/>
    <n v="102990.22"/>
    <s v="Hypertension"/>
  </r>
  <r>
    <n v="352"/>
    <x v="281"/>
    <x v="7"/>
    <s v="M"/>
    <n v="1"/>
    <d v="2022-07-23T00:00:00"/>
    <d v="2022-08-12T00:00:00"/>
    <n v="4"/>
    <n v="84075.76"/>
    <s v="Pneumonia"/>
  </r>
  <r>
    <n v="353"/>
    <x v="282"/>
    <x v="46"/>
    <s v="F"/>
    <n v="1"/>
    <d v="2024-05-26T00:00:00"/>
    <d v="2024-06-01T00:00:00"/>
    <n v="6"/>
    <n v="163919.78"/>
    <s v="Kidney Disease"/>
  </r>
  <r>
    <n v="354"/>
    <x v="181"/>
    <x v="23"/>
    <s v="M"/>
    <n v="6"/>
    <d v="2023-05-28T00:00:00"/>
    <d v="2023-05-30T00:00:00"/>
    <n v="2"/>
    <n v="162924.54999999999"/>
    <s v="Hypertension"/>
  </r>
  <r>
    <n v="355"/>
    <x v="31"/>
    <x v="88"/>
    <s v="F"/>
    <n v="4"/>
    <d v="2024-05-29T00:00:00"/>
    <d v="2024-06-18T00:00:00"/>
    <n v="1"/>
    <n v="19395.099999999999"/>
    <s v="Diabetes"/>
  </r>
  <r>
    <n v="356"/>
    <x v="280"/>
    <x v="34"/>
    <s v="M"/>
    <n v="10"/>
    <d v="2023-04-09T00:00:00"/>
    <d v="2023-04-25T00:00:00"/>
    <n v="3"/>
    <n v="4148.43"/>
    <s v="Asthma"/>
  </r>
  <r>
    <n v="357"/>
    <x v="15"/>
    <x v="22"/>
    <s v="M"/>
    <n v="8"/>
    <d v="2022-05-26T00:00:00"/>
    <d v="2022-06-02T00:00:00"/>
    <n v="2"/>
    <n v="132210.5"/>
    <s v="Hypertension"/>
  </r>
  <r>
    <n v="358"/>
    <x v="283"/>
    <x v="25"/>
    <s v="F"/>
    <n v="5"/>
    <d v="2022-10-08T00:00:00"/>
    <d v="2022-10-20T00:00:00"/>
    <n v="4"/>
    <n v="136185.51"/>
    <s v="Pneumonia"/>
  </r>
  <r>
    <n v="359"/>
    <x v="284"/>
    <x v="47"/>
    <s v="M"/>
    <n v="10"/>
    <d v="2025-08-24T00:00:00"/>
    <d v="2025-08-29T00:00:00"/>
    <n v="2"/>
    <n v="130731.68"/>
    <s v="Hypertension"/>
  </r>
  <r>
    <n v="360"/>
    <x v="162"/>
    <x v="77"/>
    <s v="F"/>
    <n v="4"/>
    <d v="2022-06-27T00:00:00"/>
    <d v="2022-07-25T00:00:00"/>
    <n v="1"/>
    <n v="136059.1"/>
    <s v="Diabetes"/>
  </r>
  <r>
    <n v="361"/>
    <x v="285"/>
    <x v="39"/>
    <s v="F"/>
    <n v="6"/>
    <d v="2026-06-09T00:00:00"/>
    <d v="2026-06-13T00:00:00"/>
    <n v="1"/>
    <n v="116920.15"/>
    <s v="Diabetes"/>
  </r>
  <r>
    <n v="362"/>
    <x v="236"/>
    <x v="80"/>
    <s v="F"/>
    <n v="1"/>
    <d v="2025-09-10T00:00:00"/>
    <d v="2025-10-08T00:00:00"/>
    <n v="1"/>
    <n v="94400.47"/>
    <s v="Diabetes"/>
  </r>
  <r>
    <n v="363"/>
    <x v="286"/>
    <x v="88"/>
    <s v="F"/>
    <n v="1"/>
    <d v="2026-05-25T00:00:00"/>
    <d v="2026-06-22T00:00:00"/>
    <n v="4"/>
    <n v="44983.040000000001"/>
    <s v="Pneumonia"/>
  </r>
  <r>
    <n v="364"/>
    <x v="4"/>
    <x v="20"/>
    <s v="F"/>
    <n v="10"/>
    <d v="2022-05-26T00:00:00"/>
    <d v="2022-06-11T00:00:00"/>
    <n v="5"/>
    <n v="4641.8900000000003"/>
    <s v="Heart Disease"/>
  </r>
  <r>
    <n v="365"/>
    <x v="287"/>
    <x v="17"/>
    <s v="F"/>
    <n v="10"/>
    <d v="2024-05-11T00:00:00"/>
    <d v="2024-05-22T00:00:00"/>
    <n v="2"/>
    <n v="33166.730000000003"/>
    <s v="Hypertension"/>
  </r>
  <r>
    <n v="366"/>
    <x v="288"/>
    <x v="56"/>
    <s v="M"/>
    <n v="1"/>
    <d v="2023-06-21T00:00:00"/>
    <d v="2023-06-27T00:00:00"/>
    <n v="1"/>
    <n v="13233.22"/>
    <s v="Diabetes"/>
  </r>
  <r>
    <n v="367"/>
    <x v="147"/>
    <x v="44"/>
    <s v="F"/>
    <n v="7"/>
    <d v="2025-12-08T00:00:00"/>
    <d v="2025-12-20T00:00:00"/>
    <n v="1"/>
    <n v="97740.25"/>
    <s v="Diabetes"/>
  </r>
  <r>
    <n v="368"/>
    <x v="289"/>
    <x v="23"/>
    <s v="M"/>
    <n v="5"/>
    <d v="2022-06-11T00:00:00"/>
    <d v="2022-06-27T00:00:00"/>
    <n v="5"/>
    <n v="175440.63"/>
    <s v="Heart Disease"/>
  </r>
  <r>
    <n v="369"/>
    <x v="290"/>
    <x v="85"/>
    <s v="F"/>
    <n v="10"/>
    <d v="2025-07-23T00:00:00"/>
    <d v="2025-08-16T00:00:00"/>
    <n v="4"/>
    <n v="123387.38"/>
    <s v="Pneumonia"/>
  </r>
  <r>
    <n v="370"/>
    <x v="291"/>
    <x v="70"/>
    <s v="F"/>
    <n v="4"/>
    <d v="2022-04-29T00:00:00"/>
    <d v="2022-05-06T00:00:00"/>
    <n v="1"/>
    <n v="79620.84"/>
    <s v="Diabetes"/>
  </r>
  <r>
    <n v="371"/>
    <x v="35"/>
    <x v="41"/>
    <s v="M"/>
    <n v="5"/>
    <d v="2025-09-26T00:00:00"/>
    <d v="2025-10-19T00:00:00"/>
    <n v="3"/>
    <n v="33677.15"/>
    <s v="Asthma"/>
  </r>
  <r>
    <n v="372"/>
    <x v="105"/>
    <x v="70"/>
    <s v="M"/>
    <n v="3"/>
    <d v="2024-10-13T00:00:00"/>
    <d v="2024-11-12T00:00:00"/>
    <n v="1"/>
    <n v="94307.05"/>
    <s v="Diabetes"/>
  </r>
  <r>
    <n v="373"/>
    <x v="47"/>
    <x v="51"/>
    <s v="M"/>
    <n v="5"/>
    <d v="2026-02-10T00:00:00"/>
    <d v="2026-03-10T00:00:00"/>
    <n v="1"/>
    <n v="162231.79"/>
    <s v="Diabetes"/>
  </r>
  <r>
    <n v="374"/>
    <x v="261"/>
    <x v="32"/>
    <s v="M"/>
    <n v="5"/>
    <d v="2025-12-29T00:00:00"/>
    <d v="2026-01-16T00:00:00"/>
    <n v="2"/>
    <n v="90566.19"/>
    <s v="Hypertension"/>
  </r>
  <r>
    <n v="375"/>
    <x v="163"/>
    <x v="16"/>
    <s v="F"/>
    <n v="10"/>
    <d v="2022-12-08T00:00:00"/>
    <d v="2022-12-19T00:00:00"/>
    <n v="1"/>
    <n v="139765.89000000001"/>
    <s v="Diabetes"/>
  </r>
  <r>
    <n v="376"/>
    <x v="220"/>
    <x v="73"/>
    <s v="M"/>
    <n v="1"/>
    <d v="2022-01-26T00:00:00"/>
    <d v="2022-02-02T00:00:00"/>
    <n v="1"/>
    <n v="67105.83"/>
    <s v="Diabetes"/>
  </r>
  <r>
    <n v="377"/>
    <x v="292"/>
    <x v="75"/>
    <s v="F"/>
    <n v="4"/>
    <d v="2023-10-22T00:00:00"/>
    <d v="2023-10-29T00:00:00"/>
    <n v="2"/>
    <n v="130351.11"/>
    <s v="Hypertension"/>
  </r>
  <r>
    <n v="378"/>
    <x v="10"/>
    <x v="74"/>
    <s v="F"/>
    <n v="2"/>
    <d v="2024-10-25T00:00:00"/>
    <d v="2024-11-15T00:00:00"/>
    <n v="5"/>
    <n v="34333.620000000003"/>
    <s v="Heart Disease"/>
  </r>
  <r>
    <n v="379"/>
    <x v="293"/>
    <x v="10"/>
    <s v="M"/>
    <n v="8"/>
    <d v="2023-08-02T00:00:00"/>
    <d v="2023-08-26T00:00:00"/>
    <n v="4"/>
    <n v="60595.91"/>
    <s v="Pneumonia"/>
  </r>
  <r>
    <n v="380"/>
    <x v="294"/>
    <x v="31"/>
    <s v="F"/>
    <n v="4"/>
    <d v="2023-08-21T00:00:00"/>
    <d v="2023-09-08T00:00:00"/>
    <n v="4"/>
    <n v="133774.74"/>
    <s v="Pneumonia"/>
  </r>
  <r>
    <n v="381"/>
    <x v="295"/>
    <x v="51"/>
    <s v="F"/>
    <n v="4"/>
    <d v="2026-02-09T00:00:00"/>
    <d v="2026-03-09T00:00:00"/>
    <n v="2"/>
    <n v="143785.29999999999"/>
    <s v="Hypertension"/>
  </r>
  <r>
    <n v="382"/>
    <x v="296"/>
    <x v="36"/>
    <s v="M"/>
    <n v="4"/>
    <d v="2025-01-14T00:00:00"/>
    <d v="2025-01-25T00:00:00"/>
    <n v="2"/>
    <n v="125589.29"/>
    <s v="Hypertension"/>
  </r>
  <r>
    <n v="383"/>
    <x v="39"/>
    <x v="19"/>
    <s v="F"/>
    <n v="5"/>
    <d v="2022-08-01T00:00:00"/>
    <d v="2022-08-07T00:00:00"/>
    <n v="2"/>
    <n v="44774.75"/>
    <s v="Hypertension"/>
  </r>
  <r>
    <n v="384"/>
    <x v="104"/>
    <x v="45"/>
    <s v="F"/>
    <n v="2"/>
    <d v="2022-03-31T00:00:00"/>
    <d v="2022-04-29T00:00:00"/>
    <n v="1"/>
    <n v="152577"/>
    <s v="Diabetes"/>
  </r>
  <r>
    <n v="385"/>
    <x v="297"/>
    <x v="65"/>
    <s v="M"/>
    <n v="10"/>
    <d v="2022-07-15T00:00:00"/>
    <d v="2022-07-31T00:00:00"/>
    <n v="1"/>
    <n v="148043.41"/>
    <s v="Diabetes"/>
  </r>
  <r>
    <n v="386"/>
    <x v="298"/>
    <x v="27"/>
    <s v="M"/>
    <n v="7"/>
    <d v="2025-09-18T00:00:00"/>
    <d v="2025-10-18T00:00:00"/>
    <n v="1"/>
    <n v="54272.49"/>
    <s v="Diabetes"/>
  </r>
  <r>
    <n v="387"/>
    <x v="299"/>
    <x v="70"/>
    <s v="F"/>
    <n v="6"/>
    <d v="2024-07-16T00:00:00"/>
    <d v="2024-07-24T00:00:00"/>
    <n v="1"/>
    <n v="169980.96"/>
    <s v="Diabetes"/>
  </r>
  <r>
    <n v="388"/>
    <x v="123"/>
    <x v="52"/>
    <s v="M"/>
    <n v="2"/>
    <d v="2022-12-03T00:00:00"/>
    <d v="2022-12-17T00:00:00"/>
    <n v="2"/>
    <n v="74655.98"/>
    <s v="Hypertension"/>
  </r>
  <r>
    <n v="389"/>
    <x v="272"/>
    <x v="79"/>
    <s v="F"/>
    <n v="5"/>
    <d v="2024-08-06T00:00:00"/>
    <d v="2024-08-14T00:00:00"/>
    <n v="5"/>
    <n v="18549.71"/>
    <s v="Heart Disease"/>
  </r>
  <r>
    <n v="390"/>
    <x v="91"/>
    <x v="35"/>
    <s v="M"/>
    <n v="6"/>
    <d v="2022-10-31T00:00:00"/>
    <d v="2022-11-02T00:00:00"/>
    <n v="3"/>
    <n v="174391"/>
    <s v="Asthma"/>
  </r>
  <r>
    <n v="391"/>
    <x v="147"/>
    <x v="66"/>
    <s v="F"/>
    <n v="5"/>
    <d v="2026-08-07T00:00:00"/>
    <d v="2026-08-12T00:00:00"/>
    <n v="1"/>
    <n v="74279.62"/>
    <s v="Diabetes"/>
  </r>
  <r>
    <n v="392"/>
    <x v="300"/>
    <x v="92"/>
    <s v="M"/>
    <n v="2"/>
    <d v="2024-08-04T00:00:00"/>
    <d v="2024-08-07T00:00:00"/>
    <n v="4"/>
    <n v="27313.26"/>
    <s v="Pneumonia"/>
  </r>
  <r>
    <n v="393"/>
    <x v="301"/>
    <x v="59"/>
    <s v="M"/>
    <n v="4"/>
    <d v="2026-08-14T00:00:00"/>
    <d v="2026-08-26T00:00:00"/>
    <n v="2"/>
    <n v="114377.81"/>
    <s v="Hypertension"/>
  </r>
  <r>
    <n v="394"/>
    <x v="302"/>
    <x v="1"/>
    <s v="F"/>
    <n v="2"/>
    <d v="2022-02-14T00:00:00"/>
    <d v="2022-02-16T00:00:00"/>
    <n v="1"/>
    <n v="117162.67"/>
    <s v="Diabetes"/>
  </r>
  <r>
    <n v="395"/>
    <x v="249"/>
    <x v="64"/>
    <s v="M"/>
    <n v="1"/>
    <d v="2024-08-02T00:00:00"/>
    <d v="2024-08-03T00:00:00"/>
    <n v="1"/>
    <n v="104364.45"/>
    <s v="Diabetes"/>
  </r>
  <r>
    <n v="396"/>
    <x v="278"/>
    <x v="67"/>
    <s v="F"/>
    <n v="7"/>
    <d v="2022-12-20T00:00:00"/>
    <d v="2022-12-31T00:00:00"/>
    <n v="1"/>
    <n v="35719.32"/>
    <s v="Diabetes"/>
  </r>
  <r>
    <n v="397"/>
    <x v="303"/>
    <x v="50"/>
    <s v="M"/>
    <n v="10"/>
    <d v="2025-06-22T00:00:00"/>
    <d v="2025-07-11T00:00:00"/>
    <n v="1"/>
    <n v="54881.17"/>
    <s v="Diabetes"/>
  </r>
  <r>
    <n v="398"/>
    <x v="233"/>
    <x v="68"/>
    <s v="M"/>
    <n v="2"/>
    <d v="2023-07-27T00:00:00"/>
    <d v="2023-08-08T00:00:00"/>
    <n v="1"/>
    <n v="37903.760000000002"/>
    <s v="Diabetes"/>
  </r>
  <r>
    <n v="399"/>
    <x v="304"/>
    <x v="11"/>
    <s v="M"/>
    <n v="7"/>
    <d v="2026-05-21T00:00:00"/>
    <d v="2026-06-12T00:00:00"/>
    <n v="2"/>
    <n v="99151.91"/>
    <s v="Hypertension"/>
  </r>
  <r>
    <n v="400"/>
    <x v="305"/>
    <x v="27"/>
    <s v="F"/>
    <n v="7"/>
    <d v="2023-07-08T00:00:00"/>
    <d v="2023-07-13T00:00:00"/>
    <n v="1"/>
    <n v="108488.15"/>
    <s v="Diabetes"/>
  </r>
  <r>
    <n v="401"/>
    <x v="306"/>
    <x v="16"/>
    <s v="F"/>
    <n v="9"/>
    <d v="2024-01-03T00:00:00"/>
    <d v="2024-01-27T00:00:00"/>
    <n v="2"/>
    <n v="43815.28"/>
    <s v="Hypertension"/>
  </r>
  <r>
    <n v="402"/>
    <x v="307"/>
    <x v="30"/>
    <s v="M"/>
    <n v="5"/>
    <d v="2024-12-28T00:00:00"/>
    <d v="2025-01-23T00:00:00"/>
    <n v="4"/>
    <n v="133328.17000000001"/>
    <s v="Pneumonia"/>
  </r>
  <r>
    <n v="403"/>
    <x v="308"/>
    <x v="78"/>
    <s v="F"/>
    <n v="3"/>
    <d v="2022-12-27T00:00:00"/>
    <d v="2023-01-03T00:00:00"/>
    <n v="2"/>
    <n v="145602.32"/>
    <s v="Hypertension"/>
  </r>
  <r>
    <n v="404"/>
    <x v="309"/>
    <x v="67"/>
    <s v="F"/>
    <n v="10"/>
    <d v="2025-02-28T00:00:00"/>
    <d v="2025-03-04T00:00:00"/>
    <n v="2"/>
    <n v="35911.480000000003"/>
    <s v="Hypertension"/>
  </r>
  <r>
    <n v="405"/>
    <x v="268"/>
    <x v="38"/>
    <s v="M"/>
    <n v="8"/>
    <d v="2022-03-19T00:00:00"/>
    <d v="2022-03-21T00:00:00"/>
    <n v="1"/>
    <n v="109295.14"/>
    <s v="Diabetes"/>
  </r>
  <r>
    <n v="406"/>
    <x v="310"/>
    <x v="68"/>
    <s v="M"/>
    <n v="6"/>
    <d v="2025-06-11T00:00:00"/>
    <d v="2025-06-17T00:00:00"/>
    <n v="4"/>
    <n v="62984.73"/>
    <s v="Pneumonia"/>
  </r>
  <r>
    <n v="407"/>
    <x v="311"/>
    <x v="16"/>
    <s v="M"/>
    <n v="3"/>
    <d v="2025-04-16T00:00:00"/>
    <d v="2025-05-08T00:00:00"/>
    <n v="5"/>
    <n v="139950.04999999999"/>
    <s v="Heart Disease"/>
  </r>
  <r>
    <n v="408"/>
    <x v="184"/>
    <x v="34"/>
    <s v="F"/>
    <n v="7"/>
    <d v="2025-04-15T00:00:00"/>
    <d v="2025-04-18T00:00:00"/>
    <n v="1"/>
    <n v="59762.07"/>
    <s v="Diabetes"/>
  </r>
  <r>
    <n v="409"/>
    <x v="3"/>
    <x v="84"/>
    <s v="F"/>
    <n v="6"/>
    <d v="2022-12-23T00:00:00"/>
    <d v="2023-01-14T00:00:00"/>
    <n v="6"/>
    <n v="125606.97"/>
    <s v="Kidney Disease"/>
  </r>
  <r>
    <n v="410"/>
    <x v="312"/>
    <x v="59"/>
    <s v="M"/>
    <n v="7"/>
    <d v="2023-09-21T00:00:00"/>
    <d v="2023-10-14T00:00:00"/>
    <n v="3"/>
    <n v="25104.33"/>
    <s v="Asthma"/>
  </r>
  <r>
    <n v="411"/>
    <x v="313"/>
    <x v="88"/>
    <s v="M"/>
    <n v="3"/>
    <d v="2025-05-18T00:00:00"/>
    <d v="2025-05-28T00:00:00"/>
    <n v="5"/>
    <n v="174236.87"/>
    <s v="Heart Disease"/>
  </r>
  <r>
    <n v="412"/>
    <x v="308"/>
    <x v="52"/>
    <s v="F"/>
    <n v="3"/>
    <d v="2023-11-10T00:00:00"/>
    <d v="2023-12-03T00:00:00"/>
    <n v="1"/>
    <n v="64058.8"/>
    <s v="Diabetes"/>
  </r>
  <r>
    <n v="413"/>
    <x v="314"/>
    <x v="84"/>
    <s v="M"/>
    <n v="6"/>
    <d v="2024-07-03T00:00:00"/>
    <d v="2024-07-03T00:00:00"/>
    <n v="1"/>
    <n v="46793.5"/>
    <s v="Diabetes"/>
  </r>
  <r>
    <n v="414"/>
    <x v="167"/>
    <x v="12"/>
    <s v="M"/>
    <n v="1"/>
    <d v="2022-04-09T00:00:00"/>
    <d v="2022-04-21T00:00:00"/>
    <n v="2"/>
    <n v="76988.45"/>
    <s v="Hypertension"/>
  </r>
  <r>
    <n v="415"/>
    <x v="3"/>
    <x v="90"/>
    <s v="F"/>
    <n v="6"/>
    <d v="2025-01-23T00:00:00"/>
    <d v="2025-02-04T00:00:00"/>
    <n v="1"/>
    <n v="87609.34"/>
    <s v="Diabetes"/>
  </r>
  <r>
    <n v="416"/>
    <x v="315"/>
    <x v="37"/>
    <s v="F"/>
    <n v="2"/>
    <d v="2026-06-25T00:00:00"/>
    <d v="2026-07-22T00:00:00"/>
    <n v="1"/>
    <n v="6063.84"/>
    <s v="Diabetes"/>
  </r>
  <r>
    <n v="417"/>
    <x v="316"/>
    <x v="34"/>
    <s v="F"/>
    <n v="3"/>
    <d v="2024-02-08T00:00:00"/>
    <d v="2024-02-13T00:00:00"/>
    <n v="3"/>
    <n v="99600.71"/>
    <s v="Asthma"/>
  </r>
  <r>
    <n v="418"/>
    <x v="173"/>
    <x v="80"/>
    <s v="F"/>
    <n v="1"/>
    <d v="2024-06-02T00:00:00"/>
    <d v="2024-07-02T00:00:00"/>
    <n v="3"/>
    <n v="110298.88"/>
    <s v="Asthma"/>
  </r>
  <r>
    <n v="419"/>
    <x v="27"/>
    <x v="66"/>
    <s v="M"/>
    <n v="6"/>
    <d v="2023-02-25T00:00:00"/>
    <d v="2023-03-03T00:00:00"/>
    <n v="2"/>
    <n v="100854.96"/>
    <s v="Hypertension"/>
  </r>
  <r>
    <n v="420"/>
    <x v="317"/>
    <x v="43"/>
    <s v="F"/>
    <n v="5"/>
    <d v="2023-05-02T00:00:00"/>
    <d v="2023-05-05T00:00:00"/>
    <n v="1"/>
    <n v="103989.14"/>
    <s v="Diabetes"/>
  </r>
  <r>
    <n v="421"/>
    <x v="258"/>
    <x v="66"/>
    <s v="F"/>
    <n v="1"/>
    <d v="2024-05-25T00:00:00"/>
    <d v="2024-05-27T00:00:00"/>
    <n v="1"/>
    <n v="120008.59"/>
    <s v="Diabetes"/>
  </r>
  <r>
    <n v="422"/>
    <x v="318"/>
    <x v="2"/>
    <s v="M"/>
    <n v="1"/>
    <d v="2023-02-28T00:00:00"/>
    <d v="2023-03-05T00:00:00"/>
    <n v="2"/>
    <n v="175927.74"/>
    <s v="Hypertension"/>
  </r>
  <r>
    <n v="423"/>
    <x v="263"/>
    <x v="38"/>
    <s v="F"/>
    <n v="8"/>
    <d v="2024-09-28T00:00:00"/>
    <d v="2024-10-26T00:00:00"/>
    <n v="3"/>
    <n v="18676.8"/>
    <s v="Asthma"/>
  </r>
  <r>
    <n v="424"/>
    <x v="319"/>
    <x v="63"/>
    <s v="F"/>
    <n v="7"/>
    <d v="2024-01-27T00:00:00"/>
    <d v="2024-02-01T00:00:00"/>
    <n v="2"/>
    <n v="49235.03"/>
    <s v="Hypertension"/>
  </r>
  <r>
    <n v="425"/>
    <x v="67"/>
    <x v="59"/>
    <s v="F"/>
    <n v="10"/>
    <d v="2022-05-07T00:00:00"/>
    <d v="2022-05-11T00:00:00"/>
    <n v="3"/>
    <n v="120975.65"/>
    <s v="Asthma"/>
  </r>
  <r>
    <n v="426"/>
    <x v="250"/>
    <x v="15"/>
    <s v="F"/>
    <n v="10"/>
    <d v="2023-04-11T00:00:00"/>
    <d v="2023-04-28T00:00:00"/>
    <n v="1"/>
    <n v="71211.33"/>
    <s v="Diabetes"/>
  </r>
  <r>
    <n v="427"/>
    <x v="183"/>
    <x v="42"/>
    <s v="F"/>
    <n v="10"/>
    <d v="2023-04-28T00:00:00"/>
    <d v="2023-05-13T00:00:00"/>
    <n v="1"/>
    <n v="72577.77"/>
    <s v="Diabetes"/>
  </r>
  <r>
    <n v="428"/>
    <x v="320"/>
    <x v="74"/>
    <s v="M"/>
    <n v="2"/>
    <d v="2026-03-31T00:00:00"/>
    <d v="2026-04-14T00:00:00"/>
    <n v="1"/>
    <n v="177225.32"/>
    <s v="Diabetes"/>
  </r>
  <r>
    <n v="429"/>
    <x v="275"/>
    <x v="17"/>
    <s v="M"/>
    <n v="7"/>
    <d v="2022-06-10T00:00:00"/>
    <d v="2022-07-01T00:00:00"/>
    <n v="2"/>
    <n v="179515.29"/>
    <s v="Hypertension"/>
  </r>
  <r>
    <n v="430"/>
    <x v="321"/>
    <x v="9"/>
    <s v="F"/>
    <n v="2"/>
    <d v="2022-06-28T00:00:00"/>
    <d v="2022-07-10T00:00:00"/>
    <n v="2"/>
    <n v="100489.62"/>
    <s v="Hypertension"/>
  </r>
  <r>
    <n v="431"/>
    <x v="92"/>
    <x v="65"/>
    <s v="M"/>
    <n v="10"/>
    <d v="2025-04-18T00:00:00"/>
    <d v="2025-05-04T00:00:00"/>
    <n v="4"/>
    <n v="22472.09"/>
    <s v="Pneumonia"/>
  </r>
  <r>
    <n v="432"/>
    <x v="84"/>
    <x v="27"/>
    <s v="M"/>
    <n v="2"/>
    <d v="2025-02-26T00:00:00"/>
    <d v="2025-03-22T00:00:00"/>
    <n v="1"/>
    <n v="53281.48"/>
    <s v="Diabetes"/>
  </r>
  <r>
    <n v="433"/>
    <x v="272"/>
    <x v="36"/>
    <s v="F"/>
    <n v="7"/>
    <d v="2025-09-03T00:00:00"/>
    <d v="2025-09-18T00:00:00"/>
    <n v="2"/>
    <n v="86465.77"/>
    <s v="Hypertension"/>
  </r>
  <r>
    <n v="434"/>
    <x v="125"/>
    <x v="10"/>
    <s v="M"/>
    <n v="10"/>
    <d v="2025-05-31T00:00:00"/>
    <d v="2025-06-21T00:00:00"/>
    <n v="3"/>
    <n v="9383.9"/>
    <s v="Asthma"/>
  </r>
  <r>
    <n v="435"/>
    <x v="322"/>
    <x v="66"/>
    <s v="F"/>
    <n v="5"/>
    <d v="2024-02-02T00:00:00"/>
    <d v="2024-02-02T00:00:00"/>
    <n v="1"/>
    <n v="143373.24"/>
    <s v="Diabetes"/>
  </r>
  <r>
    <n v="436"/>
    <x v="323"/>
    <x v="33"/>
    <s v="M"/>
    <n v="4"/>
    <d v="2022-10-03T00:00:00"/>
    <d v="2022-10-12T00:00:00"/>
    <n v="6"/>
    <n v="81152.13"/>
    <s v="Kidney Disease"/>
  </r>
  <r>
    <n v="437"/>
    <x v="324"/>
    <x v="6"/>
    <s v="F"/>
    <n v="10"/>
    <d v="2025-08-15T00:00:00"/>
    <d v="2025-08-17T00:00:00"/>
    <n v="1"/>
    <n v="40021.81"/>
    <s v="Diabetes"/>
  </r>
  <r>
    <n v="438"/>
    <x v="325"/>
    <x v="28"/>
    <s v="F"/>
    <n v="1"/>
    <d v="2024-11-21T00:00:00"/>
    <d v="2024-12-16T00:00:00"/>
    <n v="1"/>
    <n v="57724.35"/>
    <s v="Diabetes"/>
  </r>
  <r>
    <n v="439"/>
    <x v="326"/>
    <x v="69"/>
    <s v="M"/>
    <n v="3"/>
    <d v="2023-01-30T00:00:00"/>
    <d v="2023-02-27T00:00:00"/>
    <n v="4"/>
    <n v="151063.35999999999"/>
    <s v="Pneumonia"/>
  </r>
  <r>
    <n v="440"/>
    <x v="327"/>
    <x v="65"/>
    <s v="M"/>
    <n v="6"/>
    <d v="2025-12-14T00:00:00"/>
    <d v="2025-12-20T00:00:00"/>
    <n v="1"/>
    <n v="148672.37"/>
    <s v="Diabetes"/>
  </r>
  <r>
    <n v="441"/>
    <x v="326"/>
    <x v="84"/>
    <s v="M"/>
    <n v="1"/>
    <d v="2023-05-11T00:00:00"/>
    <d v="2023-05-22T00:00:00"/>
    <n v="2"/>
    <n v="81683.360000000001"/>
    <s v="Hypertension"/>
  </r>
  <r>
    <n v="442"/>
    <x v="328"/>
    <x v="92"/>
    <s v="F"/>
    <n v="6"/>
    <d v="2022-12-01T00:00:00"/>
    <d v="2022-12-27T00:00:00"/>
    <n v="5"/>
    <n v="135440.6"/>
    <s v="Heart Disease"/>
  </r>
  <r>
    <n v="443"/>
    <x v="329"/>
    <x v="67"/>
    <s v="F"/>
    <n v="1"/>
    <d v="2022-11-30T00:00:00"/>
    <d v="2022-12-27T00:00:00"/>
    <n v="2"/>
    <n v="173772.88"/>
    <s v="Hypertension"/>
  </r>
  <r>
    <n v="444"/>
    <x v="224"/>
    <x v="62"/>
    <s v="M"/>
    <n v="5"/>
    <d v="2025-08-27T00:00:00"/>
    <d v="2025-09-09T00:00:00"/>
    <n v="2"/>
    <n v="155971.81"/>
    <s v="Hypertension"/>
  </r>
  <r>
    <n v="445"/>
    <x v="330"/>
    <x v="17"/>
    <s v="M"/>
    <n v="10"/>
    <d v="2026-06-29T00:00:00"/>
    <d v="2026-06-29T00:00:00"/>
    <n v="1"/>
    <n v="110481.04"/>
    <s v="Diabetes"/>
  </r>
  <r>
    <n v="446"/>
    <x v="323"/>
    <x v="22"/>
    <s v="F"/>
    <n v="6"/>
    <d v="2024-07-29T00:00:00"/>
    <d v="2024-08-06T00:00:00"/>
    <n v="1"/>
    <n v="56130.75"/>
    <s v="Diabetes"/>
  </r>
  <r>
    <n v="447"/>
    <x v="331"/>
    <x v="88"/>
    <s v="M"/>
    <n v="1"/>
    <d v="2024-11-13T00:00:00"/>
    <d v="2024-12-04T00:00:00"/>
    <n v="6"/>
    <n v="151489.67000000001"/>
    <s v="Kidney Disease"/>
  </r>
  <r>
    <n v="448"/>
    <x v="332"/>
    <x v="41"/>
    <s v="F"/>
    <n v="5"/>
    <d v="2025-11-02T00:00:00"/>
    <d v="2025-11-05T00:00:00"/>
    <n v="2"/>
    <n v="62190.35"/>
    <s v="Hypertension"/>
  </r>
  <r>
    <n v="449"/>
    <x v="333"/>
    <x v="23"/>
    <s v="F"/>
    <n v="5"/>
    <d v="2023-01-21T00:00:00"/>
    <d v="2023-01-25T00:00:00"/>
    <n v="2"/>
    <n v="45153.62"/>
    <s v="Hypertension"/>
  </r>
  <r>
    <n v="450"/>
    <x v="334"/>
    <x v="10"/>
    <s v="F"/>
    <n v="3"/>
    <d v="2026-01-17T00:00:00"/>
    <d v="2026-01-17T00:00:00"/>
    <n v="3"/>
    <n v="179550.77"/>
    <s v="Asthma"/>
  </r>
  <r>
    <n v="451"/>
    <x v="335"/>
    <x v="10"/>
    <s v="F"/>
    <n v="1"/>
    <d v="2025-04-09T00:00:00"/>
    <d v="2025-05-01T00:00:00"/>
    <n v="6"/>
    <n v="147342.60999999999"/>
    <s v="Kidney Disease"/>
  </r>
  <r>
    <n v="452"/>
    <x v="322"/>
    <x v="7"/>
    <s v="F"/>
    <n v="6"/>
    <d v="2024-11-04T00:00:00"/>
    <d v="2024-11-13T00:00:00"/>
    <n v="4"/>
    <n v="151713.37"/>
    <s v="Pneumonia"/>
  </r>
  <r>
    <n v="453"/>
    <x v="336"/>
    <x v="13"/>
    <s v="M"/>
    <n v="8"/>
    <d v="2022-09-20T00:00:00"/>
    <d v="2022-10-13T00:00:00"/>
    <n v="1"/>
    <n v="145981.04"/>
    <s v="Diabetes"/>
  </r>
  <r>
    <n v="454"/>
    <x v="311"/>
    <x v="24"/>
    <s v="M"/>
    <n v="4"/>
    <d v="2023-12-29T00:00:00"/>
    <d v="2024-01-05T00:00:00"/>
    <n v="3"/>
    <n v="57007.64"/>
    <s v="Asthma"/>
  </r>
  <r>
    <n v="455"/>
    <x v="137"/>
    <x v="9"/>
    <s v="F"/>
    <n v="8"/>
    <d v="2022-08-30T00:00:00"/>
    <d v="2022-09-14T00:00:00"/>
    <n v="1"/>
    <n v="115105.42"/>
    <s v="Diabetes"/>
  </r>
  <r>
    <n v="456"/>
    <x v="337"/>
    <x v="34"/>
    <s v="F"/>
    <n v="4"/>
    <d v="2024-10-21T00:00:00"/>
    <d v="2024-10-24T00:00:00"/>
    <n v="5"/>
    <n v="70246.289999999994"/>
    <s v="Heart Disease"/>
  </r>
  <r>
    <n v="457"/>
    <x v="338"/>
    <x v="66"/>
    <s v="M"/>
    <n v="3"/>
    <d v="2023-02-15T00:00:00"/>
    <d v="2023-02-25T00:00:00"/>
    <n v="2"/>
    <n v="103569.14"/>
    <s v="Hypertension"/>
  </r>
  <r>
    <n v="458"/>
    <x v="11"/>
    <x v="25"/>
    <s v="M"/>
    <n v="2"/>
    <d v="2024-09-25T00:00:00"/>
    <d v="2024-10-05T00:00:00"/>
    <n v="2"/>
    <n v="33886.31"/>
    <s v="Hypertension"/>
  </r>
  <r>
    <n v="459"/>
    <x v="339"/>
    <x v="89"/>
    <s v="F"/>
    <n v="4"/>
    <d v="2026-04-08T00:00:00"/>
    <d v="2026-05-02T00:00:00"/>
    <n v="1"/>
    <n v="138195.85999999999"/>
    <s v="Diabetes"/>
  </r>
  <r>
    <n v="460"/>
    <x v="340"/>
    <x v="17"/>
    <s v="F"/>
    <n v="7"/>
    <d v="2024-04-06T00:00:00"/>
    <d v="2024-04-19T00:00:00"/>
    <n v="6"/>
    <n v="70538.66"/>
    <s v="Kidney Disease"/>
  </r>
  <r>
    <n v="461"/>
    <x v="341"/>
    <x v="2"/>
    <s v="F"/>
    <n v="1"/>
    <d v="2023-10-22T00:00:00"/>
    <d v="2023-11-15T00:00:00"/>
    <n v="4"/>
    <n v="36327.370000000003"/>
    <s v="Pneumonia"/>
  </r>
  <r>
    <n v="462"/>
    <x v="342"/>
    <x v="59"/>
    <s v="F"/>
    <n v="5"/>
    <d v="2022-09-22T00:00:00"/>
    <d v="2022-09-25T00:00:00"/>
    <n v="2"/>
    <n v="106989.05"/>
    <s v="Hypertension"/>
  </r>
  <r>
    <n v="463"/>
    <x v="53"/>
    <x v="35"/>
    <s v="F"/>
    <n v="5"/>
    <d v="2024-07-22T00:00:00"/>
    <d v="2024-08-14T00:00:00"/>
    <n v="2"/>
    <n v="95530.880000000005"/>
    <s v="Hypertension"/>
  </r>
  <r>
    <n v="464"/>
    <x v="41"/>
    <x v="3"/>
    <s v="F"/>
    <n v="6"/>
    <d v="2026-03-17T00:00:00"/>
    <d v="2026-03-23T00:00:00"/>
    <n v="1"/>
    <n v="163473.73000000001"/>
    <s v="Diabetes"/>
  </r>
  <r>
    <n v="465"/>
    <x v="343"/>
    <x v="73"/>
    <s v="M"/>
    <n v="3"/>
    <d v="2023-03-09T00:00:00"/>
    <d v="2023-04-01T00:00:00"/>
    <n v="1"/>
    <n v="92072.46"/>
    <s v="Diabetes"/>
  </r>
  <r>
    <n v="466"/>
    <x v="344"/>
    <x v="81"/>
    <s v="M"/>
    <n v="7"/>
    <d v="2025-08-04T00:00:00"/>
    <d v="2025-08-12T00:00:00"/>
    <n v="4"/>
    <n v="113106.42"/>
    <s v="Pneumonia"/>
  </r>
  <r>
    <n v="467"/>
    <x v="345"/>
    <x v="43"/>
    <s v="M"/>
    <n v="1"/>
    <d v="2022-04-09T00:00:00"/>
    <d v="2022-05-01T00:00:00"/>
    <n v="1"/>
    <n v="81365.789999999994"/>
    <s v="Diabetes"/>
  </r>
  <r>
    <n v="468"/>
    <x v="346"/>
    <x v="12"/>
    <s v="F"/>
    <n v="3"/>
    <d v="2023-02-25T00:00:00"/>
    <d v="2023-03-19T00:00:00"/>
    <n v="3"/>
    <n v="4151.5600000000004"/>
    <s v="Asthma"/>
  </r>
  <r>
    <n v="469"/>
    <x v="119"/>
    <x v="43"/>
    <s v="F"/>
    <n v="10"/>
    <d v="2025-05-25T00:00:00"/>
    <d v="2025-06-16T00:00:00"/>
    <n v="1"/>
    <n v="149940.85999999999"/>
    <s v="Diabetes"/>
  </r>
  <r>
    <n v="470"/>
    <x v="159"/>
    <x v="48"/>
    <s v="M"/>
    <n v="5"/>
    <d v="2022-08-22T00:00:00"/>
    <d v="2022-09-16T00:00:00"/>
    <n v="1"/>
    <n v="37759.78"/>
    <s v="Diabetes"/>
  </r>
  <r>
    <n v="471"/>
    <x v="347"/>
    <x v="28"/>
    <s v="M"/>
    <n v="6"/>
    <d v="2025-12-11T00:00:00"/>
    <d v="2025-12-24T00:00:00"/>
    <n v="1"/>
    <n v="9494.51"/>
    <s v="Diabetes"/>
  </r>
  <r>
    <n v="472"/>
    <x v="348"/>
    <x v="61"/>
    <s v="F"/>
    <n v="6"/>
    <d v="2023-04-26T00:00:00"/>
    <d v="2023-04-26T00:00:00"/>
    <n v="1"/>
    <n v="18298"/>
    <s v="Diabetes"/>
  </r>
  <r>
    <n v="473"/>
    <x v="70"/>
    <x v="29"/>
    <s v="F"/>
    <n v="3"/>
    <d v="2022-07-04T00:00:00"/>
    <d v="2022-07-28T00:00:00"/>
    <n v="2"/>
    <n v="130932.54"/>
    <s v="Hypertension"/>
  </r>
  <r>
    <n v="474"/>
    <x v="349"/>
    <x v="87"/>
    <s v="M"/>
    <n v="8"/>
    <d v="2023-08-30T00:00:00"/>
    <d v="2023-09-07T00:00:00"/>
    <n v="2"/>
    <n v="20216.080000000002"/>
    <s v="Hypertension"/>
  </r>
  <r>
    <n v="475"/>
    <x v="350"/>
    <x v="13"/>
    <s v="F"/>
    <n v="6"/>
    <d v="2024-05-22T00:00:00"/>
    <d v="2024-06-14T00:00:00"/>
    <n v="1"/>
    <n v="153596.15"/>
    <s v="Diabetes"/>
  </r>
  <r>
    <n v="476"/>
    <x v="351"/>
    <x v="69"/>
    <s v="M"/>
    <n v="6"/>
    <d v="2024-01-03T00:00:00"/>
    <d v="2024-01-31T00:00:00"/>
    <n v="2"/>
    <n v="112870.75"/>
    <s v="Hypertension"/>
  </r>
  <r>
    <n v="477"/>
    <x v="250"/>
    <x v="3"/>
    <s v="M"/>
    <n v="2"/>
    <d v="2024-03-31T00:00:00"/>
    <d v="2024-04-12T00:00:00"/>
    <n v="6"/>
    <n v="50750.37"/>
    <s v="Kidney Disease"/>
  </r>
  <r>
    <n v="478"/>
    <x v="352"/>
    <x v="53"/>
    <s v="M"/>
    <n v="2"/>
    <d v="2022-09-29T00:00:00"/>
    <d v="2022-10-21T00:00:00"/>
    <n v="3"/>
    <n v="176728.53"/>
    <s v="Asthma"/>
  </r>
  <r>
    <n v="479"/>
    <x v="307"/>
    <x v="53"/>
    <s v="F"/>
    <n v="10"/>
    <d v="2025-10-21T00:00:00"/>
    <d v="2025-11-04T00:00:00"/>
    <n v="1"/>
    <n v="69905.759999999995"/>
    <s v="Diabetes"/>
  </r>
  <r>
    <n v="480"/>
    <x v="353"/>
    <x v="67"/>
    <s v="M"/>
    <n v="8"/>
    <d v="2024-09-26T00:00:00"/>
    <d v="2024-09-29T00:00:00"/>
    <n v="5"/>
    <n v="80722.100000000006"/>
    <s v="Heart Disease"/>
  </r>
  <r>
    <n v="481"/>
    <x v="46"/>
    <x v="24"/>
    <s v="F"/>
    <n v="1"/>
    <d v="2025-12-13T00:00:00"/>
    <d v="2026-01-09T00:00:00"/>
    <n v="3"/>
    <n v="138736.35"/>
    <s v="Asthma"/>
  </r>
  <r>
    <n v="482"/>
    <x v="24"/>
    <x v="59"/>
    <s v="F"/>
    <n v="9"/>
    <d v="2024-12-07T00:00:00"/>
    <d v="2024-12-29T00:00:00"/>
    <n v="3"/>
    <n v="19405.48"/>
    <s v="Asthma"/>
  </r>
  <r>
    <n v="483"/>
    <x v="238"/>
    <x v="39"/>
    <s v="F"/>
    <n v="3"/>
    <d v="2026-09-15T00:00:00"/>
    <d v="2026-10-11T00:00:00"/>
    <n v="2"/>
    <n v="177833.01"/>
    <s v="Hypertension"/>
  </r>
  <r>
    <n v="484"/>
    <x v="339"/>
    <x v="87"/>
    <s v="M"/>
    <n v="9"/>
    <d v="2024-08-19T00:00:00"/>
    <d v="2024-09-15T00:00:00"/>
    <n v="2"/>
    <n v="31859.19"/>
    <s v="Hypertension"/>
  </r>
  <r>
    <n v="485"/>
    <x v="281"/>
    <x v="20"/>
    <s v="F"/>
    <n v="5"/>
    <d v="2022-04-14T00:00:00"/>
    <d v="2022-04-30T00:00:00"/>
    <n v="1"/>
    <n v="116688.82"/>
    <s v="Diabetes"/>
  </r>
  <r>
    <n v="486"/>
    <x v="354"/>
    <x v="5"/>
    <s v="F"/>
    <n v="8"/>
    <d v="2026-06-29T00:00:00"/>
    <d v="2026-07-17T00:00:00"/>
    <n v="2"/>
    <n v="154544.59"/>
    <s v="Hypertension"/>
  </r>
  <r>
    <n v="487"/>
    <x v="202"/>
    <x v="18"/>
    <s v="F"/>
    <n v="1"/>
    <d v="2022-07-30T00:00:00"/>
    <d v="2022-08-11T00:00:00"/>
    <n v="2"/>
    <n v="101390.75"/>
    <s v="Hypertension"/>
  </r>
  <r>
    <n v="488"/>
    <x v="355"/>
    <x v="41"/>
    <s v="F"/>
    <n v="9"/>
    <d v="2025-02-25T00:00:00"/>
    <d v="2025-03-03T00:00:00"/>
    <n v="3"/>
    <n v="83476.91"/>
    <s v="Asthma"/>
  </r>
  <r>
    <n v="489"/>
    <x v="137"/>
    <x v="66"/>
    <s v="M"/>
    <n v="8"/>
    <d v="2023-11-11T00:00:00"/>
    <d v="2023-11-28T00:00:00"/>
    <n v="3"/>
    <n v="108991.33"/>
    <s v="Asthma"/>
  </r>
  <r>
    <n v="490"/>
    <x v="356"/>
    <x v="58"/>
    <s v="M"/>
    <n v="4"/>
    <d v="2022-01-05T00:00:00"/>
    <d v="2022-01-15T00:00:00"/>
    <n v="2"/>
    <n v="114974.86"/>
    <s v="Hypertension"/>
  </r>
  <r>
    <n v="491"/>
    <x v="51"/>
    <x v="28"/>
    <s v="F"/>
    <n v="2"/>
    <d v="2022-04-04T00:00:00"/>
    <d v="2022-05-02T00:00:00"/>
    <n v="1"/>
    <n v="27429.73"/>
    <s v="Diabetes"/>
  </r>
  <r>
    <n v="492"/>
    <x v="119"/>
    <x v="12"/>
    <s v="M"/>
    <n v="4"/>
    <d v="2022-09-05T00:00:00"/>
    <d v="2022-10-04T00:00:00"/>
    <n v="5"/>
    <n v="40767.14"/>
    <s v="Heart Disease"/>
  </r>
  <r>
    <n v="493"/>
    <x v="357"/>
    <x v="52"/>
    <s v="F"/>
    <n v="1"/>
    <d v="2025-07-20T00:00:00"/>
    <d v="2025-08-15T00:00:00"/>
    <n v="3"/>
    <n v="24371.41"/>
    <s v="Asthma"/>
  </r>
  <r>
    <n v="494"/>
    <x v="358"/>
    <x v="43"/>
    <s v="M"/>
    <n v="8"/>
    <d v="2022-01-09T00:00:00"/>
    <d v="2022-01-25T00:00:00"/>
    <n v="3"/>
    <n v="100697.67"/>
    <s v="Asthma"/>
  </r>
  <r>
    <n v="495"/>
    <x v="12"/>
    <x v="68"/>
    <s v="M"/>
    <n v="10"/>
    <d v="2022-12-22T00:00:00"/>
    <d v="2023-01-14T00:00:00"/>
    <n v="4"/>
    <n v="20880.830000000002"/>
    <s v="Pneumonia"/>
  </r>
  <r>
    <n v="496"/>
    <x v="85"/>
    <x v="85"/>
    <s v="F"/>
    <n v="7"/>
    <d v="2025-06-01T00:00:00"/>
    <d v="2025-06-30T00:00:00"/>
    <n v="3"/>
    <n v="46562.39"/>
    <s v="Asthma"/>
  </r>
  <r>
    <n v="497"/>
    <x v="255"/>
    <x v="13"/>
    <s v="F"/>
    <n v="3"/>
    <d v="2022-10-10T00:00:00"/>
    <d v="2022-10-23T00:00:00"/>
    <n v="2"/>
    <n v="159842.54"/>
    <s v="Hypertension"/>
  </r>
  <r>
    <n v="498"/>
    <x v="228"/>
    <x v="70"/>
    <s v="F"/>
    <n v="9"/>
    <d v="2025-07-19T00:00:00"/>
    <d v="2025-07-25T00:00:00"/>
    <n v="1"/>
    <n v="113289.75"/>
    <s v="Diabetes"/>
  </r>
  <r>
    <n v="499"/>
    <x v="359"/>
    <x v="62"/>
    <s v="M"/>
    <n v="3"/>
    <d v="2024-10-28T00:00:00"/>
    <d v="2024-11-14T00:00:00"/>
    <n v="3"/>
    <n v="59722.7"/>
    <s v="Asthma"/>
  </r>
  <r>
    <n v="500"/>
    <x v="344"/>
    <x v="82"/>
    <s v="F"/>
    <n v="10"/>
    <d v="2025-03-14T00:00:00"/>
    <d v="2025-04-13T00:00:00"/>
    <n v="3"/>
    <n v="76602.33"/>
    <s v="Asthma"/>
  </r>
  <r>
    <n v="501"/>
    <x v="188"/>
    <x v="22"/>
    <s v="M"/>
    <n v="9"/>
    <d v="2022-08-07T00:00:00"/>
    <d v="2022-08-07T00:00:00"/>
    <n v="2"/>
    <n v="11919.04"/>
    <s v="Hypertension"/>
  </r>
  <r>
    <n v="502"/>
    <x v="360"/>
    <x v="32"/>
    <s v="M"/>
    <n v="5"/>
    <d v="2025-10-31T00:00:00"/>
    <d v="2025-11-08T00:00:00"/>
    <n v="1"/>
    <n v="13510.83"/>
    <s v="Diabetes"/>
  </r>
  <r>
    <n v="503"/>
    <x v="361"/>
    <x v="15"/>
    <s v="M"/>
    <n v="6"/>
    <d v="2026-07-26T00:00:00"/>
    <d v="2026-08-09T00:00:00"/>
    <n v="1"/>
    <n v="156576.28"/>
    <s v="Diabetes"/>
  </r>
  <r>
    <n v="504"/>
    <x v="9"/>
    <x v="87"/>
    <s v="F"/>
    <n v="4"/>
    <d v="2024-11-12T00:00:00"/>
    <d v="2024-12-07T00:00:00"/>
    <n v="4"/>
    <n v="126062.81"/>
    <s v="Pneumonia"/>
  </r>
  <r>
    <n v="505"/>
    <x v="362"/>
    <x v="78"/>
    <s v="F"/>
    <n v="6"/>
    <d v="2025-02-04T00:00:00"/>
    <d v="2025-02-05T00:00:00"/>
    <n v="1"/>
    <n v="47113.05"/>
    <s v="Diabetes"/>
  </r>
  <r>
    <n v="506"/>
    <x v="146"/>
    <x v="59"/>
    <s v="F"/>
    <n v="10"/>
    <d v="2025-01-24T00:00:00"/>
    <d v="2025-02-16T00:00:00"/>
    <n v="2"/>
    <n v="140266.04999999999"/>
    <s v="Hypertension"/>
  </r>
  <r>
    <n v="507"/>
    <x v="210"/>
    <x v="89"/>
    <s v="M"/>
    <n v="2"/>
    <d v="2023-01-18T00:00:00"/>
    <d v="2023-02-17T00:00:00"/>
    <n v="1"/>
    <n v="93707.82"/>
    <s v="Diabetes"/>
  </r>
  <r>
    <n v="508"/>
    <x v="363"/>
    <x v="22"/>
    <s v="F"/>
    <n v="9"/>
    <d v="2023-06-26T00:00:00"/>
    <d v="2023-06-30T00:00:00"/>
    <n v="1"/>
    <n v="152667.51999999999"/>
    <s v="Diabetes"/>
  </r>
  <r>
    <n v="509"/>
    <x v="39"/>
    <x v="55"/>
    <s v="M"/>
    <n v="1"/>
    <d v="2022-11-11T00:00:00"/>
    <d v="2022-12-10T00:00:00"/>
    <n v="1"/>
    <n v="11526.84"/>
    <s v="Diabetes"/>
  </r>
  <r>
    <n v="510"/>
    <x v="364"/>
    <x v="33"/>
    <s v="F"/>
    <n v="2"/>
    <d v="2026-05-25T00:00:00"/>
    <d v="2026-06-16T00:00:00"/>
    <n v="1"/>
    <n v="41543.26"/>
    <s v="Diabetes"/>
  </r>
  <r>
    <n v="511"/>
    <x v="365"/>
    <x v="47"/>
    <s v="M"/>
    <n v="7"/>
    <d v="2025-01-17T00:00:00"/>
    <d v="2025-02-03T00:00:00"/>
    <n v="2"/>
    <n v="64519.02"/>
    <s v="Hypertension"/>
  </r>
  <r>
    <n v="512"/>
    <x v="158"/>
    <x v="64"/>
    <s v="F"/>
    <n v="5"/>
    <d v="2023-03-24T00:00:00"/>
    <d v="2023-04-23T00:00:00"/>
    <n v="3"/>
    <n v="96663.55"/>
    <s v="Asthma"/>
  </r>
  <r>
    <n v="513"/>
    <x v="136"/>
    <x v="58"/>
    <s v="F"/>
    <n v="8"/>
    <d v="2023-05-08T00:00:00"/>
    <d v="2023-06-05T00:00:00"/>
    <n v="2"/>
    <n v="165552.79999999999"/>
    <s v="Hypertension"/>
  </r>
  <r>
    <n v="514"/>
    <x v="327"/>
    <x v="7"/>
    <s v="F"/>
    <n v="7"/>
    <d v="2026-06-19T00:00:00"/>
    <d v="2026-07-19T00:00:00"/>
    <n v="1"/>
    <n v="48044.82"/>
    <s v="Diabetes"/>
  </r>
  <r>
    <n v="515"/>
    <x v="366"/>
    <x v="28"/>
    <s v="F"/>
    <n v="9"/>
    <d v="2026-07-03T00:00:00"/>
    <d v="2026-07-19T00:00:00"/>
    <n v="2"/>
    <n v="10283.67"/>
    <s v="Hypertension"/>
  </r>
  <r>
    <n v="516"/>
    <x v="357"/>
    <x v="26"/>
    <s v="M"/>
    <n v="2"/>
    <d v="2022-12-09T00:00:00"/>
    <d v="2023-01-08T00:00:00"/>
    <n v="4"/>
    <n v="97144.03"/>
    <s v="Pneumonia"/>
  </r>
  <r>
    <n v="517"/>
    <x v="234"/>
    <x v="29"/>
    <s v="M"/>
    <n v="7"/>
    <d v="2026-09-08T00:00:00"/>
    <d v="2026-09-11T00:00:00"/>
    <n v="1"/>
    <n v="149602.89000000001"/>
    <s v="Diabetes"/>
  </r>
  <r>
    <n v="518"/>
    <x v="367"/>
    <x v="7"/>
    <s v="M"/>
    <n v="1"/>
    <d v="2024-07-29T00:00:00"/>
    <d v="2024-08-20T00:00:00"/>
    <n v="1"/>
    <n v="18034.96"/>
    <s v="Diabetes"/>
  </r>
  <r>
    <n v="519"/>
    <x v="368"/>
    <x v="12"/>
    <s v="M"/>
    <n v="10"/>
    <d v="2026-08-10T00:00:00"/>
    <d v="2026-08-17T00:00:00"/>
    <n v="5"/>
    <n v="74854.820000000007"/>
    <s v="Heart Disease"/>
  </r>
  <r>
    <n v="520"/>
    <x v="369"/>
    <x v="54"/>
    <s v="F"/>
    <n v="1"/>
    <d v="2024-03-08T00:00:00"/>
    <d v="2024-03-29T00:00:00"/>
    <n v="1"/>
    <n v="3547.06"/>
    <s v="Diabetes"/>
  </r>
  <r>
    <n v="521"/>
    <x v="370"/>
    <x v="40"/>
    <s v="M"/>
    <n v="2"/>
    <d v="2024-01-03T00:00:00"/>
    <d v="2024-02-01T00:00:00"/>
    <n v="2"/>
    <n v="53946"/>
    <s v="Hypertension"/>
  </r>
  <r>
    <n v="522"/>
    <x v="91"/>
    <x v="86"/>
    <s v="F"/>
    <n v="8"/>
    <d v="2024-02-21T00:00:00"/>
    <d v="2024-03-04T00:00:00"/>
    <n v="4"/>
    <n v="7970.4"/>
    <s v="Pneumonia"/>
  </r>
  <r>
    <n v="523"/>
    <x v="8"/>
    <x v="59"/>
    <s v="M"/>
    <n v="7"/>
    <d v="2026-06-20T00:00:00"/>
    <d v="2026-07-15T00:00:00"/>
    <n v="4"/>
    <n v="54858.68"/>
    <s v="Pneumonia"/>
  </r>
  <r>
    <n v="524"/>
    <x v="371"/>
    <x v="62"/>
    <s v="F"/>
    <n v="1"/>
    <d v="2025-02-07T00:00:00"/>
    <d v="2025-03-06T00:00:00"/>
    <n v="2"/>
    <n v="24374.240000000002"/>
    <s v="Hypertension"/>
  </r>
  <r>
    <n v="525"/>
    <x v="313"/>
    <x v="80"/>
    <s v="F"/>
    <n v="9"/>
    <d v="2025-01-26T00:00:00"/>
    <d v="2025-02-25T00:00:00"/>
    <n v="1"/>
    <n v="39784.39"/>
    <s v="Diabetes"/>
  </r>
  <r>
    <n v="526"/>
    <x v="372"/>
    <x v="36"/>
    <s v="M"/>
    <n v="3"/>
    <d v="2023-01-12T00:00:00"/>
    <d v="2023-01-19T00:00:00"/>
    <n v="2"/>
    <n v="47361.67"/>
    <s v="Hypertension"/>
  </r>
  <r>
    <n v="527"/>
    <x v="282"/>
    <x v="29"/>
    <s v="M"/>
    <n v="9"/>
    <d v="2024-08-02T00:00:00"/>
    <d v="2024-08-22T00:00:00"/>
    <n v="2"/>
    <n v="54090.85"/>
    <s v="Hypertension"/>
  </r>
  <r>
    <n v="528"/>
    <x v="46"/>
    <x v="72"/>
    <s v="M"/>
    <n v="10"/>
    <d v="2024-09-24T00:00:00"/>
    <d v="2024-10-24T00:00:00"/>
    <n v="1"/>
    <n v="25258.19"/>
    <s v="Diabetes"/>
  </r>
  <r>
    <n v="529"/>
    <x v="42"/>
    <x v="44"/>
    <s v="M"/>
    <n v="4"/>
    <d v="2023-10-13T00:00:00"/>
    <d v="2023-10-28T00:00:00"/>
    <n v="2"/>
    <n v="111900.78"/>
    <s v="Hypertension"/>
  </r>
  <r>
    <n v="530"/>
    <x v="86"/>
    <x v="50"/>
    <s v="F"/>
    <n v="6"/>
    <d v="2024-05-27T00:00:00"/>
    <d v="2024-06-01T00:00:00"/>
    <n v="1"/>
    <n v="46196.09"/>
    <s v="Diabetes"/>
  </r>
  <r>
    <n v="531"/>
    <x v="130"/>
    <x v="23"/>
    <s v="F"/>
    <n v="3"/>
    <d v="2025-10-23T00:00:00"/>
    <d v="2025-11-15T00:00:00"/>
    <n v="1"/>
    <n v="87691.83"/>
    <s v="Diabetes"/>
  </r>
  <r>
    <n v="532"/>
    <x v="174"/>
    <x v="38"/>
    <s v="F"/>
    <n v="9"/>
    <d v="2022-08-11T00:00:00"/>
    <d v="2022-08-16T00:00:00"/>
    <n v="2"/>
    <n v="17050.330000000002"/>
    <s v="Hypertension"/>
  </r>
  <r>
    <n v="533"/>
    <x v="373"/>
    <x v="42"/>
    <s v="M"/>
    <n v="5"/>
    <d v="2026-02-11T00:00:00"/>
    <d v="2026-03-11T00:00:00"/>
    <n v="2"/>
    <n v="131618"/>
    <s v="Hypertension"/>
  </r>
  <r>
    <n v="534"/>
    <x v="310"/>
    <x v="11"/>
    <s v="M"/>
    <n v="10"/>
    <d v="2025-03-31T00:00:00"/>
    <d v="2025-04-12T00:00:00"/>
    <n v="3"/>
    <n v="40265.019999999997"/>
    <s v="Asthma"/>
  </r>
  <r>
    <n v="535"/>
    <x v="341"/>
    <x v="9"/>
    <s v="F"/>
    <n v="3"/>
    <d v="2024-01-20T00:00:00"/>
    <d v="2024-02-01T00:00:00"/>
    <n v="1"/>
    <n v="139555.71"/>
    <s v="Diabetes"/>
  </r>
  <r>
    <n v="536"/>
    <x v="374"/>
    <x v="55"/>
    <s v="M"/>
    <n v="7"/>
    <d v="2024-01-16T00:00:00"/>
    <d v="2024-02-01T00:00:00"/>
    <n v="1"/>
    <n v="44901.34"/>
    <s v="Diabetes"/>
  </r>
  <r>
    <n v="537"/>
    <x v="375"/>
    <x v="26"/>
    <s v="M"/>
    <n v="8"/>
    <d v="2022-11-23T00:00:00"/>
    <d v="2022-11-28T00:00:00"/>
    <n v="2"/>
    <n v="102931.72"/>
    <s v="Hypertension"/>
  </r>
  <r>
    <n v="538"/>
    <x v="376"/>
    <x v="4"/>
    <s v="M"/>
    <n v="4"/>
    <d v="2026-04-09T00:00:00"/>
    <d v="2026-04-24T00:00:00"/>
    <n v="1"/>
    <n v="49423.39"/>
    <s v="Diabetes"/>
  </r>
  <r>
    <n v="539"/>
    <x v="200"/>
    <x v="29"/>
    <s v="M"/>
    <n v="9"/>
    <d v="2026-06-09T00:00:00"/>
    <d v="2026-06-20T00:00:00"/>
    <n v="2"/>
    <n v="165427.6"/>
    <s v="Hypertension"/>
  </r>
  <r>
    <n v="540"/>
    <x v="377"/>
    <x v="24"/>
    <s v="F"/>
    <n v="2"/>
    <d v="2025-12-12T00:00:00"/>
    <d v="2026-01-11T00:00:00"/>
    <n v="2"/>
    <n v="149762.37"/>
    <s v="Hypertension"/>
  </r>
  <r>
    <n v="541"/>
    <x v="117"/>
    <x v="15"/>
    <s v="M"/>
    <n v="7"/>
    <d v="2025-08-31T00:00:00"/>
    <d v="2025-09-12T00:00:00"/>
    <n v="2"/>
    <n v="118467.24"/>
    <s v="Hypertension"/>
  </r>
  <r>
    <n v="542"/>
    <x v="23"/>
    <x v="12"/>
    <s v="F"/>
    <n v="4"/>
    <d v="2024-11-23T00:00:00"/>
    <d v="2024-12-05T00:00:00"/>
    <n v="2"/>
    <n v="156520.20000000001"/>
    <s v="Hypertension"/>
  </r>
  <r>
    <n v="543"/>
    <x v="378"/>
    <x v="41"/>
    <s v="M"/>
    <n v="9"/>
    <d v="2022-10-12T00:00:00"/>
    <d v="2022-10-26T00:00:00"/>
    <n v="1"/>
    <n v="16183.16"/>
    <s v="Diabetes"/>
  </r>
  <r>
    <n v="544"/>
    <x v="379"/>
    <x v="50"/>
    <s v="M"/>
    <n v="3"/>
    <d v="2024-01-12T00:00:00"/>
    <d v="2024-01-31T00:00:00"/>
    <n v="3"/>
    <n v="23503.61"/>
    <s v="Asthma"/>
  </r>
  <r>
    <n v="545"/>
    <x v="130"/>
    <x v="64"/>
    <s v="M"/>
    <n v="8"/>
    <d v="2025-10-14T00:00:00"/>
    <d v="2025-10-29T00:00:00"/>
    <n v="2"/>
    <n v="107365.38"/>
    <s v="Hypertension"/>
  </r>
  <r>
    <n v="546"/>
    <x v="380"/>
    <x v="30"/>
    <s v="M"/>
    <n v="3"/>
    <d v="2025-03-20T00:00:00"/>
    <d v="2025-04-07T00:00:00"/>
    <n v="1"/>
    <n v="114243.43"/>
    <s v="Diabetes"/>
  </r>
  <r>
    <n v="547"/>
    <x v="381"/>
    <x v="45"/>
    <s v="M"/>
    <n v="3"/>
    <d v="2023-06-13T00:00:00"/>
    <d v="2023-07-12T00:00:00"/>
    <n v="1"/>
    <n v="172587.3"/>
    <s v="Diabetes"/>
  </r>
  <r>
    <n v="548"/>
    <x v="382"/>
    <x v="84"/>
    <s v="M"/>
    <n v="5"/>
    <d v="2022-06-25T00:00:00"/>
    <d v="2022-07-01T00:00:00"/>
    <n v="2"/>
    <n v="178717.71"/>
    <s v="Hypertension"/>
  </r>
  <r>
    <n v="549"/>
    <x v="383"/>
    <x v="59"/>
    <s v="F"/>
    <n v="10"/>
    <d v="2022-10-20T00:00:00"/>
    <d v="2022-11-14T00:00:00"/>
    <n v="2"/>
    <n v="138729.49"/>
    <s v="Hypertension"/>
  </r>
  <r>
    <n v="550"/>
    <x v="37"/>
    <x v="9"/>
    <s v="M"/>
    <n v="6"/>
    <d v="2024-07-17T00:00:00"/>
    <d v="2024-08-05T00:00:00"/>
    <n v="2"/>
    <n v="43291.95"/>
    <s v="Hypertension"/>
  </r>
  <r>
    <n v="551"/>
    <x v="201"/>
    <x v="52"/>
    <s v="M"/>
    <n v="4"/>
    <d v="2024-12-06T00:00:00"/>
    <d v="2025-01-02T00:00:00"/>
    <n v="5"/>
    <n v="123975.29"/>
    <s v="Heart Disease"/>
  </r>
  <r>
    <n v="552"/>
    <x v="321"/>
    <x v="72"/>
    <s v="M"/>
    <n v="8"/>
    <d v="2025-06-13T00:00:00"/>
    <d v="2025-07-02T00:00:00"/>
    <n v="1"/>
    <n v="141636.60999999999"/>
    <s v="Diabetes"/>
  </r>
  <r>
    <n v="553"/>
    <x v="141"/>
    <x v="86"/>
    <s v="F"/>
    <n v="3"/>
    <d v="2025-05-20T00:00:00"/>
    <d v="2025-06-06T00:00:00"/>
    <n v="4"/>
    <n v="161711.99"/>
    <s v="Pneumonia"/>
  </r>
  <r>
    <n v="554"/>
    <x v="215"/>
    <x v="53"/>
    <s v="F"/>
    <n v="1"/>
    <d v="2025-11-29T00:00:00"/>
    <d v="2025-12-15T00:00:00"/>
    <n v="2"/>
    <n v="169069.84"/>
    <s v="Hypertension"/>
  </r>
  <r>
    <n v="555"/>
    <x v="384"/>
    <x v="39"/>
    <s v="M"/>
    <n v="7"/>
    <d v="2022-10-02T00:00:00"/>
    <d v="2022-10-10T00:00:00"/>
    <n v="2"/>
    <n v="43771.040000000001"/>
    <s v="Hypertension"/>
  </r>
  <r>
    <n v="556"/>
    <x v="329"/>
    <x v="80"/>
    <s v="F"/>
    <n v="5"/>
    <d v="2023-01-23T00:00:00"/>
    <d v="2023-01-23T00:00:00"/>
    <n v="3"/>
    <n v="142622.49"/>
    <s v="Asthma"/>
  </r>
  <r>
    <n v="557"/>
    <x v="385"/>
    <x v="18"/>
    <s v="M"/>
    <n v="7"/>
    <d v="2025-09-02T00:00:00"/>
    <d v="2025-09-08T00:00:00"/>
    <n v="3"/>
    <n v="58572.55"/>
    <s v="Asthma"/>
  </r>
  <r>
    <n v="558"/>
    <x v="386"/>
    <x v="50"/>
    <s v="F"/>
    <n v="10"/>
    <d v="2023-06-04T00:00:00"/>
    <d v="2023-06-12T00:00:00"/>
    <n v="5"/>
    <n v="77682.17"/>
    <s v="Heart Disease"/>
  </r>
  <r>
    <n v="559"/>
    <x v="387"/>
    <x v="23"/>
    <s v="F"/>
    <n v="4"/>
    <d v="2024-04-26T00:00:00"/>
    <d v="2024-05-13T00:00:00"/>
    <n v="4"/>
    <n v="88138.03"/>
    <s v="Pneumonia"/>
  </r>
  <r>
    <n v="560"/>
    <x v="388"/>
    <x v="82"/>
    <s v="F"/>
    <n v="5"/>
    <d v="2023-09-21T00:00:00"/>
    <d v="2023-10-09T00:00:00"/>
    <n v="1"/>
    <n v="127725.29"/>
    <s v="Diabetes"/>
  </r>
  <r>
    <n v="561"/>
    <x v="389"/>
    <x v="73"/>
    <s v="F"/>
    <n v="3"/>
    <d v="2022-07-25T00:00:00"/>
    <d v="2022-07-31T00:00:00"/>
    <n v="2"/>
    <n v="142029.4"/>
    <s v="Hypertension"/>
  </r>
  <r>
    <n v="562"/>
    <x v="332"/>
    <x v="70"/>
    <s v="M"/>
    <n v="3"/>
    <d v="2024-03-07T00:00:00"/>
    <d v="2024-04-06T00:00:00"/>
    <n v="2"/>
    <n v="145275.56"/>
    <s v="Hypertension"/>
  </r>
  <r>
    <n v="563"/>
    <x v="376"/>
    <x v="80"/>
    <s v="F"/>
    <n v="2"/>
    <d v="2022-05-12T00:00:00"/>
    <d v="2022-05-20T00:00:00"/>
    <n v="1"/>
    <n v="16707.05"/>
    <s v="Diabetes"/>
  </r>
  <r>
    <n v="564"/>
    <x v="227"/>
    <x v="10"/>
    <s v="F"/>
    <n v="10"/>
    <d v="2022-04-28T00:00:00"/>
    <d v="2022-05-28T00:00:00"/>
    <n v="4"/>
    <n v="33610.629999999997"/>
    <s v="Pneumonia"/>
  </r>
  <r>
    <n v="565"/>
    <x v="76"/>
    <x v="31"/>
    <s v="M"/>
    <n v="9"/>
    <d v="2023-08-09T00:00:00"/>
    <d v="2023-08-15T00:00:00"/>
    <n v="1"/>
    <n v="108913.9"/>
    <s v="Diabetes"/>
  </r>
  <r>
    <n v="566"/>
    <x v="304"/>
    <x v="77"/>
    <s v="M"/>
    <n v="1"/>
    <d v="2024-01-07T00:00:00"/>
    <d v="2024-01-14T00:00:00"/>
    <n v="3"/>
    <n v="175677.15"/>
    <s v="Asthma"/>
  </r>
  <r>
    <n v="567"/>
    <x v="140"/>
    <x v="10"/>
    <s v="F"/>
    <n v="7"/>
    <d v="2024-04-10T00:00:00"/>
    <d v="2024-04-28T00:00:00"/>
    <n v="1"/>
    <n v="5227.5600000000004"/>
    <s v="Diabetes"/>
  </r>
  <r>
    <n v="568"/>
    <x v="247"/>
    <x v="92"/>
    <s v="F"/>
    <n v="9"/>
    <d v="2025-04-08T00:00:00"/>
    <d v="2025-04-19T00:00:00"/>
    <n v="1"/>
    <n v="147253.89000000001"/>
    <s v="Diabetes"/>
  </r>
  <r>
    <n v="569"/>
    <x v="390"/>
    <x v="57"/>
    <s v="F"/>
    <n v="7"/>
    <d v="2025-03-23T00:00:00"/>
    <d v="2025-03-23T00:00:00"/>
    <n v="1"/>
    <n v="74766.399999999994"/>
    <s v="Diabetes"/>
  </r>
  <r>
    <n v="570"/>
    <x v="391"/>
    <x v="34"/>
    <s v="F"/>
    <n v="6"/>
    <d v="2022-08-28T00:00:00"/>
    <d v="2022-09-22T00:00:00"/>
    <n v="2"/>
    <n v="48240.58"/>
    <s v="Hypertension"/>
  </r>
  <r>
    <n v="571"/>
    <x v="392"/>
    <x v="12"/>
    <s v="F"/>
    <n v="7"/>
    <d v="2025-02-27T00:00:00"/>
    <d v="2025-03-14T00:00:00"/>
    <n v="3"/>
    <n v="136951.51"/>
    <s v="Asthma"/>
  </r>
  <r>
    <n v="572"/>
    <x v="393"/>
    <x v="1"/>
    <s v="M"/>
    <n v="8"/>
    <d v="2022-08-27T00:00:00"/>
    <d v="2022-09-04T00:00:00"/>
    <n v="1"/>
    <n v="114974.97"/>
    <s v="Diabetes"/>
  </r>
  <r>
    <n v="573"/>
    <x v="224"/>
    <x v="25"/>
    <s v="F"/>
    <n v="6"/>
    <d v="2024-11-23T00:00:00"/>
    <d v="2024-12-10T00:00:00"/>
    <n v="1"/>
    <n v="150211.43"/>
    <s v="Diabetes"/>
  </r>
  <r>
    <n v="574"/>
    <x v="273"/>
    <x v="86"/>
    <s v="F"/>
    <n v="6"/>
    <d v="2022-06-05T00:00:00"/>
    <d v="2022-06-22T00:00:00"/>
    <n v="5"/>
    <n v="87088.59"/>
    <s v="Heart Disease"/>
  </r>
  <r>
    <n v="575"/>
    <x v="372"/>
    <x v="74"/>
    <s v="F"/>
    <n v="3"/>
    <d v="2026-03-09T00:00:00"/>
    <d v="2026-03-30T00:00:00"/>
    <n v="5"/>
    <n v="36254.730000000003"/>
    <s v="Heart Disease"/>
  </r>
  <r>
    <n v="576"/>
    <x v="394"/>
    <x v="0"/>
    <s v="M"/>
    <n v="5"/>
    <d v="2023-02-28T00:00:00"/>
    <d v="2023-03-07T00:00:00"/>
    <n v="1"/>
    <n v="46820.94"/>
    <s v="Diabetes"/>
  </r>
  <r>
    <n v="577"/>
    <x v="312"/>
    <x v="50"/>
    <s v="M"/>
    <n v="2"/>
    <d v="2022-06-10T00:00:00"/>
    <d v="2022-07-01T00:00:00"/>
    <n v="6"/>
    <n v="89948.01"/>
    <s v="Kidney Disease"/>
  </r>
  <r>
    <n v="578"/>
    <x v="395"/>
    <x v="35"/>
    <s v="F"/>
    <n v="6"/>
    <d v="2025-06-25T00:00:00"/>
    <d v="2025-07-05T00:00:00"/>
    <n v="2"/>
    <n v="177401.64"/>
    <s v="Hypertension"/>
  </r>
  <r>
    <n v="579"/>
    <x v="187"/>
    <x v="33"/>
    <s v="M"/>
    <n v="9"/>
    <d v="2023-07-28T00:00:00"/>
    <d v="2023-08-09T00:00:00"/>
    <n v="1"/>
    <n v="104858.07"/>
    <s v="Diabetes"/>
  </r>
  <r>
    <n v="580"/>
    <x v="208"/>
    <x v="22"/>
    <s v="F"/>
    <n v="9"/>
    <d v="2022-03-08T00:00:00"/>
    <d v="2022-03-24T00:00:00"/>
    <n v="1"/>
    <n v="155221.01999999999"/>
    <s v="Diabetes"/>
  </r>
  <r>
    <n v="581"/>
    <x v="180"/>
    <x v="18"/>
    <s v="F"/>
    <n v="6"/>
    <d v="2025-11-12T00:00:00"/>
    <d v="2025-11-12T00:00:00"/>
    <n v="1"/>
    <n v="39908.550000000003"/>
    <s v="Diabetes"/>
  </r>
  <r>
    <n v="582"/>
    <x v="396"/>
    <x v="85"/>
    <s v="F"/>
    <n v="10"/>
    <d v="2023-06-16T00:00:00"/>
    <d v="2023-06-21T00:00:00"/>
    <n v="2"/>
    <n v="44592.2"/>
    <s v="Hypertension"/>
  </r>
  <r>
    <n v="583"/>
    <x v="397"/>
    <x v="3"/>
    <s v="F"/>
    <n v="3"/>
    <d v="2024-10-18T00:00:00"/>
    <d v="2024-10-31T00:00:00"/>
    <n v="1"/>
    <n v="126876.49"/>
    <s v="Diabetes"/>
  </r>
  <r>
    <n v="584"/>
    <x v="398"/>
    <x v="10"/>
    <s v="F"/>
    <n v="8"/>
    <d v="2023-01-04T00:00:00"/>
    <d v="2023-01-22T00:00:00"/>
    <n v="1"/>
    <n v="104720.96000000001"/>
    <s v="Diabetes"/>
  </r>
  <r>
    <n v="585"/>
    <x v="98"/>
    <x v="48"/>
    <s v="F"/>
    <n v="4"/>
    <d v="2025-02-11T00:00:00"/>
    <d v="2025-02-24T00:00:00"/>
    <n v="5"/>
    <n v="37301.22"/>
    <s v="Heart Disease"/>
  </r>
  <r>
    <n v="586"/>
    <x v="376"/>
    <x v="31"/>
    <s v="M"/>
    <n v="7"/>
    <d v="2024-10-20T00:00:00"/>
    <d v="2024-10-24T00:00:00"/>
    <n v="6"/>
    <n v="153266.71"/>
    <s v="Kidney Disease"/>
  </r>
  <r>
    <n v="587"/>
    <x v="399"/>
    <x v="48"/>
    <s v="F"/>
    <n v="8"/>
    <d v="2023-09-07T00:00:00"/>
    <d v="2023-09-15T00:00:00"/>
    <n v="2"/>
    <n v="103290.63"/>
    <s v="Hypertension"/>
  </r>
  <r>
    <n v="588"/>
    <x v="32"/>
    <x v="61"/>
    <s v="M"/>
    <n v="1"/>
    <d v="2023-03-18T00:00:00"/>
    <d v="2023-04-13T00:00:00"/>
    <n v="1"/>
    <n v="151417.48000000001"/>
    <s v="Diabetes"/>
  </r>
  <r>
    <n v="589"/>
    <x v="400"/>
    <x v="64"/>
    <s v="F"/>
    <n v="6"/>
    <d v="2024-01-08T00:00:00"/>
    <d v="2024-01-25T00:00:00"/>
    <n v="2"/>
    <n v="146277.82"/>
    <s v="Hypertension"/>
  </r>
  <r>
    <n v="590"/>
    <x v="401"/>
    <x v="36"/>
    <s v="M"/>
    <n v="6"/>
    <d v="2025-10-23T00:00:00"/>
    <d v="2025-11-22T00:00:00"/>
    <n v="2"/>
    <n v="104891.54"/>
    <s v="Hypertension"/>
  </r>
  <r>
    <n v="591"/>
    <x v="402"/>
    <x v="44"/>
    <s v="F"/>
    <n v="6"/>
    <d v="2025-10-10T00:00:00"/>
    <d v="2025-10-26T00:00:00"/>
    <n v="2"/>
    <n v="133233.39000000001"/>
    <s v="Hypertension"/>
  </r>
  <r>
    <n v="592"/>
    <x v="192"/>
    <x v="77"/>
    <s v="F"/>
    <n v="8"/>
    <d v="2025-07-17T00:00:00"/>
    <d v="2025-08-16T00:00:00"/>
    <n v="1"/>
    <n v="32244.66"/>
    <s v="Diabetes"/>
  </r>
  <r>
    <n v="593"/>
    <x v="261"/>
    <x v="11"/>
    <s v="F"/>
    <n v="2"/>
    <d v="2022-06-12T00:00:00"/>
    <d v="2022-06-17T00:00:00"/>
    <n v="1"/>
    <n v="58143.07"/>
    <s v="Diabetes"/>
  </r>
  <r>
    <n v="594"/>
    <x v="403"/>
    <x v="41"/>
    <s v="F"/>
    <n v="5"/>
    <d v="2024-06-30T00:00:00"/>
    <d v="2024-07-24T00:00:00"/>
    <n v="5"/>
    <n v="66961.759999999995"/>
    <s v="Heart Disease"/>
  </r>
  <r>
    <n v="595"/>
    <x v="404"/>
    <x v="89"/>
    <s v="F"/>
    <n v="3"/>
    <d v="2023-01-12T00:00:00"/>
    <d v="2023-02-08T00:00:00"/>
    <n v="1"/>
    <n v="131679.6"/>
    <s v="Diabetes"/>
  </r>
  <r>
    <n v="596"/>
    <x v="405"/>
    <x v="79"/>
    <s v="M"/>
    <n v="7"/>
    <d v="2022-07-30T00:00:00"/>
    <d v="2022-08-02T00:00:00"/>
    <n v="1"/>
    <n v="158467.65"/>
    <s v="Diabetes"/>
  </r>
  <r>
    <n v="597"/>
    <x v="96"/>
    <x v="67"/>
    <s v="F"/>
    <n v="9"/>
    <d v="2026-04-16T00:00:00"/>
    <d v="2026-04-18T00:00:00"/>
    <n v="1"/>
    <n v="112213.14"/>
    <s v="Diabetes"/>
  </r>
  <r>
    <n v="598"/>
    <x v="192"/>
    <x v="38"/>
    <s v="M"/>
    <n v="4"/>
    <d v="2026-02-19T00:00:00"/>
    <d v="2026-02-28T00:00:00"/>
    <n v="2"/>
    <n v="24938.080000000002"/>
    <s v="Hypertension"/>
  </r>
  <r>
    <n v="599"/>
    <x v="406"/>
    <x v="67"/>
    <s v="M"/>
    <n v="6"/>
    <d v="2023-10-29T00:00:00"/>
    <d v="2023-11-25T00:00:00"/>
    <n v="2"/>
    <n v="175559.22"/>
    <s v="Hypertension"/>
  </r>
  <r>
    <n v="600"/>
    <x v="317"/>
    <x v="92"/>
    <s v="F"/>
    <n v="3"/>
    <d v="2025-11-29T00:00:00"/>
    <d v="2025-12-16T00:00:00"/>
    <n v="1"/>
    <n v="108571.2"/>
    <s v="Diabetes"/>
  </r>
  <r>
    <n v="601"/>
    <x v="407"/>
    <x v="83"/>
    <s v="F"/>
    <n v="6"/>
    <d v="2024-09-13T00:00:00"/>
    <d v="2024-09-30T00:00:00"/>
    <n v="1"/>
    <n v="18395.84"/>
    <s v="Diabetes"/>
  </r>
  <r>
    <n v="602"/>
    <x v="408"/>
    <x v="36"/>
    <s v="F"/>
    <n v="3"/>
    <d v="2023-09-14T00:00:00"/>
    <d v="2023-09-14T00:00:00"/>
    <n v="1"/>
    <n v="147229.91"/>
    <s v="Diabetes"/>
  </r>
  <r>
    <n v="603"/>
    <x v="409"/>
    <x v="44"/>
    <s v="F"/>
    <n v="9"/>
    <d v="2022-01-18T00:00:00"/>
    <d v="2022-02-09T00:00:00"/>
    <n v="5"/>
    <n v="170584.95999999999"/>
    <s v="Heart Disease"/>
  </r>
  <r>
    <n v="604"/>
    <x v="115"/>
    <x v="31"/>
    <s v="F"/>
    <n v="5"/>
    <d v="2025-05-07T00:00:00"/>
    <d v="2025-05-14T00:00:00"/>
    <n v="4"/>
    <n v="99807.66"/>
    <s v="Pneumonia"/>
  </r>
  <r>
    <n v="605"/>
    <x v="90"/>
    <x v="82"/>
    <s v="F"/>
    <n v="7"/>
    <d v="2023-05-27T00:00:00"/>
    <d v="2023-06-01T00:00:00"/>
    <n v="3"/>
    <n v="117163.37"/>
    <s v="Asthma"/>
  </r>
  <r>
    <n v="606"/>
    <x v="410"/>
    <x v="9"/>
    <s v="M"/>
    <n v="7"/>
    <d v="2025-07-04T00:00:00"/>
    <d v="2025-07-11T00:00:00"/>
    <n v="2"/>
    <n v="144492.73000000001"/>
    <s v="Hypertension"/>
  </r>
  <r>
    <n v="607"/>
    <x v="411"/>
    <x v="44"/>
    <s v="F"/>
    <n v="7"/>
    <d v="2023-01-21T00:00:00"/>
    <d v="2023-02-17T00:00:00"/>
    <n v="1"/>
    <n v="26750.77"/>
    <s v="Diabetes"/>
  </r>
  <r>
    <n v="608"/>
    <x v="217"/>
    <x v="60"/>
    <s v="F"/>
    <n v="5"/>
    <d v="2025-12-05T00:00:00"/>
    <d v="2025-12-24T00:00:00"/>
    <n v="2"/>
    <n v="59414.26"/>
    <s v="Hypertension"/>
  </r>
  <r>
    <n v="609"/>
    <x v="412"/>
    <x v="42"/>
    <s v="M"/>
    <n v="3"/>
    <d v="2022-07-29T00:00:00"/>
    <d v="2022-08-07T00:00:00"/>
    <n v="1"/>
    <n v="129447.28"/>
    <s v="Diabetes"/>
  </r>
  <r>
    <n v="610"/>
    <x v="342"/>
    <x v="86"/>
    <s v="M"/>
    <n v="1"/>
    <d v="2024-10-07T00:00:00"/>
    <d v="2024-10-13T00:00:00"/>
    <n v="1"/>
    <n v="57804.86"/>
    <s v="Diabetes"/>
  </r>
  <r>
    <n v="611"/>
    <x v="305"/>
    <x v="55"/>
    <s v="M"/>
    <n v="6"/>
    <d v="2022-06-14T00:00:00"/>
    <d v="2022-07-10T00:00:00"/>
    <n v="3"/>
    <n v="28430.59"/>
    <s v="Asthma"/>
  </r>
  <r>
    <n v="612"/>
    <x v="242"/>
    <x v="34"/>
    <s v="F"/>
    <n v="3"/>
    <d v="2023-01-29T00:00:00"/>
    <d v="2023-02-26T00:00:00"/>
    <n v="4"/>
    <n v="147562"/>
    <s v="Pneumonia"/>
  </r>
  <r>
    <n v="613"/>
    <x v="40"/>
    <x v="81"/>
    <s v="M"/>
    <n v="7"/>
    <d v="2026-04-29T00:00:00"/>
    <d v="2026-05-13T00:00:00"/>
    <n v="1"/>
    <n v="179030.04"/>
    <s v="Diabetes"/>
  </r>
  <r>
    <n v="614"/>
    <x v="413"/>
    <x v="0"/>
    <s v="M"/>
    <n v="9"/>
    <d v="2025-09-25T00:00:00"/>
    <d v="2025-10-01T00:00:00"/>
    <n v="2"/>
    <n v="123456.01"/>
    <s v="Hypertension"/>
  </r>
  <r>
    <n v="615"/>
    <x v="414"/>
    <x v="37"/>
    <s v="M"/>
    <n v="9"/>
    <d v="2024-12-02T00:00:00"/>
    <d v="2024-12-05T00:00:00"/>
    <n v="1"/>
    <n v="115837.3"/>
    <s v="Diabetes"/>
  </r>
  <r>
    <n v="616"/>
    <x v="415"/>
    <x v="66"/>
    <s v="M"/>
    <n v="2"/>
    <d v="2023-04-29T00:00:00"/>
    <d v="2023-05-19T00:00:00"/>
    <n v="2"/>
    <n v="5174.5200000000004"/>
    <s v="Hypertension"/>
  </r>
  <r>
    <n v="617"/>
    <x v="135"/>
    <x v="18"/>
    <s v="F"/>
    <n v="4"/>
    <d v="2022-01-19T00:00:00"/>
    <d v="2022-01-20T00:00:00"/>
    <n v="2"/>
    <n v="125108.38"/>
    <s v="Hypertension"/>
  </r>
  <r>
    <n v="618"/>
    <x v="189"/>
    <x v="51"/>
    <s v="M"/>
    <n v="4"/>
    <d v="2022-11-19T00:00:00"/>
    <d v="2022-12-04T00:00:00"/>
    <n v="1"/>
    <n v="112309.46"/>
    <s v="Diabetes"/>
  </r>
  <r>
    <n v="619"/>
    <x v="416"/>
    <x v="4"/>
    <s v="M"/>
    <n v="9"/>
    <d v="2026-06-09T00:00:00"/>
    <d v="2026-06-12T00:00:00"/>
    <n v="1"/>
    <n v="43799.75"/>
    <s v="Diabetes"/>
  </r>
  <r>
    <n v="620"/>
    <x v="417"/>
    <x v="46"/>
    <s v="M"/>
    <n v="1"/>
    <d v="2025-11-12T00:00:00"/>
    <d v="2025-11-24T00:00:00"/>
    <n v="2"/>
    <n v="26414.959999999999"/>
    <s v="Hypertension"/>
  </r>
  <r>
    <n v="621"/>
    <x v="418"/>
    <x v="71"/>
    <s v="F"/>
    <n v="9"/>
    <d v="2023-08-27T00:00:00"/>
    <d v="2023-09-13T00:00:00"/>
    <n v="3"/>
    <n v="36185.21"/>
    <s v="Asthma"/>
  </r>
  <r>
    <n v="622"/>
    <x v="419"/>
    <x v="39"/>
    <s v="F"/>
    <n v="8"/>
    <d v="2023-07-18T00:00:00"/>
    <d v="2023-08-14T00:00:00"/>
    <n v="4"/>
    <n v="164819.14000000001"/>
    <s v="Pneumonia"/>
  </r>
  <r>
    <n v="623"/>
    <x v="336"/>
    <x v="47"/>
    <s v="M"/>
    <n v="8"/>
    <d v="2023-08-29T00:00:00"/>
    <d v="2023-09-24T00:00:00"/>
    <n v="1"/>
    <n v="67662.509999999995"/>
    <s v="Diabetes"/>
  </r>
  <r>
    <n v="624"/>
    <x v="49"/>
    <x v="49"/>
    <s v="M"/>
    <n v="1"/>
    <d v="2025-06-23T00:00:00"/>
    <d v="2025-07-20T00:00:00"/>
    <n v="2"/>
    <n v="112585.02"/>
    <s v="Hypertension"/>
  </r>
  <r>
    <n v="625"/>
    <x v="420"/>
    <x v="43"/>
    <s v="F"/>
    <n v="4"/>
    <d v="2024-12-09T00:00:00"/>
    <d v="2024-12-30T00:00:00"/>
    <n v="2"/>
    <n v="100385.54"/>
    <s v="Hypertension"/>
  </r>
  <r>
    <n v="626"/>
    <x v="364"/>
    <x v="85"/>
    <s v="F"/>
    <n v="6"/>
    <d v="2022-08-15T00:00:00"/>
    <d v="2022-08-18T00:00:00"/>
    <n v="2"/>
    <n v="14335.67"/>
    <s v="Hypertension"/>
  </r>
  <r>
    <n v="627"/>
    <x v="421"/>
    <x v="75"/>
    <s v="M"/>
    <n v="2"/>
    <d v="2024-09-21T00:00:00"/>
    <d v="2024-09-27T00:00:00"/>
    <n v="1"/>
    <n v="103854.66"/>
    <s v="Diabetes"/>
  </r>
  <r>
    <n v="628"/>
    <x v="352"/>
    <x v="83"/>
    <s v="F"/>
    <n v="1"/>
    <d v="2024-01-21T00:00:00"/>
    <d v="2024-01-28T00:00:00"/>
    <n v="2"/>
    <n v="15080.13"/>
    <s v="Hypertension"/>
  </r>
  <r>
    <n v="629"/>
    <x v="280"/>
    <x v="5"/>
    <s v="F"/>
    <n v="1"/>
    <d v="2024-01-10T00:00:00"/>
    <d v="2024-01-27T00:00:00"/>
    <n v="3"/>
    <n v="160551.43"/>
    <s v="Asthma"/>
  </r>
  <r>
    <n v="630"/>
    <x v="422"/>
    <x v="77"/>
    <s v="F"/>
    <n v="9"/>
    <d v="2022-03-25T00:00:00"/>
    <d v="2022-04-17T00:00:00"/>
    <n v="1"/>
    <n v="56443.06"/>
    <s v="Diabetes"/>
  </r>
  <r>
    <n v="631"/>
    <x v="423"/>
    <x v="72"/>
    <s v="M"/>
    <n v="4"/>
    <d v="2024-12-24T00:00:00"/>
    <d v="2025-01-05T00:00:00"/>
    <n v="1"/>
    <n v="95899.08"/>
    <s v="Diabetes"/>
  </r>
  <r>
    <n v="632"/>
    <x v="424"/>
    <x v="11"/>
    <s v="M"/>
    <n v="9"/>
    <d v="2026-03-15T00:00:00"/>
    <d v="2026-04-01T00:00:00"/>
    <n v="2"/>
    <n v="21228.77"/>
    <s v="Hypertension"/>
  </r>
  <r>
    <n v="633"/>
    <x v="112"/>
    <x v="62"/>
    <s v="F"/>
    <n v="7"/>
    <d v="2022-08-02T00:00:00"/>
    <d v="2022-08-07T00:00:00"/>
    <n v="4"/>
    <n v="100118.87"/>
    <s v="Pneumonia"/>
  </r>
  <r>
    <n v="634"/>
    <x v="425"/>
    <x v="43"/>
    <s v="M"/>
    <n v="9"/>
    <d v="2025-05-13T00:00:00"/>
    <d v="2025-05-27T00:00:00"/>
    <n v="5"/>
    <n v="162691.07999999999"/>
    <s v="Heart Disease"/>
  </r>
  <r>
    <n v="635"/>
    <x v="118"/>
    <x v="51"/>
    <s v="F"/>
    <n v="7"/>
    <d v="2026-08-19T00:00:00"/>
    <d v="2026-09-11T00:00:00"/>
    <n v="1"/>
    <n v="45228.25"/>
    <s v="Diabetes"/>
  </r>
  <r>
    <n v="636"/>
    <x v="426"/>
    <x v="49"/>
    <s v="F"/>
    <n v="6"/>
    <d v="2024-07-15T00:00:00"/>
    <d v="2024-07-29T00:00:00"/>
    <n v="6"/>
    <n v="2534.7199999999998"/>
    <s v="Kidney Disease"/>
  </r>
  <r>
    <n v="637"/>
    <x v="427"/>
    <x v="80"/>
    <s v="M"/>
    <n v="9"/>
    <d v="2022-10-04T00:00:00"/>
    <d v="2022-11-01T00:00:00"/>
    <n v="1"/>
    <n v="55809.279999999999"/>
    <s v="Diabetes"/>
  </r>
  <r>
    <n v="638"/>
    <x v="54"/>
    <x v="25"/>
    <s v="M"/>
    <n v="5"/>
    <d v="2025-02-07T00:00:00"/>
    <d v="2025-02-23T00:00:00"/>
    <n v="2"/>
    <n v="166851.23000000001"/>
    <s v="Hypertension"/>
  </r>
  <r>
    <n v="639"/>
    <x v="428"/>
    <x v="75"/>
    <s v="F"/>
    <n v="6"/>
    <d v="2022-11-16T00:00:00"/>
    <d v="2022-11-20T00:00:00"/>
    <n v="1"/>
    <n v="160408.5"/>
    <s v="Diabetes"/>
  </r>
  <r>
    <n v="640"/>
    <x v="429"/>
    <x v="12"/>
    <s v="F"/>
    <n v="2"/>
    <d v="2025-03-14T00:00:00"/>
    <d v="2025-03-26T00:00:00"/>
    <n v="2"/>
    <n v="41095.120000000003"/>
    <s v="Hypertension"/>
  </r>
  <r>
    <n v="641"/>
    <x v="430"/>
    <x v="68"/>
    <s v="M"/>
    <n v="8"/>
    <d v="2026-08-19T00:00:00"/>
    <d v="2026-09-16T00:00:00"/>
    <n v="3"/>
    <n v="104781.26"/>
    <s v="Asthma"/>
  </r>
  <r>
    <n v="642"/>
    <x v="431"/>
    <x v="87"/>
    <s v="F"/>
    <n v="1"/>
    <d v="2026-02-05T00:00:00"/>
    <d v="2026-03-02T00:00:00"/>
    <n v="2"/>
    <n v="16429.740000000002"/>
    <s v="Hypertension"/>
  </r>
  <r>
    <n v="643"/>
    <x v="171"/>
    <x v="39"/>
    <s v="F"/>
    <n v="7"/>
    <d v="2022-09-04T00:00:00"/>
    <d v="2022-10-01T00:00:00"/>
    <n v="4"/>
    <n v="135212.96"/>
    <s v="Pneumonia"/>
  </r>
  <r>
    <n v="644"/>
    <x v="432"/>
    <x v="84"/>
    <s v="F"/>
    <n v="1"/>
    <d v="2023-09-17T00:00:00"/>
    <d v="2023-10-03T00:00:00"/>
    <n v="1"/>
    <n v="98337.53"/>
    <s v="Diabetes"/>
  </r>
  <r>
    <n v="645"/>
    <x v="433"/>
    <x v="91"/>
    <s v="M"/>
    <n v="3"/>
    <d v="2022-04-14T00:00:00"/>
    <d v="2022-05-05T00:00:00"/>
    <n v="3"/>
    <n v="72236.679999999993"/>
    <s v="Asthma"/>
  </r>
  <r>
    <n v="646"/>
    <x v="160"/>
    <x v="74"/>
    <s v="M"/>
    <n v="4"/>
    <d v="2024-06-03T00:00:00"/>
    <d v="2024-06-12T00:00:00"/>
    <n v="4"/>
    <n v="28772.2"/>
    <s v="Pneumonia"/>
  </r>
  <r>
    <n v="647"/>
    <x v="434"/>
    <x v="21"/>
    <s v="M"/>
    <n v="9"/>
    <d v="2024-03-28T00:00:00"/>
    <d v="2024-04-05T00:00:00"/>
    <n v="1"/>
    <n v="91573.6"/>
    <s v="Diabetes"/>
  </r>
  <r>
    <n v="648"/>
    <x v="284"/>
    <x v="68"/>
    <s v="M"/>
    <n v="8"/>
    <d v="2024-03-20T00:00:00"/>
    <d v="2024-04-09T00:00:00"/>
    <n v="2"/>
    <n v="102107.25"/>
    <s v="Hypertension"/>
  </r>
  <r>
    <n v="649"/>
    <x v="304"/>
    <x v="30"/>
    <s v="M"/>
    <n v="5"/>
    <d v="2026-05-10T00:00:00"/>
    <d v="2026-05-23T00:00:00"/>
    <n v="1"/>
    <n v="166534.51"/>
    <s v="Diabetes"/>
  </r>
  <r>
    <n v="650"/>
    <x v="435"/>
    <x v="29"/>
    <s v="F"/>
    <n v="7"/>
    <d v="2024-01-19T00:00:00"/>
    <d v="2024-01-30T00:00:00"/>
    <n v="1"/>
    <n v="63653.17"/>
    <s v="Diabetes"/>
  </r>
  <r>
    <n v="651"/>
    <x v="436"/>
    <x v="93"/>
    <s v="F"/>
    <n v="10"/>
    <d v="2026-08-10T00:00:00"/>
    <d v="2026-09-04T00:00:00"/>
    <n v="2"/>
    <n v="28382.78"/>
    <s v="Hypertension"/>
  </r>
  <r>
    <n v="652"/>
    <x v="437"/>
    <x v="2"/>
    <s v="F"/>
    <n v="3"/>
    <d v="2026-04-01T00:00:00"/>
    <d v="2026-04-24T00:00:00"/>
    <n v="5"/>
    <n v="22445.98"/>
    <s v="Heart Disease"/>
  </r>
  <r>
    <n v="653"/>
    <x v="438"/>
    <x v="60"/>
    <s v="M"/>
    <n v="5"/>
    <d v="2022-01-29T00:00:00"/>
    <d v="2022-02-08T00:00:00"/>
    <n v="3"/>
    <n v="22251.84"/>
    <s v="Asthma"/>
  </r>
  <r>
    <n v="654"/>
    <x v="439"/>
    <x v="56"/>
    <s v="F"/>
    <n v="4"/>
    <d v="2026-02-24T00:00:00"/>
    <d v="2026-03-13T00:00:00"/>
    <n v="1"/>
    <n v="99490.3"/>
    <s v="Diabetes"/>
  </r>
  <r>
    <n v="655"/>
    <x v="237"/>
    <x v="68"/>
    <s v="M"/>
    <n v="1"/>
    <d v="2024-02-11T00:00:00"/>
    <d v="2024-02-29T00:00:00"/>
    <n v="5"/>
    <n v="96006.84"/>
    <s v="Heart Disease"/>
  </r>
  <r>
    <n v="656"/>
    <x v="47"/>
    <x v="16"/>
    <s v="F"/>
    <n v="4"/>
    <d v="2026-06-05T00:00:00"/>
    <d v="2026-06-27T00:00:00"/>
    <n v="2"/>
    <n v="11922.63"/>
    <s v="Hypertension"/>
  </r>
  <r>
    <n v="657"/>
    <x v="355"/>
    <x v="78"/>
    <s v="F"/>
    <n v="6"/>
    <d v="2022-08-09T00:00:00"/>
    <d v="2022-08-09T00:00:00"/>
    <n v="1"/>
    <n v="159303.91"/>
    <s v="Diabetes"/>
  </r>
  <r>
    <n v="658"/>
    <x v="410"/>
    <x v="49"/>
    <s v="M"/>
    <n v="6"/>
    <d v="2024-09-19T00:00:00"/>
    <d v="2024-10-16T00:00:00"/>
    <n v="2"/>
    <n v="18123.669999999998"/>
    <s v="Hypertension"/>
  </r>
  <r>
    <n v="659"/>
    <x v="440"/>
    <x v="65"/>
    <s v="M"/>
    <n v="1"/>
    <d v="2023-05-22T00:00:00"/>
    <d v="2023-06-20T00:00:00"/>
    <n v="2"/>
    <n v="61708.61"/>
    <s v="Hypertension"/>
  </r>
  <r>
    <n v="660"/>
    <x v="441"/>
    <x v="56"/>
    <s v="F"/>
    <n v="6"/>
    <d v="2023-12-29T00:00:00"/>
    <d v="2024-01-18T00:00:00"/>
    <n v="1"/>
    <n v="179289.01"/>
    <s v="Diabetes"/>
  </r>
  <r>
    <n v="661"/>
    <x v="100"/>
    <x v="16"/>
    <s v="F"/>
    <n v="7"/>
    <d v="2026-07-27T00:00:00"/>
    <d v="2026-07-27T00:00:00"/>
    <n v="5"/>
    <n v="170968.16"/>
    <s v="Heart Disease"/>
  </r>
  <r>
    <n v="662"/>
    <x v="442"/>
    <x v="3"/>
    <s v="F"/>
    <n v="3"/>
    <d v="2022-06-29T00:00:00"/>
    <d v="2022-07-22T00:00:00"/>
    <n v="2"/>
    <n v="173007.51"/>
    <s v="Hypertension"/>
  </r>
  <r>
    <n v="663"/>
    <x v="443"/>
    <x v="53"/>
    <s v="M"/>
    <n v="10"/>
    <d v="2022-11-09T00:00:00"/>
    <d v="2022-11-22T00:00:00"/>
    <n v="6"/>
    <n v="163978.03"/>
    <s v="Kidney Disease"/>
  </r>
  <r>
    <n v="664"/>
    <x v="444"/>
    <x v="15"/>
    <s v="M"/>
    <n v="4"/>
    <d v="2025-08-29T00:00:00"/>
    <d v="2025-09-02T00:00:00"/>
    <n v="2"/>
    <n v="123918.63"/>
    <s v="Hypertension"/>
  </r>
  <r>
    <n v="665"/>
    <x v="445"/>
    <x v="38"/>
    <s v="M"/>
    <n v="7"/>
    <d v="2026-04-27T00:00:00"/>
    <d v="2026-05-01T00:00:00"/>
    <n v="3"/>
    <n v="102759.86"/>
    <s v="Asthma"/>
  </r>
  <r>
    <n v="666"/>
    <x v="446"/>
    <x v="47"/>
    <s v="M"/>
    <n v="3"/>
    <d v="2023-10-13T00:00:00"/>
    <d v="2023-11-08T00:00:00"/>
    <n v="5"/>
    <n v="131556.62"/>
    <s v="Heart Disease"/>
  </r>
  <r>
    <n v="667"/>
    <x v="48"/>
    <x v="36"/>
    <s v="F"/>
    <n v="8"/>
    <d v="2026-03-08T00:00:00"/>
    <d v="2026-04-06T00:00:00"/>
    <n v="4"/>
    <n v="115540.41"/>
    <s v="Pneumonia"/>
  </r>
  <r>
    <n v="668"/>
    <x v="373"/>
    <x v="57"/>
    <s v="M"/>
    <n v="3"/>
    <d v="2023-01-14T00:00:00"/>
    <d v="2023-01-14T00:00:00"/>
    <n v="3"/>
    <n v="111126.73"/>
    <s v="Asthma"/>
  </r>
  <r>
    <n v="669"/>
    <x v="447"/>
    <x v="27"/>
    <s v="M"/>
    <n v="10"/>
    <d v="2023-04-21T00:00:00"/>
    <d v="2023-04-28T00:00:00"/>
    <n v="3"/>
    <n v="66268.89"/>
    <s v="Asthma"/>
  </r>
  <r>
    <n v="670"/>
    <x v="448"/>
    <x v="91"/>
    <s v="F"/>
    <n v="6"/>
    <d v="2023-01-12T00:00:00"/>
    <d v="2023-02-08T00:00:00"/>
    <n v="2"/>
    <n v="86607.83"/>
    <s v="Hypertension"/>
  </r>
  <r>
    <n v="671"/>
    <x v="449"/>
    <x v="59"/>
    <s v="M"/>
    <n v="7"/>
    <d v="2026-04-15T00:00:00"/>
    <d v="2026-04-15T00:00:00"/>
    <n v="5"/>
    <n v="171160.15"/>
    <s v="Heart Disease"/>
  </r>
  <r>
    <n v="672"/>
    <x v="54"/>
    <x v="79"/>
    <s v="M"/>
    <n v="3"/>
    <d v="2024-06-18T00:00:00"/>
    <d v="2024-07-15T00:00:00"/>
    <n v="2"/>
    <n v="124595.63"/>
    <s v="Hypertension"/>
  </r>
  <r>
    <n v="673"/>
    <x v="450"/>
    <x v="22"/>
    <s v="F"/>
    <n v="1"/>
    <d v="2025-05-30T00:00:00"/>
    <d v="2025-06-22T00:00:00"/>
    <n v="4"/>
    <n v="130335.66"/>
    <s v="Pneumonia"/>
  </r>
  <r>
    <n v="674"/>
    <x v="451"/>
    <x v="74"/>
    <s v="M"/>
    <n v="9"/>
    <d v="2022-08-12T00:00:00"/>
    <d v="2022-08-26T00:00:00"/>
    <n v="2"/>
    <n v="158303.64000000001"/>
    <s v="Hypertension"/>
  </r>
  <r>
    <n v="675"/>
    <x v="452"/>
    <x v="42"/>
    <s v="F"/>
    <n v="1"/>
    <d v="2025-02-16T00:00:00"/>
    <d v="2025-02-28T00:00:00"/>
    <n v="2"/>
    <n v="114440.12"/>
    <s v="Hypertension"/>
  </r>
  <r>
    <n v="676"/>
    <x v="360"/>
    <x v="13"/>
    <s v="F"/>
    <n v="7"/>
    <d v="2023-09-16T00:00:00"/>
    <d v="2023-10-10T00:00:00"/>
    <n v="4"/>
    <n v="84389.119999999995"/>
    <s v="Pneumonia"/>
  </r>
  <r>
    <n v="677"/>
    <x v="453"/>
    <x v="77"/>
    <s v="M"/>
    <n v="9"/>
    <d v="2022-10-19T00:00:00"/>
    <d v="2022-11-02T00:00:00"/>
    <n v="4"/>
    <n v="82676.41"/>
    <s v="Pneumonia"/>
  </r>
  <r>
    <n v="678"/>
    <x v="141"/>
    <x v="63"/>
    <s v="M"/>
    <n v="7"/>
    <d v="2024-04-26T00:00:00"/>
    <d v="2024-05-06T00:00:00"/>
    <n v="2"/>
    <n v="34250.949999999997"/>
    <s v="Hypertension"/>
  </r>
  <r>
    <n v="679"/>
    <x v="454"/>
    <x v="65"/>
    <s v="M"/>
    <n v="5"/>
    <d v="2023-10-26T00:00:00"/>
    <d v="2023-11-17T00:00:00"/>
    <n v="2"/>
    <n v="128785.88"/>
    <s v="Hypertension"/>
  </r>
  <r>
    <n v="680"/>
    <x v="307"/>
    <x v="86"/>
    <s v="M"/>
    <n v="8"/>
    <d v="2025-07-22T00:00:00"/>
    <d v="2025-08-02T00:00:00"/>
    <n v="1"/>
    <n v="128042.04"/>
    <s v="Diabetes"/>
  </r>
  <r>
    <n v="681"/>
    <x v="455"/>
    <x v="37"/>
    <s v="F"/>
    <n v="9"/>
    <d v="2024-02-19T00:00:00"/>
    <d v="2024-02-20T00:00:00"/>
    <n v="3"/>
    <n v="164424.87"/>
    <s v="Asthma"/>
  </r>
  <r>
    <n v="682"/>
    <x v="456"/>
    <x v="37"/>
    <s v="M"/>
    <n v="3"/>
    <d v="2026-04-25T00:00:00"/>
    <d v="2026-05-17T00:00:00"/>
    <n v="1"/>
    <n v="57181.04"/>
    <s v="Diabetes"/>
  </r>
  <r>
    <n v="683"/>
    <x v="457"/>
    <x v="11"/>
    <s v="M"/>
    <n v="2"/>
    <d v="2022-09-27T00:00:00"/>
    <d v="2022-10-27T00:00:00"/>
    <n v="1"/>
    <n v="113004.46"/>
    <s v="Diabetes"/>
  </r>
  <r>
    <n v="684"/>
    <x v="458"/>
    <x v="65"/>
    <s v="F"/>
    <n v="8"/>
    <d v="2025-01-18T00:00:00"/>
    <d v="2025-02-12T00:00:00"/>
    <n v="1"/>
    <n v="159179.76999999999"/>
    <s v="Diabetes"/>
  </r>
  <r>
    <n v="685"/>
    <x v="459"/>
    <x v="1"/>
    <s v="F"/>
    <n v="8"/>
    <d v="2024-04-19T00:00:00"/>
    <d v="2024-05-03T00:00:00"/>
    <n v="1"/>
    <n v="109018.12"/>
    <s v="Diabetes"/>
  </r>
  <r>
    <n v="686"/>
    <x v="236"/>
    <x v="23"/>
    <s v="M"/>
    <n v="1"/>
    <d v="2023-01-14T00:00:00"/>
    <d v="2023-01-18T00:00:00"/>
    <n v="1"/>
    <n v="64451.02"/>
    <s v="Diabetes"/>
  </r>
  <r>
    <n v="687"/>
    <x v="412"/>
    <x v="29"/>
    <s v="F"/>
    <n v="6"/>
    <d v="2022-06-29T00:00:00"/>
    <d v="2022-06-30T00:00:00"/>
    <n v="1"/>
    <n v="178887.99"/>
    <s v="Diabetes"/>
  </r>
  <r>
    <n v="688"/>
    <x v="68"/>
    <x v="77"/>
    <s v="M"/>
    <n v="8"/>
    <d v="2026-03-15T00:00:00"/>
    <d v="2026-04-02T00:00:00"/>
    <n v="2"/>
    <n v="8861.61"/>
    <s v="Hypertension"/>
  </r>
  <r>
    <n v="689"/>
    <x v="414"/>
    <x v="51"/>
    <s v="F"/>
    <n v="2"/>
    <d v="2026-04-03T00:00:00"/>
    <d v="2026-04-16T00:00:00"/>
    <n v="4"/>
    <n v="14024.34"/>
    <s v="Pneumonia"/>
  </r>
  <r>
    <n v="690"/>
    <x v="448"/>
    <x v="18"/>
    <s v="F"/>
    <n v="6"/>
    <d v="2024-12-15T00:00:00"/>
    <d v="2024-12-28T00:00:00"/>
    <n v="2"/>
    <n v="126009.74"/>
    <s v="Hypertension"/>
  </r>
  <r>
    <n v="691"/>
    <x v="460"/>
    <x v="52"/>
    <s v="M"/>
    <n v="8"/>
    <d v="2026-01-22T00:00:00"/>
    <d v="2026-02-13T00:00:00"/>
    <n v="2"/>
    <n v="142402.81"/>
    <s v="Hypertension"/>
  </r>
  <r>
    <n v="692"/>
    <x v="251"/>
    <x v="41"/>
    <s v="F"/>
    <n v="5"/>
    <d v="2024-12-12T00:00:00"/>
    <d v="2024-12-30T00:00:00"/>
    <n v="6"/>
    <n v="65308.97"/>
    <s v="Kidney Disease"/>
  </r>
  <r>
    <n v="693"/>
    <x v="461"/>
    <x v="27"/>
    <s v="F"/>
    <n v="9"/>
    <d v="2026-02-02T00:00:00"/>
    <d v="2026-02-22T00:00:00"/>
    <n v="2"/>
    <n v="145916.51"/>
    <s v="Hypertension"/>
  </r>
  <r>
    <n v="694"/>
    <x v="443"/>
    <x v="71"/>
    <s v="F"/>
    <n v="4"/>
    <d v="2022-01-04T00:00:00"/>
    <d v="2022-01-07T00:00:00"/>
    <n v="1"/>
    <n v="113519.28"/>
    <s v="Diabetes"/>
  </r>
  <r>
    <n v="695"/>
    <x v="462"/>
    <x v="77"/>
    <s v="F"/>
    <n v="7"/>
    <d v="2022-04-04T00:00:00"/>
    <d v="2022-04-14T00:00:00"/>
    <n v="1"/>
    <n v="145572.72"/>
    <s v="Diabetes"/>
  </r>
  <r>
    <n v="696"/>
    <x v="463"/>
    <x v="84"/>
    <s v="M"/>
    <n v="5"/>
    <d v="2023-06-06T00:00:00"/>
    <d v="2023-07-01T00:00:00"/>
    <n v="1"/>
    <n v="55800.41"/>
    <s v="Diabetes"/>
  </r>
  <r>
    <n v="697"/>
    <x v="118"/>
    <x v="19"/>
    <s v="M"/>
    <n v="6"/>
    <d v="2023-12-01T00:00:00"/>
    <d v="2023-12-13T00:00:00"/>
    <n v="3"/>
    <n v="111838.82"/>
    <s v="Asthma"/>
  </r>
  <r>
    <n v="698"/>
    <x v="464"/>
    <x v="57"/>
    <s v="F"/>
    <n v="6"/>
    <d v="2025-10-09T00:00:00"/>
    <d v="2025-10-24T00:00:00"/>
    <n v="5"/>
    <n v="144012.65"/>
    <s v="Heart Disease"/>
  </r>
  <r>
    <n v="699"/>
    <x v="465"/>
    <x v="50"/>
    <s v="F"/>
    <n v="9"/>
    <d v="2023-11-18T00:00:00"/>
    <d v="2023-12-02T00:00:00"/>
    <n v="4"/>
    <n v="75976.67"/>
    <s v="Pneumonia"/>
  </r>
  <r>
    <n v="700"/>
    <x v="208"/>
    <x v="94"/>
    <s v="F"/>
    <n v="9"/>
    <d v="2025-01-02T00:00:00"/>
    <d v="2025-01-02T00:00:00"/>
    <n v="1"/>
    <n v="124175.06"/>
    <s v="Diabetes"/>
  </r>
  <r>
    <n v="701"/>
    <x v="36"/>
    <x v="50"/>
    <s v="F"/>
    <n v="1"/>
    <d v="2023-11-26T00:00:00"/>
    <d v="2023-12-08T00:00:00"/>
    <n v="2"/>
    <n v="152027.03"/>
    <s v="Hypertension"/>
  </r>
  <r>
    <n v="702"/>
    <x v="150"/>
    <x v="78"/>
    <s v="M"/>
    <n v="10"/>
    <d v="2022-08-28T00:00:00"/>
    <d v="2022-09-24T00:00:00"/>
    <n v="4"/>
    <n v="57219.95"/>
    <s v="Pneumonia"/>
  </r>
  <r>
    <n v="703"/>
    <x v="108"/>
    <x v="32"/>
    <s v="F"/>
    <n v="2"/>
    <d v="2024-10-14T00:00:00"/>
    <d v="2024-11-11T00:00:00"/>
    <n v="1"/>
    <n v="82713.37"/>
    <s v="Diabetes"/>
  </r>
  <r>
    <n v="704"/>
    <x v="466"/>
    <x v="83"/>
    <s v="F"/>
    <n v="3"/>
    <d v="2022-08-18T00:00:00"/>
    <d v="2022-08-29T00:00:00"/>
    <n v="4"/>
    <n v="140557.79"/>
    <s v="Pneumonia"/>
  </r>
  <r>
    <n v="705"/>
    <x v="279"/>
    <x v="91"/>
    <s v="M"/>
    <n v="8"/>
    <d v="2024-10-21T00:00:00"/>
    <d v="2024-10-25T00:00:00"/>
    <n v="1"/>
    <n v="166445.53"/>
    <s v="Diabetes"/>
  </r>
  <r>
    <n v="706"/>
    <x v="127"/>
    <x v="85"/>
    <s v="M"/>
    <n v="2"/>
    <d v="2026-08-11T00:00:00"/>
    <d v="2026-09-10T00:00:00"/>
    <n v="2"/>
    <n v="178707.86"/>
    <s v="Hypertension"/>
  </r>
  <r>
    <n v="707"/>
    <x v="467"/>
    <x v="65"/>
    <s v="F"/>
    <n v="9"/>
    <d v="2022-08-26T00:00:00"/>
    <d v="2022-08-26T00:00:00"/>
    <n v="1"/>
    <n v="10315.32"/>
    <s v="Diabetes"/>
  </r>
  <r>
    <n v="708"/>
    <x v="468"/>
    <x v="64"/>
    <s v="F"/>
    <n v="1"/>
    <d v="2022-07-31T00:00:00"/>
    <d v="2022-08-16T00:00:00"/>
    <n v="3"/>
    <n v="134835.96"/>
    <s v="Asthma"/>
  </r>
  <r>
    <n v="709"/>
    <x v="469"/>
    <x v="38"/>
    <s v="M"/>
    <n v="6"/>
    <d v="2023-02-15T00:00:00"/>
    <d v="2023-02-21T00:00:00"/>
    <n v="1"/>
    <n v="96978.96"/>
    <s v="Diabetes"/>
  </r>
  <r>
    <n v="710"/>
    <x v="153"/>
    <x v="32"/>
    <s v="M"/>
    <n v="3"/>
    <d v="2023-07-15T00:00:00"/>
    <d v="2023-07-18T00:00:00"/>
    <n v="1"/>
    <n v="113072.73"/>
    <s v="Diabetes"/>
  </r>
  <r>
    <n v="711"/>
    <x v="141"/>
    <x v="79"/>
    <s v="F"/>
    <n v="9"/>
    <d v="2023-10-15T00:00:00"/>
    <d v="2023-10-23T00:00:00"/>
    <n v="1"/>
    <n v="127522.78"/>
    <s v="Diabetes"/>
  </r>
  <r>
    <n v="712"/>
    <x v="214"/>
    <x v="30"/>
    <s v="M"/>
    <n v="2"/>
    <d v="2023-09-30T00:00:00"/>
    <d v="2023-10-19T00:00:00"/>
    <n v="5"/>
    <n v="98452.44"/>
    <s v="Heart Disease"/>
  </r>
  <r>
    <n v="713"/>
    <x v="470"/>
    <x v="67"/>
    <s v="F"/>
    <n v="1"/>
    <d v="2022-08-05T00:00:00"/>
    <d v="2022-08-17T00:00:00"/>
    <n v="1"/>
    <n v="78197.67"/>
    <s v="Diabetes"/>
  </r>
  <r>
    <n v="714"/>
    <x v="52"/>
    <x v="1"/>
    <s v="F"/>
    <n v="10"/>
    <d v="2023-12-30T00:00:00"/>
    <d v="2024-01-08T00:00:00"/>
    <n v="1"/>
    <n v="37671.120000000003"/>
    <s v="Diabetes"/>
  </r>
  <r>
    <n v="715"/>
    <x v="1"/>
    <x v="55"/>
    <s v="M"/>
    <n v="2"/>
    <d v="2026-07-23T00:00:00"/>
    <d v="2026-08-17T00:00:00"/>
    <n v="5"/>
    <n v="85618.97"/>
    <s v="Heart Disease"/>
  </r>
  <r>
    <n v="716"/>
    <x v="29"/>
    <x v="7"/>
    <s v="F"/>
    <n v="8"/>
    <d v="2023-04-20T00:00:00"/>
    <d v="2023-05-20T00:00:00"/>
    <n v="1"/>
    <n v="155344.59"/>
    <s v="Diabetes"/>
  </r>
  <r>
    <n v="717"/>
    <x v="411"/>
    <x v="76"/>
    <s v="F"/>
    <n v="3"/>
    <d v="2025-12-03T00:00:00"/>
    <d v="2026-01-01T00:00:00"/>
    <n v="3"/>
    <n v="142508.22"/>
    <s v="Asthma"/>
  </r>
  <r>
    <n v="718"/>
    <x v="471"/>
    <x v="33"/>
    <s v="M"/>
    <n v="2"/>
    <d v="2024-08-31T00:00:00"/>
    <d v="2024-09-03T00:00:00"/>
    <n v="2"/>
    <n v="84370.4"/>
    <s v="Hypertension"/>
  </r>
  <r>
    <n v="719"/>
    <x v="68"/>
    <x v="39"/>
    <s v="M"/>
    <n v="9"/>
    <d v="2022-07-30T00:00:00"/>
    <d v="2022-08-11T00:00:00"/>
    <n v="4"/>
    <n v="143924.5"/>
    <s v="Pneumonia"/>
  </r>
  <r>
    <n v="720"/>
    <x v="472"/>
    <x v="24"/>
    <s v="M"/>
    <n v="5"/>
    <d v="2024-12-27T00:00:00"/>
    <d v="2025-01-10T00:00:00"/>
    <n v="2"/>
    <n v="75885.94"/>
    <s v="Hypertension"/>
  </r>
  <r>
    <n v="721"/>
    <x v="443"/>
    <x v="92"/>
    <s v="M"/>
    <n v="8"/>
    <d v="2024-02-26T00:00:00"/>
    <d v="2024-02-28T00:00:00"/>
    <n v="1"/>
    <n v="146970.04"/>
    <s v="Diabetes"/>
  </r>
  <r>
    <n v="722"/>
    <x v="473"/>
    <x v="54"/>
    <s v="F"/>
    <n v="9"/>
    <d v="2025-11-22T00:00:00"/>
    <d v="2025-11-29T00:00:00"/>
    <n v="1"/>
    <n v="121354.92"/>
    <s v="Diabetes"/>
  </r>
  <r>
    <n v="723"/>
    <x v="474"/>
    <x v="58"/>
    <s v="F"/>
    <n v="6"/>
    <d v="2025-02-10T00:00:00"/>
    <d v="2025-02-13T00:00:00"/>
    <n v="4"/>
    <n v="33770.89"/>
    <s v="Pneumonia"/>
  </r>
  <r>
    <n v="724"/>
    <x v="106"/>
    <x v="80"/>
    <s v="M"/>
    <n v="10"/>
    <d v="2026-04-29T00:00:00"/>
    <d v="2026-05-25T00:00:00"/>
    <n v="2"/>
    <n v="90237.39"/>
    <s v="Hypertension"/>
  </r>
  <r>
    <n v="725"/>
    <x v="175"/>
    <x v="8"/>
    <s v="M"/>
    <n v="10"/>
    <d v="2026-03-27T00:00:00"/>
    <d v="2026-04-16T00:00:00"/>
    <n v="4"/>
    <n v="136881.29"/>
    <s v="Pneumonia"/>
  </r>
  <r>
    <n v="726"/>
    <x v="101"/>
    <x v="42"/>
    <s v="F"/>
    <n v="7"/>
    <d v="2025-06-14T00:00:00"/>
    <d v="2025-07-02T00:00:00"/>
    <n v="2"/>
    <n v="39004.949999999997"/>
    <s v="Hypertension"/>
  </r>
  <r>
    <n v="727"/>
    <x v="475"/>
    <x v="27"/>
    <s v="F"/>
    <n v="7"/>
    <d v="2026-01-10T00:00:00"/>
    <d v="2026-02-08T00:00:00"/>
    <n v="1"/>
    <n v="18348.509999999998"/>
    <s v="Diabetes"/>
  </r>
  <r>
    <n v="728"/>
    <x v="476"/>
    <x v="26"/>
    <s v="F"/>
    <n v="3"/>
    <d v="2023-08-26T00:00:00"/>
    <d v="2023-08-27T00:00:00"/>
    <n v="2"/>
    <n v="99927.11"/>
    <s v="Hypertension"/>
  </r>
  <r>
    <n v="729"/>
    <x v="339"/>
    <x v="71"/>
    <s v="F"/>
    <n v="2"/>
    <d v="2023-08-01T00:00:00"/>
    <d v="2023-08-28T00:00:00"/>
    <n v="1"/>
    <n v="79129.5"/>
    <s v="Diabetes"/>
  </r>
  <r>
    <n v="730"/>
    <x v="285"/>
    <x v="11"/>
    <s v="F"/>
    <n v="7"/>
    <d v="2024-04-11T00:00:00"/>
    <d v="2024-04-23T00:00:00"/>
    <n v="2"/>
    <n v="39990.85"/>
    <s v="Hypertension"/>
  </r>
  <r>
    <n v="731"/>
    <x v="477"/>
    <x v="69"/>
    <s v="M"/>
    <n v="9"/>
    <d v="2024-02-27T00:00:00"/>
    <d v="2024-03-24T00:00:00"/>
    <n v="5"/>
    <n v="151593.38"/>
    <s v="Heart Disease"/>
  </r>
  <r>
    <n v="732"/>
    <x v="371"/>
    <x v="29"/>
    <s v="M"/>
    <n v="3"/>
    <d v="2022-01-24T00:00:00"/>
    <d v="2022-01-26T00:00:00"/>
    <n v="2"/>
    <n v="28059.27"/>
    <s v="Hypertension"/>
  </r>
  <r>
    <n v="733"/>
    <x v="478"/>
    <x v="69"/>
    <s v="M"/>
    <n v="3"/>
    <d v="2025-08-08T00:00:00"/>
    <d v="2025-09-02T00:00:00"/>
    <n v="2"/>
    <n v="83445.09"/>
    <s v="Hypertension"/>
  </r>
  <r>
    <n v="734"/>
    <x v="479"/>
    <x v="60"/>
    <s v="M"/>
    <n v="8"/>
    <d v="2024-11-09T00:00:00"/>
    <d v="2024-11-22T00:00:00"/>
    <n v="2"/>
    <n v="82383.12"/>
    <s v="Hypertension"/>
  </r>
  <r>
    <n v="735"/>
    <x v="65"/>
    <x v="63"/>
    <s v="F"/>
    <n v="10"/>
    <d v="2022-01-16T00:00:00"/>
    <d v="2022-02-03T00:00:00"/>
    <n v="2"/>
    <n v="132237.12"/>
    <s v="Hypertension"/>
  </r>
  <r>
    <n v="736"/>
    <x v="100"/>
    <x v="36"/>
    <s v="F"/>
    <n v="1"/>
    <d v="2022-03-19T00:00:00"/>
    <d v="2022-04-06T00:00:00"/>
    <n v="2"/>
    <n v="67922.7"/>
    <s v="Hypertension"/>
  </r>
  <r>
    <n v="737"/>
    <x v="480"/>
    <x v="61"/>
    <s v="M"/>
    <n v="3"/>
    <d v="2026-02-04T00:00:00"/>
    <d v="2026-02-27T00:00:00"/>
    <n v="2"/>
    <n v="155034.74"/>
    <s v="Hypertension"/>
  </r>
  <r>
    <n v="738"/>
    <x v="303"/>
    <x v="28"/>
    <s v="M"/>
    <n v="9"/>
    <d v="2025-06-03T00:00:00"/>
    <d v="2025-06-05T00:00:00"/>
    <n v="1"/>
    <n v="114442.66"/>
    <s v="Diabetes"/>
  </r>
  <r>
    <n v="739"/>
    <x v="481"/>
    <x v="40"/>
    <s v="F"/>
    <n v="10"/>
    <d v="2022-04-19T00:00:00"/>
    <d v="2022-05-17T00:00:00"/>
    <n v="1"/>
    <n v="140688.57"/>
    <s v="Diabetes"/>
  </r>
  <r>
    <n v="740"/>
    <x v="72"/>
    <x v="26"/>
    <s v="F"/>
    <n v="10"/>
    <d v="2026-02-11T00:00:00"/>
    <d v="2026-02-21T00:00:00"/>
    <n v="2"/>
    <n v="173003.18"/>
    <s v="Hypertension"/>
  </r>
  <r>
    <n v="741"/>
    <x v="276"/>
    <x v="93"/>
    <s v="M"/>
    <n v="10"/>
    <d v="2026-03-15T00:00:00"/>
    <d v="2026-03-24T00:00:00"/>
    <n v="3"/>
    <n v="102557.86"/>
    <s v="Asthma"/>
  </r>
  <r>
    <n v="742"/>
    <x v="482"/>
    <x v="40"/>
    <s v="M"/>
    <n v="10"/>
    <d v="2022-04-16T00:00:00"/>
    <d v="2022-05-07T00:00:00"/>
    <n v="6"/>
    <n v="146079"/>
    <s v="Kidney Disease"/>
  </r>
  <r>
    <n v="743"/>
    <x v="483"/>
    <x v="44"/>
    <s v="F"/>
    <n v="2"/>
    <d v="2022-09-17T00:00:00"/>
    <d v="2022-10-03T00:00:00"/>
    <n v="1"/>
    <n v="141617.9"/>
    <s v="Diabetes"/>
  </r>
  <r>
    <n v="744"/>
    <x v="484"/>
    <x v="77"/>
    <s v="F"/>
    <n v="5"/>
    <d v="2023-06-11T00:00:00"/>
    <d v="2023-06-11T00:00:00"/>
    <n v="3"/>
    <n v="109678.32"/>
    <s v="Asthma"/>
  </r>
  <r>
    <n v="745"/>
    <x v="110"/>
    <x v="43"/>
    <s v="F"/>
    <n v="6"/>
    <d v="2026-07-13T00:00:00"/>
    <d v="2026-07-18T00:00:00"/>
    <n v="1"/>
    <n v="126887.54"/>
    <s v="Diabetes"/>
  </r>
  <r>
    <n v="746"/>
    <x v="270"/>
    <x v="83"/>
    <s v="M"/>
    <n v="6"/>
    <d v="2022-06-22T00:00:00"/>
    <d v="2022-07-22T00:00:00"/>
    <n v="1"/>
    <n v="168274.68"/>
    <s v="Diabetes"/>
  </r>
  <r>
    <n v="747"/>
    <x v="376"/>
    <x v="36"/>
    <s v="F"/>
    <n v="4"/>
    <d v="2025-09-15T00:00:00"/>
    <d v="2025-09-29T00:00:00"/>
    <n v="3"/>
    <n v="32192.78"/>
    <s v="Asthma"/>
  </r>
  <r>
    <n v="748"/>
    <x v="112"/>
    <x v="66"/>
    <s v="F"/>
    <n v="2"/>
    <d v="2022-04-18T00:00:00"/>
    <d v="2022-04-23T00:00:00"/>
    <n v="2"/>
    <n v="87031.17"/>
    <s v="Hypertension"/>
  </r>
  <r>
    <n v="749"/>
    <x v="485"/>
    <x v="73"/>
    <s v="F"/>
    <n v="7"/>
    <d v="2024-08-29T00:00:00"/>
    <d v="2024-09-06T00:00:00"/>
    <n v="1"/>
    <n v="156974.29999999999"/>
    <s v="Diabetes"/>
  </r>
  <r>
    <n v="750"/>
    <x v="486"/>
    <x v="89"/>
    <s v="F"/>
    <n v="6"/>
    <d v="2024-12-21T00:00:00"/>
    <d v="2025-01-11T00:00:00"/>
    <n v="6"/>
    <n v="19782.169999999998"/>
    <s v="Kidney Disease"/>
  </r>
  <r>
    <n v="751"/>
    <x v="272"/>
    <x v="54"/>
    <s v="F"/>
    <n v="6"/>
    <d v="2023-07-08T00:00:00"/>
    <d v="2023-07-16T00:00:00"/>
    <n v="4"/>
    <n v="47823.55"/>
    <s v="Pneumonia"/>
  </r>
  <r>
    <n v="752"/>
    <x v="285"/>
    <x v="55"/>
    <s v="M"/>
    <n v="10"/>
    <d v="2026-04-27T00:00:00"/>
    <d v="2026-05-03T00:00:00"/>
    <n v="2"/>
    <n v="122794.97"/>
    <s v="Hypertension"/>
  </r>
  <r>
    <n v="753"/>
    <x v="311"/>
    <x v="92"/>
    <s v="M"/>
    <n v="1"/>
    <d v="2026-08-31T00:00:00"/>
    <d v="2026-09-02T00:00:00"/>
    <n v="1"/>
    <n v="19841.53"/>
    <s v="Diabetes"/>
  </r>
  <r>
    <n v="754"/>
    <x v="400"/>
    <x v="39"/>
    <s v="M"/>
    <n v="5"/>
    <d v="2023-05-31T00:00:00"/>
    <d v="2023-06-06T00:00:00"/>
    <n v="1"/>
    <n v="112443.01"/>
    <s v="Diabetes"/>
  </r>
  <r>
    <n v="755"/>
    <x v="334"/>
    <x v="43"/>
    <s v="M"/>
    <n v="10"/>
    <d v="2025-07-30T00:00:00"/>
    <d v="2025-08-02T00:00:00"/>
    <n v="3"/>
    <n v="23795.94"/>
    <s v="Asthma"/>
  </r>
  <r>
    <n v="756"/>
    <x v="189"/>
    <x v="49"/>
    <s v="M"/>
    <n v="2"/>
    <d v="2025-11-25T00:00:00"/>
    <d v="2025-11-30T00:00:00"/>
    <n v="1"/>
    <n v="85384.61"/>
    <s v="Diabetes"/>
  </r>
  <r>
    <n v="757"/>
    <x v="169"/>
    <x v="23"/>
    <s v="F"/>
    <n v="6"/>
    <d v="2023-06-12T00:00:00"/>
    <d v="2023-06-17T00:00:00"/>
    <n v="4"/>
    <n v="51718.53"/>
    <s v="Pneumonia"/>
  </r>
  <r>
    <n v="758"/>
    <x v="362"/>
    <x v="78"/>
    <s v="F"/>
    <n v="1"/>
    <d v="2023-06-13T00:00:00"/>
    <d v="2023-07-13T00:00:00"/>
    <n v="4"/>
    <n v="34082.480000000003"/>
    <s v="Pneumonia"/>
  </r>
  <r>
    <n v="759"/>
    <x v="487"/>
    <x v="2"/>
    <s v="F"/>
    <n v="3"/>
    <d v="2025-08-14T00:00:00"/>
    <d v="2025-08-29T00:00:00"/>
    <n v="1"/>
    <n v="98462.21"/>
    <s v="Diabetes"/>
  </r>
  <r>
    <n v="760"/>
    <x v="488"/>
    <x v="77"/>
    <s v="M"/>
    <n v="8"/>
    <d v="2026-01-05T00:00:00"/>
    <d v="2026-01-13T00:00:00"/>
    <n v="1"/>
    <n v="15443.21"/>
    <s v="Diabetes"/>
  </r>
  <r>
    <n v="761"/>
    <x v="187"/>
    <x v="89"/>
    <s v="M"/>
    <n v="8"/>
    <d v="2022-11-01T00:00:00"/>
    <d v="2022-11-21T00:00:00"/>
    <n v="2"/>
    <n v="168088.64"/>
    <s v="Hypertension"/>
  </r>
  <r>
    <n v="762"/>
    <x v="489"/>
    <x v="50"/>
    <s v="F"/>
    <n v="7"/>
    <d v="2025-03-22T00:00:00"/>
    <d v="2025-03-22T00:00:00"/>
    <n v="2"/>
    <n v="169334.22"/>
    <s v="Hypertension"/>
  </r>
  <r>
    <n v="763"/>
    <x v="378"/>
    <x v="54"/>
    <s v="F"/>
    <n v="2"/>
    <d v="2025-01-11T00:00:00"/>
    <d v="2025-01-18T00:00:00"/>
    <n v="1"/>
    <n v="171862.57"/>
    <s v="Diabetes"/>
  </r>
  <r>
    <n v="764"/>
    <x v="263"/>
    <x v="27"/>
    <s v="F"/>
    <n v="6"/>
    <d v="2025-10-28T00:00:00"/>
    <d v="2025-11-06T00:00:00"/>
    <n v="2"/>
    <n v="114728.37"/>
    <s v="Hypertension"/>
  </r>
  <r>
    <n v="765"/>
    <x v="250"/>
    <x v="42"/>
    <s v="F"/>
    <n v="2"/>
    <d v="2026-09-19T00:00:00"/>
    <d v="2026-10-03T00:00:00"/>
    <n v="3"/>
    <n v="53967.66"/>
    <s v="Asthma"/>
  </r>
  <r>
    <n v="766"/>
    <x v="490"/>
    <x v="92"/>
    <s v="M"/>
    <n v="7"/>
    <d v="2025-09-15T00:00:00"/>
    <d v="2025-09-21T00:00:00"/>
    <n v="1"/>
    <n v="71743.59"/>
    <s v="Diabetes"/>
  </r>
  <r>
    <n v="767"/>
    <x v="122"/>
    <x v="33"/>
    <s v="M"/>
    <n v="8"/>
    <d v="2026-02-14T00:00:00"/>
    <d v="2026-02-20T00:00:00"/>
    <n v="1"/>
    <n v="36773.96"/>
    <s v="Diabetes"/>
  </r>
  <r>
    <n v="768"/>
    <x v="22"/>
    <x v="33"/>
    <s v="F"/>
    <n v="2"/>
    <d v="2026-06-12T00:00:00"/>
    <d v="2026-06-29T00:00:00"/>
    <n v="2"/>
    <n v="91193.94"/>
    <s v="Hypertension"/>
  </r>
  <r>
    <n v="769"/>
    <x v="491"/>
    <x v="75"/>
    <s v="F"/>
    <n v="1"/>
    <d v="2023-11-23T00:00:00"/>
    <d v="2023-12-18T00:00:00"/>
    <n v="3"/>
    <n v="74477.64"/>
    <s v="Asthma"/>
  </r>
  <r>
    <n v="770"/>
    <x v="423"/>
    <x v="65"/>
    <s v="M"/>
    <n v="10"/>
    <d v="2023-04-23T00:00:00"/>
    <d v="2023-05-22T00:00:00"/>
    <n v="1"/>
    <n v="133044.1"/>
    <s v="Diabetes"/>
  </r>
  <r>
    <n v="771"/>
    <x v="492"/>
    <x v="21"/>
    <s v="M"/>
    <n v="4"/>
    <d v="2025-12-07T00:00:00"/>
    <d v="2025-12-27T00:00:00"/>
    <n v="1"/>
    <n v="33074.199999999997"/>
    <s v="Diabetes"/>
  </r>
  <r>
    <n v="772"/>
    <x v="493"/>
    <x v="72"/>
    <s v="F"/>
    <n v="10"/>
    <d v="2022-12-16T00:00:00"/>
    <d v="2023-01-11T00:00:00"/>
    <n v="2"/>
    <n v="147659.53"/>
    <s v="Hypertension"/>
  </r>
  <r>
    <n v="773"/>
    <x v="283"/>
    <x v="90"/>
    <s v="M"/>
    <n v="2"/>
    <d v="2026-07-06T00:00:00"/>
    <d v="2026-07-12T00:00:00"/>
    <n v="2"/>
    <n v="146544.98000000001"/>
    <s v="Hypertension"/>
  </r>
  <r>
    <n v="774"/>
    <x v="255"/>
    <x v="18"/>
    <s v="M"/>
    <n v="6"/>
    <d v="2026-09-10T00:00:00"/>
    <d v="2026-10-10T00:00:00"/>
    <n v="4"/>
    <n v="138150.45000000001"/>
    <s v="Pneumonia"/>
  </r>
  <r>
    <n v="775"/>
    <x v="494"/>
    <x v="64"/>
    <s v="M"/>
    <n v="2"/>
    <d v="2023-07-15T00:00:00"/>
    <d v="2023-07-19T00:00:00"/>
    <n v="3"/>
    <n v="32329.03"/>
    <s v="Asthma"/>
  </r>
  <r>
    <n v="776"/>
    <x v="388"/>
    <x v="93"/>
    <s v="F"/>
    <n v="4"/>
    <d v="2025-04-06T00:00:00"/>
    <d v="2025-04-07T00:00:00"/>
    <n v="1"/>
    <n v="142911.78"/>
    <s v="Diabetes"/>
  </r>
  <r>
    <n v="777"/>
    <x v="254"/>
    <x v="37"/>
    <s v="M"/>
    <n v="8"/>
    <d v="2022-06-15T00:00:00"/>
    <d v="2022-06-15T00:00:00"/>
    <n v="1"/>
    <n v="166889.31"/>
    <s v="Diabetes"/>
  </r>
  <r>
    <n v="778"/>
    <x v="495"/>
    <x v="53"/>
    <s v="F"/>
    <n v="3"/>
    <d v="2023-02-27T00:00:00"/>
    <d v="2023-03-03T00:00:00"/>
    <n v="2"/>
    <n v="95347.92"/>
    <s v="Hypertension"/>
  </r>
  <r>
    <n v="779"/>
    <x v="496"/>
    <x v="14"/>
    <s v="M"/>
    <n v="10"/>
    <d v="2023-01-04T00:00:00"/>
    <d v="2023-01-26T00:00:00"/>
    <n v="2"/>
    <n v="171177.91"/>
    <s v="Hypertension"/>
  </r>
  <r>
    <n v="780"/>
    <x v="408"/>
    <x v="53"/>
    <s v="M"/>
    <n v="9"/>
    <d v="2023-04-28T00:00:00"/>
    <d v="2023-05-04T00:00:00"/>
    <n v="1"/>
    <n v="96610.33"/>
    <s v="Diabetes"/>
  </r>
  <r>
    <n v="781"/>
    <x v="431"/>
    <x v="76"/>
    <s v="M"/>
    <n v="8"/>
    <d v="2026-04-27T00:00:00"/>
    <d v="2026-05-17T00:00:00"/>
    <n v="3"/>
    <n v="51565.72"/>
    <s v="Asthma"/>
  </r>
  <r>
    <n v="782"/>
    <x v="497"/>
    <x v="50"/>
    <s v="F"/>
    <n v="8"/>
    <d v="2022-12-28T00:00:00"/>
    <d v="2023-01-02T00:00:00"/>
    <n v="3"/>
    <n v="10153.02"/>
    <s v="Asthma"/>
  </r>
  <r>
    <n v="783"/>
    <x v="151"/>
    <x v="79"/>
    <s v="F"/>
    <n v="5"/>
    <d v="2023-11-16T00:00:00"/>
    <d v="2023-12-05T00:00:00"/>
    <n v="4"/>
    <n v="137117.42000000001"/>
    <s v="Pneumonia"/>
  </r>
  <r>
    <n v="784"/>
    <x v="498"/>
    <x v="0"/>
    <s v="M"/>
    <n v="9"/>
    <d v="2022-12-27T00:00:00"/>
    <d v="2023-01-01T00:00:00"/>
    <n v="4"/>
    <n v="88598.399999999994"/>
    <s v="Pneumonia"/>
  </r>
  <r>
    <n v="785"/>
    <x v="499"/>
    <x v="20"/>
    <s v="F"/>
    <n v="10"/>
    <d v="2025-04-02T00:00:00"/>
    <d v="2025-04-12T00:00:00"/>
    <n v="2"/>
    <n v="135107.9"/>
    <s v="Hypertension"/>
  </r>
  <r>
    <n v="786"/>
    <x v="216"/>
    <x v="58"/>
    <s v="F"/>
    <n v="4"/>
    <d v="2022-07-20T00:00:00"/>
    <d v="2022-07-27T00:00:00"/>
    <n v="3"/>
    <n v="156904.82"/>
    <s v="Asthma"/>
  </r>
  <r>
    <n v="787"/>
    <x v="410"/>
    <x v="34"/>
    <s v="F"/>
    <n v="10"/>
    <d v="2024-09-19T00:00:00"/>
    <d v="2024-09-20T00:00:00"/>
    <n v="5"/>
    <n v="28227.08"/>
    <s v="Heart Disease"/>
  </r>
  <r>
    <n v="788"/>
    <x v="146"/>
    <x v="14"/>
    <s v="F"/>
    <n v="6"/>
    <d v="2022-10-07T00:00:00"/>
    <d v="2022-10-21T00:00:00"/>
    <n v="3"/>
    <n v="114683.75"/>
    <s v="Asthma"/>
  </r>
  <r>
    <n v="789"/>
    <x v="379"/>
    <x v="64"/>
    <s v="M"/>
    <n v="1"/>
    <d v="2025-11-18T00:00:00"/>
    <d v="2025-12-06T00:00:00"/>
    <n v="1"/>
    <n v="26729.02"/>
    <s v="Diabetes"/>
  </r>
  <r>
    <n v="790"/>
    <x v="393"/>
    <x v="53"/>
    <s v="M"/>
    <n v="6"/>
    <d v="2023-03-27T00:00:00"/>
    <d v="2023-04-24T00:00:00"/>
    <n v="1"/>
    <n v="30329.89"/>
    <s v="Diabetes"/>
  </r>
  <r>
    <n v="791"/>
    <x v="375"/>
    <x v="74"/>
    <s v="M"/>
    <n v="2"/>
    <d v="2024-04-23T00:00:00"/>
    <d v="2024-05-20T00:00:00"/>
    <n v="2"/>
    <n v="155540.32999999999"/>
    <s v="Hypertension"/>
  </r>
  <r>
    <n v="792"/>
    <x v="500"/>
    <x v="21"/>
    <s v="F"/>
    <n v="5"/>
    <d v="2022-01-30T00:00:00"/>
    <d v="2022-02-22T00:00:00"/>
    <n v="2"/>
    <n v="157386.23000000001"/>
    <s v="Hypertension"/>
  </r>
  <r>
    <n v="793"/>
    <x v="501"/>
    <x v="54"/>
    <s v="M"/>
    <n v="10"/>
    <d v="2022-11-02T00:00:00"/>
    <d v="2022-12-01T00:00:00"/>
    <n v="2"/>
    <n v="3401.27"/>
    <s v="Hypertension"/>
  </r>
  <r>
    <n v="794"/>
    <x v="377"/>
    <x v="21"/>
    <s v="M"/>
    <n v="7"/>
    <d v="2024-12-23T00:00:00"/>
    <d v="2025-01-04T00:00:00"/>
    <n v="2"/>
    <n v="144148.10999999999"/>
    <s v="Hypertension"/>
  </r>
  <r>
    <n v="795"/>
    <x v="400"/>
    <x v="90"/>
    <s v="M"/>
    <n v="2"/>
    <d v="2025-02-17T00:00:00"/>
    <d v="2025-03-13T00:00:00"/>
    <n v="1"/>
    <n v="132392.07"/>
    <s v="Diabetes"/>
  </r>
  <r>
    <n v="796"/>
    <x v="134"/>
    <x v="4"/>
    <s v="F"/>
    <n v="4"/>
    <d v="2025-08-19T00:00:00"/>
    <d v="2025-08-21T00:00:00"/>
    <n v="1"/>
    <n v="121253.82"/>
    <s v="Diabetes"/>
  </r>
  <r>
    <n v="797"/>
    <x v="271"/>
    <x v="74"/>
    <s v="M"/>
    <n v="8"/>
    <d v="2024-08-07T00:00:00"/>
    <d v="2024-08-31T00:00:00"/>
    <n v="1"/>
    <n v="127306.44"/>
    <s v="Diabetes"/>
  </r>
  <r>
    <n v="798"/>
    <x v="502"/>
    <x v="11"/>
    <s v="F"/>
    <n v="1"/>
    <d v="2025-07-08T00:00:00"/>
    <d v="2025-07-10T00:00:00"/>
    <n v="2"/>
    <n v="125108.24"/>
    <s v="Hypertension"/>
  </r>
  <r>
    <n v="799"/>
    <x v="293"/>
    <x v="13"/>
    <s v="F"/>
    <n v="5"/>
    <d v="2025-11-30T00:00:00"/>
    <d v="2025-12-30T00:00:00"/>
    <n v="2"/>
    <n v="104603.21"/>
    <s v="Hypertension"/>
  </r>
  <r>
    <n v="800"/>
    <x v="226"/>
    <x v="60"/>
    <s v="F"/>
    <n v="1"/>
    <d v="2024-11-20T00:00:00"/>
    <d v="2024-12-20T00:00:00"/>
    <n v="5"/>
    <n v="67108.320000000007"/>
    <s v="Heart Disease"/>
  </r>
  <r>
    <n v="801"/>
    <x v="503"/>
    <x v="78"/>
    <s v="F"/>
    <n v="8"/>
    <d v="2025-06-21T00:00:00"/>
    <d v="2025-06-22T00:00:00"/>
    <n v="2"/>
    <n v="33609.96"/>
    <s v="Hypertension"/>
  </r>
  <r>
    <n v="802"/>
    <x v="504"/>
    <x v="82"/>
    <s v="M"/>
    <n v="3"/>
    <d v="2023-11-17T00:00:00"/>
    <d v="2023-11-24T00:00:00"/>
    <n v="2"/>
    <n v="117704.32000000001"/>
    <s v="Hypertension"/>
  </r>
  <r>
    <n v="803"/>
    <x v="454"/>
    <x v="59"/>
    <s v="F"/>
    <n v="6"/>
    <d v="2023-07-02T00:00:00"/>
    <d v="2023-07-18T00:00:00"/>
    <n v="3"/>
    <n v="51693.3"/>
    <s v="Asthma"/>
  </r>
  <r>
    <n v="804"/>
    <x v="167"/>
    <x v="39"/>
    <s v="F"/>
    <n v="8"/>
    <d v="2024-10-23T00:00:00"/>
    <d v="2024-11-08T00:00:00"/>
    <n v="4"/>
    <n v="85954.08"/>
    <s v="Pneumonia"/>
  </r>
  <r>
    <n v="805"/>
    <x v="505"/>
    <x v="13"/>
    <s v="F"/>
    <n v="10"/>
    <d v="2024-01-24T00:00:00"/>
    <d v="2024-02-18T00:00:00"/>
    <n v="3"/>
    <n v="125547.1"/>
    <s v="Asthma"/>
  </r>
  <r>
    <n v="806"/>
    <x v="234"/>
    <x v="65"/>
    <s v="M"/>
    <n v="2"/>
    <d v="2024-03-11T00:00:00"/>
    <d v="2024-04-08T00:00:00"/>
    <n v="1"/>
    <n v="172590.53"/>
    <s v="Diabetes"/>
  </r>
  <r>
    <n v="807"/>
    <x v="506"/>
    <x v="93"/>
    <s v="F"/>
    <n v="2"/>
    <d v="2025-11-28T00:00:00"/>
    <d v="2025-12-02T00:00:00"/>
    <n v="2"/>
    <n v="157811.28"/>
    <s v="Hypertension"/>
  </r>
  <r>
    <n v="808"/>
    <x v="507"/>
    <x v="13"/>
    <s v="F"/>
    <n v="9"/>
    <d v="2022-09-28T00:00:00"/>
    <d v="2022-10-13T00:00:00"/>
    <n v="1"/>
    <n v="81285.16"/>
    <s v="Diabetes"/>
  </r>
  <r>
    <n v="809"/>
    <x v="436"/>
    <x v="57"/>
    <s v="M"/>
    <n v="1"/>
    <d v="2026-07-01T00:00:00"/>
    <d v="2026-07-08T00:00:00"/>
    <n v="4"/>
    <n v="94732.64"/>
    <s v="Pneumonia"/>
  </r>
  <r>
    <n v="810"/>
    <x v="261"/>
    <x v="40"/>
    <s v="F"/>
    <n v="6"/>
    <d v="2024-09-22T00:00:00"/>
    <d v="2024-10-10T00:00:00"/>
    <n v="3"/>
    <n v="96604.51"/>
    <s v="Asthma"/>
  </r>
  <r>
    <n v="811"/>
    <x v="294"/>
    <x v="65"/>
    <s v="F"/>
    <n v="10"/>
    <d v="2022-09-28T00:00:00"/>
    <d v="2022-10-26T00:00:00"/>
    <n v="4"/>
    <n v="32983.339999999997"/>
    <s v="Pneumonia"/>
  </r>
  <r>
    <n v="812"/>
    <x v="508"/>
    <x v="68"/>
    <s v="F"/>
    <n v="5"/>
    <d v="2026-04-26T00:00:00"/>
    <d v="2026-05-23T00:00:00"/>
    <n v="1"/>
    <n v="65178.96"/>
    <s v="Diabetes"/>
  </r>
  <r>
    <n v="813"/>
    <x v="509"/>
    <x v="60"/>
    <s v="M"/>
    <n v="9"/>
    <d v="2023-08-08T00:00:00"/>
    <d v="2023-08-13T00:00:00"/>
    <n v="6"/>
    <n v="151481.37"/>
    <s v="Kidney Disease"/>
  </r>
  <r>
    <n v="814"/>
    <x v="292"/>
    <x v="20"/>
    <s v="M"/>
    <n v="1"/>
    <d v="2023-10-11T00:00:00"/>
    <d v="2023-10-29T00:00:00"/>
    <n v="1"/>
    <n v="48722.28"/>
    <s v="Diabetes"/>
  </r>
  <r>
    <n v="815"/>
    <x v="79"/>
    <x v="82"/>
    <s v="M"/>
    <n v="6"/>
    <d v="2023-12-06T00:00:00"/>
    <d v="2023-12-10T00:00:00"/>
    <n v="2"/>
    <n v="98326.32"/>
    <s v="Hypertension"/>
  </r>
  <r>
    <n v="816"/>
    <x v="8"/>
    <x v="94"/>
    <s v="M"/>
    <n v="1"/>
    <d v="2024-04-08T00:00:00"/>
    <d v="2024-05-07T00:00:00"/>
    <n v="2"/>
    <n v="28305.64"/>
    <s v="Hypertension"/>
  </r>
  <r>
    <n v="817"/>
    <x v="510"/>
    <x v="50"/>
    <s v="M"/>
    <n v="9"/>
    <d v="2024-11-05T00:00:00"/>
    <d v="2024-11-15T00:00:00"/>
    <n v="2"/>
    <n v="54961.34"/>
    <s v="Hypertension"/>
  </r>
  <r>
    <n v="818"/>
    <x v="214"/>
    <x v="29"/>
    <s v="M"/>
    <n v="10"/>
    <d v="2026-02-01T00:00:00"/>
    <d v="2026-03-02T00:00:00"/>
    <n v="5"/>
    <n v="62616.49"/>
    <s v="Heart Disease"/>
  </r>
  <r>
    <n v="819"/>
    <x v="511"/>
    <x v="35"/>
    <s v="M"/>
    <n v="9"/>
    <d v="2022-08-28T00:00:00"/>
    <d v="2022-09-06T00:00:00"/>
    <n v="1"/>
    <n v="112110.15"/>
    <s v="Diabetes"/>
  </r>
  <r>
    <n v="820"/>
    <x v="512"/>
    <x v="4"/>
    <s v="M"/>
    <n v="6"/>
    <d v="2022-04-23T00:00:00"/>
    <d v="2022-05-12T00:00:00"/>
    <n v="2"/>
    <n v="106059.08"/>
    <s v="Hypertension"/>
  </r>
  <r>
    <n v="821"/>
    <x v="513"/>
    <x v="2"/>
    <s v="M"/>
    <n v="2"/>
    <d v="2025-01-07T00:00:00"/>
    <d v="2025-02-03T00:00:00"/>
    <n v="2"/>
    <n v="121701.51"/>
    <s v="Hypertension"/>
  </r>
  <r>
    <n v="822"/>
    <x v="165"/>
    <x v="88"/>
    <s v="M"/>
    <n v="8"/>
    <d v="2023-10-13T00:00:00"/>
    <d v="2023-11-01T00:00:00"/>
    <n v="2"/>
    <n v="169953.88"/>
    <s v="Hypertension"/>
  </r>
  <r>
    <n v="823"/>
    <x v="177"/>
    <x v="45"/>
    <s v="F"/>
    <n v="6"/>
    <d v="2024-03-01T00:00:00"/>
    <d v="2024-03-12T00:00:00"/>
    <n v="1"/>
    <n v="63723.34"/>
    <s v="Diabetes"/>
  </r>
  <r>
    <n v="824"/>
    <x v="114"/>
    <x v="82"/>
    <s v="M"/>
    <n v="4"/>
    <d v="2026-01-30T00:00:00"/>
    <d v="2026-02-27T00:00:00"/>
    <n v="2"/>
    <n v="178686"/>
    <s v="Hypertension"/>
  </r>
  <r>
    <n v="825"/>
    <x v="457"/>
    <x v="37"/>
    <s v="F"/>
    <n v="7"/>
    <d v="2022-10-13T00:00:00"/>
    <d v="2022-11-08T00:00:00"/>
    <n v="2"/>
    <n v="17778.84"/>
    <s v="Hypertension"/>
  </r>
  <r>
    <n v="826"/>
    <x v="514"/>
    <x v="21"/>
    <s v="F"/>
    <n v="2"/>
    <d v="2025-04-24T00:00:00"/>
    <d v="2025-05-18T00:00:00"/>
    <n v="2"/>
    <n v="3674.85"/>
    <s v="Hypertension"/>
  </r>
  <r>
    <n v="827"/>
    <x v="64"/>
    <x v="14"/>
    <s v="F"/>
    <n v="10"/>
    <d v="2026-03-27T00:00:00"/>
    <d v="2026-04-25T00:00:00"/>
    <n v="1"/>
    <n v="35516.14"/>
    <s v="Diabetes"/>
  </r>
  <r>
    <n v="828"/>
    <x v="515"/>
    <x v="92"/>
    <s v="F"/>
    <n v="1"/>
    <d v="2026-08-13T00:00:00"/>
    <d v="2026-09-08T00:00:00"/>
    <n v="1"/>
    <n v="106374.47"/>
    <s v="Diabetes"/>
  </r>
  <r>
    <n v="829"/>
    <x v="268"/>
    <x v="0"/>
    <s v="F"/>
    <n v="4"/>
    <d v="2022-02-24T00:00:00"/>
    <d v="2022-03-21T00:00:00"/>
    <n v="1"/>
    <n v="49125.17"/>
    <s v="Diabetes"/>
  </r>
  <r>
    <n v="830"/>
    <x v="263"/>
    <x v="24"/>
    <s v="F"/>
    <n v="7"/>
    <d v="2023-01-03T00:00:00"/>
    <d v="2023-01-18T00:00:00"/>
    <n v="5"/>
    <n v="116949.49"/>
    <s v="Heart Disease"/>
  </r>
  <r>
    <n v="831"/>
    <x v="516"/>
    <x v="23"/>
    <s v="F"/>
    <n v="2"/>
    <d v="2025-05-11T00:00:00"/>
    <d v="2025-06-03T00:00:00"/>
    <n v="2"/>
    <n v="87786.25"/>
    <s v="Hypertension"/>
  </r>
  <r>
    <n v="832"/>
    <x v="111"/>
    <x v="11"/>
    <s v="F"/>
    <n v="2"/>
    <d v="2024-02-04T00:00:00"/>
    <d v="2024-02-20T00:00:00"/>
    <n v="3"/>
    <n v="5614.25"/>
    <s v="Asthma"/>
  </r>
  <r>
    <n v="833"/>
    <x v="47"/>
    <x v="40"/>
    <s v="M"/>
    <n v="3"/>
    <d v="2023-10-17T00:00:00"/>
    <d v="2023-10-31T00:00:00"/>
    <n v="5"/>
    <n v="26550.79"/>
    <s v="Heart Disease"/>
  </r>
  <r>
    <n v="834"/>
    <x v="31"/>
    <x v="32"/>
    <s v="F"/>
    <n v="7"/>
    <d v="2025-07-27T00:00:00"/>
    <d v="2025-08-25T00:00:00"/>
    <n v="6"/>
    <n v="11146.89"/>
    <s v="Kidney Disease"/>
  </r>
  <r>
    <n v="835"/>
    <x v="517"/>
    <x v="84"/>
    <s v="M"/>
    <n v="9"/>
    <d v="2023-02-01T00:00:00"/>
    <d v="2023-02-25T00:00:00"/>
    <n v="2"/>
    <n v="138232.35999999999"/>
    <s v="Hypertension"/>
  </r>
  <r>
    <n v="836"/>
    <x v="518"/>
    <x v="15"/>
    <s v="F"/>
    <n v="6"/>
    <d v="2026-08-21T00:00:00"/>
    <d v="2026-09-17T00:00:00"/>
    <n v="3"/>
    <n v="55940.33"/>
    <s v="Asthma"/>
  </r>
  <r>
    <n v="837"/>
    <x v="386"/>
    <x v="42"/>
    <s v="F"/>
    <n v="3"/>
    <d v="2022-01-27T00:00:00"/>
    <d v="2022-01-31T00:00:00"/>
    <n v="2"/>
    <n v="68710.02"/>
    <s v="Hypertension"/>
  </r>
  <r>
    <n v="838"/>
    <x v="478"/>
    <x v="3"/>
    <s v="M"/>
    <n v="2"/>
    <d v="2023-03-23T00:00:00"/>
    <d v="2023-03-27T00:00:00"/>
    <n v="2"/>
    <n v="150104.31"/>
    <s v="Hypertension"/>
  </r>
  <r>
    <n v="839"/>
    <x v="332"/>
    <x v="61"/>
    <s v="M"/>
    <n v="7"/>
    <d v="2024-08-01T00:00:00"/>
    <d v="2024-08-30T00:00:00"/>
    <n v="1"/>
    <n v="147844.94"/>
    <s v="Diabetes"/>
  </r>
  <r>
    <n v="840"/>
    <x v="519"/>
    <x v="39"/>
    <s v="F"/>
    <n v="6"/>
    <d v="2022-10-12T00:00:00"/>
    <d v="2022-11-07T00:00:00"/>
    <n v="2"/>
    <n v="177795.76"/>
    <s v="Hypertension"/>
  </r>
  <r>
    <n v="841"/>
    <x v="231"/>
    <x v="14"/>
    <s v="F"/>
    <n v="1"/>
    <d v="2026-03-05T00:00:00"/>
    <d v="2026-03-31T00:00:00"/>
    <n v="1"/>
    <n v="25346.82"/>
    <s v="Diabetes"/>
  </r>
  <r>
    <n v="842"/>
    <x v="148"/>
    <x v="38"/>
    <s v="M"/>
    <n v="4"/>
    <d v="2022-09-24T00:00:00"/>
    <d v="2022-09-26T00:00:00"/>
    <n v="2"/>
    <n v="137936.70000000001"/>
    <s v="Hypertension"/>
  </r>
  <r>
    <n v="843"/>
    <x v="499"/>
    <x v="56"/>
    <s v="F"/>
    <n v="7"/>
    <d v="2022-03-29T00:00:00"/>
    <d v="2022-04-04T00:00:00"/>
    <n v="1"/>
    <n v="143267.29"/>
    <s v="Diabetes"/>
  </r>
  <r>
    <n v="844"/>
    <x v="520"/>
    <x v="16"/>
    <s v="F"/>
    <n v="2"/>
    <d v="2023-06-03T00:00:00"/>
    <d v="2023-06-04T00:00:00"/>
    <n v="1"/>
    <n v="120996.59"/>
    <s v="Diabetes"/>
  </r>
  <r>
    <n v="845"/>
    <x v="283"/>
    <x v="41"/>
    <s v="M"/>
    <n v="10"/>
    <d v="2023-02-14T00:00:00"/>
    <d v="2023-02-19T00:00:00"/>
    <n v="3"/>
    <n v="7693.49"/>
    <s v="Asthma"/>
  </r>
  <r>
    <n v="846"/>
    <x v="521"/>
    <x v="40"/>
    <s v="F"/>
    <n v="6"/>
    <d v="2022-11-25T00:00:00"/>
    <d v="2022-12-22T00:00:00"/>
    <n v="2"/>
    <n v="131818.35"/>
    <s v="Hypertension"/>
  </r>
  <r>
    <n v="847"/>
    <x v="452"/>
    <x v="27"/>
    <s v="M"/>
    <n v="2"/>
    <d v="2026-08-06T00:00:00"/>
    <d v="2026-08-24T00:00:00"/>
    <n v="3"/>
    <n v="96368.88"/>
    <s v="Asthma"/>
  </r>
  <r>
    <n v="848"/>
    <x v="210"/>
    <x v="93"/>
    <s v="M"/>
    <n v="2"/>
    <d v="2023-03-15T00:00:00"/>
    <d v="2023-04-13T00:00:00"/>
    <n v="2"/>
    <n v="128126.71"/>
    <s v="Hypertension"/>
  </r>
  <r>
    <n v="849"/>
    <x v="522"/>
    <x v="63"/>
    <s v="F"/>
    <n v="2"/>
    <d v="2023-01-06T00:00:00"/>
    <d v="2023-02-01T00:00:00"/>
    <n v="2"/>
    <n v="69881.67"/>
    <s v="Hypertension"/>
  </r>
  <r>
    <n v="850"/>
    <x v="423"/>
    <x v="73"/>
    <s v="F"/>
    <n v="2"/>
    <d v="2026-04-09T00:00:00"/>
    <d v="2026-04-19T00:00:00"/>
    <n v="1"/>
    <n v="22081.119999999999"/>
    <s v="Diabetes"/>
  </r>
  <r>
    <n v="851"/>
    <x v="465"/>
    <x v="76"/>
    <s v="F"/>
    <n v="9"/>
    <d v="2026-01-18T00:00:00"/>
    <d v="2026-01-19T00:00:00"/>
    <n v="1"/>
    <n v="90134.02"/>
    <s v="Diabetes"/>
  </r>
  <r>
    <n v="852"/>
    <x v="515"/>
    <x v="65"/>
    <s v="F"/>
    <n v="8"/>
    <d v="2023-04-08T00:00:00"/>
    <d v="2023-04-25T00:00:00"/>
    <n v="2"/>
    <n v="177330.81"/>
    <s v="Hypertension"/>
  </r>
  <r>
    <n v="853"/>
    <x v="488"/>
    <x v="47"/>
    <s v="F"/>
    <n v="6"/>
    <d v="2023-01-03T00:00:00"/>
    <d v="2023-01-03T00:00:00"/>
    <n v="6"/>
    <n v="89767.59"/>
    <s v="Kidney Disease"/>
  </r>
  <r>
    <n v="854"/>
    <x v="523"/>
    <x v="46"/>
    <s v="M"/>
    <n v="2"/>
    <d v="2022-10-21T00:00:00"/>
    <d v="2022-11-02T00:00:00"/>
    <n v="2"/>
    <n v="107323.91"/>
    <s v="Hypertension"/>
  </r>
  <r>
    <n v="855"/>
    <x v="95"/>
    <x v="47"/>
    <s v="F"/>
    <n v="4"/>
    <d v="2023-11-25T00:00:00"/>
    <d v="2023-12-01T00:00:00"/>
    <n v="2"/>
    <n v="178342.38"/>
    <s v="Hypertension"/>
  </r>
  <r>
    <n v="856"/>
    <x v="274"/>
    <x v="22"/>
    <s v="F"/>
    <n v="5"/>
    <d v="2026-04-16T00:00:00"/>
    <d v="2026-05-08T00:00:00"/>
    <n v="3"/>
    <n v="107872.87"/>
    <s v="Asthma"/>
  </r>
  <r>
    <n v="857"/>
    <x v="256"/>
    <x v="21"/>
    <s v="F"/>
    <n v="8"/>
    <d v="2024-11-13T00:00:00"/>
    <d v="2024-11-21T00:00:00"/>
    <n v="1"/>
    <n v="83197.67"/>
    <s v="Diabetes"/>
  </r>
  <r>
    <n v="858"/>
    <x v="524"/>
    <x v="33"/>
    <s v="F"/>
    <n v="4"/>
    <d v="2025-07-10T00:00:00"/>
    <d v="2025-08-09T00:00:00"/>
    <n v="1"/>
    <n v="20179.599999999999"/>
    <s v="Diabetes"/>
  </r>
  <r>
    <n v="859"/>
    <x v="175"/>
    <x v="90"/>
    <s v="M"/>
    <n v="3"/>
    <d v="2024-02-23T00:00:00"/>
    <d v="2024-03-13T00:00:00"/>
    <n v="3"/>
    <n v="29610.76"/>
    <s v="Asthma"/>
  </r>
  <r>
    <n v="860"/>
    <x v="195"/>
    <x v="72"/>
    <s v="M"/>
    <n v="9"/>
    <d v="2026-04-21T00:00:00"/>
    <d v="2026-05-06T00:00:00"/>
    <n v="4"/>
    <n v="38342.89"/>
    <s v="Pneumonia"/>
  </r>
  <r>
    <n v="861"/>
    <x v="378"/>
    <x v="91"/>
    <s v="F"/>
    <n v="9"/>
    <d v="2023-12-05T00:00:00"/>
    <d v="2023-12-30T00:00:00"/>
    <n v="5"/>
    <n v="99525.06"/>
    <s v="Heart Disease"/>
  </r>
  <r>
    <n v="862"/>
    <x v="525"/>
    <x v="18"/>
    <s v="F"/>
    <n v="8"/>
    <d v="2023-10-07T00:00:00"/>
    <d v="2023-11-03T00:00:00"/>
    <n v="2"/>
    <n v="84088.98"/>
    <s v="Hypertension"/>
  </r>
  <r>
    <n v="863"/>
    <x v="211"/>
    <x v="82"/>
    <s v="F"/>
    <n v="3"/>
    <d v="2024-10-03T00:00:00"/>
    <d v="2024-10-16T00:00:00"/>
    <n v="1"/>
    <n v="129540.87"/>
    <s v="Diabetes"/>
  </r>
  <r>
    <n v="864"/>
    <x v="82"/>
    <x v="27"/>
    <s v="F"/>
    <n v="9"/>
    <d v="2025-11-04T00:00:00"/>
    <d v="2025-11-21T00:00:00"/>
    <n v="2"/>
    <n v="86974.21"/>
    <s v="Hypertension"/>
  </r>
  <r>
    <n v="865"/>
    <x v="526"/>
    <x v="16"/>
    <s v="F"/>
    <n v="5"/>
    <d v="2024-10-10T00:00:00"/>
    <d v="2024-10-28T00:00:00"/>
    <n v="6"/>
    <n v="112006.79"/>
    <s v="Kidney Disease"/>
  </r>
  <r>
    <n v="866"/>
    <x v="527"/>
    <x v="85"/>
    <s v="M"/>
    <n v="1"/>
    <d v="2025-04-24T00:00:00"/>
    <d v="2025-04-25T00:00:00"/>
    <n v="1"/>
    <n v="67537.789999999994"/>
    <s v="Diabetes"/>
  </r>
  <r>
    <n v="867"/>
    <x v="94"/>
    <x v="11"/>
    <s v="F"/>
    <n v="7"/>
    <d v="2022-07-19T00:00:00"/>
    <d v="2022-08-01T00:00:00"/>
    <n v="1"/>
    <n v="65932.479999999996"/>
    <s v="Diabetes"/>
  </r>
  <r>
    <n v="868"/>
    <x v="528"/>
    <x v="43"/>
    <s v="M"/>
    <n v="4"/>
    <d v="2023-04-26T00:00:00"/>
    <d v="2023-05-16T00:00:00"/>
    <n v="1"/>
    <n v="17577.16"/>
    <s v="Diabetes"/>
  </r>
  <r>
    <n v="869"/>
    <x v="291"/>
    <x v="58"/>
    <s v="F"/>
    <n v="3"/>
    <d v="2022-02-10T00:00:00"/>
    <d v="2022-02-27T00:00:00"/>
    <n v="1"/>
    <n v="84311.42"/>
    <s v="Diabetes"/>
  </r>
  <r>
    <n v="870"/>
    <x v="12"/>
    <x v="26"/>
    <s v="F"/>
    <n v="5"/>
    <d v="2022-02-11T00:00:00"/>
    <d v="2022-03-05T00:00:00"/>
    <n v="2"/>
    <n v="6446.97"/>
    <s v="Hypertension"/>
  </r>
  <r>
    <n v="871"/>
    <x v="299"/>
    <x v="74"/>
    <s v="F"/>
    <n v="6"/>
    <d v="2025-03-18T00:00:00"/>
    <d v="2025-03-21T00:00:00"/>
    <n v="4"/>
    <n v="20260.060000000001"/>
    <s v="Pneumonia"/>
  </r>
  <r>
    <n v="872"/>
    <x v="158"/>
    <x v="90"/>
    <s v="F"/>
    <n v="3"/>
    <d v="2025-06-13T00:00:00"/>
    <d v="2025-06-22T00:00:00"/>
    <n v="2"/>
    <n v="79888.429999999993"/>
    <s v="Hypertension"/>
  </r>
  <r>
    <n v="873"/>
    <x v="340"/>
    <x v="42"/>
    <s v="M"/>
    <n v="5"/>
    <d v="2023-06-28T00:00:00"/>
    <d v="2023-06-29T00:00:00"/>
    <n v="1"/>
    <n v="104299.92"/>
    <s v="Diabetes"/>
  </r>
  <r>
    <n v="874"/>
    <x v="390"/>
    <x v="86"/>
    <s v="M"/>
    <n v="10"/>
    <d v="2023-11-21T00:00:00"/>
    <d v="2023-11-29T00:00:00"/>
    <n v="1"/>
    <n v="144710.46"/>
    <s v="Diabetes"/>
  </r>
  <r>
    <n v="875"/>
    <x v="529"/>
    <x v="79"/>
    <s v="F"/>
    <n v="2"/>
    <d v="2025-08-27T00:00:00"/>
    <d v="2025-09-22T00:00:00"/>
    <n v="1"/>
    <n v="145232.49"/>
    <s v="Diabetes"/>
  </r>
  <r>
    <n v="876"/>
    <x v="530"/>
    <x v="25"/>
    <s v="M"/>
    <n v="7"/>
    <d v="2024-04-03T00:00:00"/>
    <d v="2024-04-11T00:00:00"/>
    <n v="2"/>
    <n v="82948.08"/>
    <s v="Hypertension"/>
  </r>
  <r>
    <n v="877"/>
    <x v="336"/>
    <x v="56"/>
    <s v="M"/>
    <n v="10"/>
    <d v="2024-10-19T00:00:00"/>
    <d v="2024-10-25T00:00:00"/>
    <n v="3"/>
    <n v="148743.67000000001"/>
    <s v="Asthma"/>
  </r>
  <r>
    <n v="878"/>
    <x v="67"/>
    <x v="84"/>
    <s v="F"/>
    <n v="10"/>
    <d v="2026-01-28T00:00:00"/>
    <d v="2026-02-17T00:00:00"/>
    <n v="1"/>
    <n v="38115.019999999997"/>
    <s v="Diabetes"/>
  </r>
  <r>
    <n v="879"/>
    <x v="11"/>
    <x v="20"/>
    <s v="M"/>
    <n v="5"/>
    <d v="2026-09-25T00:00:00"/>
    <d v="2026-10-08T00:00:00"/>
    <n v="2"/>
    <n v="155183.01"/>
    <s v="Hypertension"/>
  </r>
  <r>
    <n v="880"/>
    <x v="234"/>
    <x v="36"/>
    <s v="F"/>
    <n v="5"/>
    <d v="2025-08-16T00:00:00"/>
    <d v="2025-08-21T00:00:00"/>
    <n v="1"/>
    <n v="109218.73"/>
    <s v="Diabetes"/>
  </r>
  <r>
    <n v="881"/>
    <x v="354"/>
    <x v="58"/>
    <s v="M"/>
    <n v="4"/>
    <d v="2022-02-26T00:00:00"/>
    <d v="2022-03-05T00:00:00"/>
    <n v="4"/>
    <n v="57620.95"/>
    <s v="Pneumonia"/>
  </r>
  <r>
    <n v="882"/>
    <x v="268"/>
    <x v="54"/>
    <s v="F"/>
    <n v="1"/>
    <d v="2023-02-18T00:00:00"/>
    <d v="2023-02-23T00:00:00"/>
    <n v="1"/>
    <n v="7672.68"/>
    <s v="Diabetes"/>
  </r>
  <r>
    <n v="883"/>
    <x v="531"/>
    <x v="14"/>
    <s v="M"/>
    <n v="8"/>
    <d v="2026-05-22T00:00:00"/>
    <d v="2026-05-22T00:00:00"/>
    <n v="1"/>
    <n v="161629.72"/>
    <s v="Diabetes"/>
  </r>
  <r>
    <n v="884"/>
    <x v="93"/>
    <x v="94"/>
    <s v="M"/>
    <n v="7"/>
    <d v="2024-01-15T00:00:00"/>
    <d v="2024-02-05T00:00:00"/>
    <n v="3"/>
    <n v="18529.37"/>
    <s v="Asthma"/>
  </r>
  <r>
    <n v="885"/>
    <x v="182"/>
    <x v="58"/>
    <s v="M"/>
    <n v="9"/>
    <d v="2025-09-22T00:00:00"/>
    <d v="2025-10-18T00:00:00"/>
    <n v="2"/>
    <n v="140083.07"/>
    <s v="Hypertension"/>
  </r>
  <r>
    <n v="886"/>
    <x v="240"/>
    <x v="90"/>
    <s v="M"/>
    <n v="4"/>
    <d v="2025-05-13T00:00:00"/>
    <d v="2025-05-16T00:00:00"/>
    <n v="4"/>
    <n v="58130.33"/>
    <s v="Pneumonia"/>
  </r>
  <r>
    <n v="887"/>
    <x v="285"/>
    <x v="20"/>
    <s v="F"/>
    <n v="4"/>
    <d v="2022-10-23T00:00:00"/>
    <d v="2022-10-26T00:00:00"/>
    <n v="1"/>
    <n v="174661.42"/>
    <s v="Diabetes"/>
  </r>
  <r>
    <n v="888"/>
    <x v="532"/>
    <x v="12"/>
    <s v="M"/>
    <n v="8"/>
    <d v="2024-12-28T00:00:00"/>
    <d v="2025-01-08T00:00:00"/>
    <n v="3"/>
    <n v="22550.639999999999"/>
    <s v="Asthma"/>
  </r>
  <r>
    <n v="889"/>
    <x v="533"/>
    <x v="21"/>
    <s v="M"/>
    <n v="5"/>
    <d v="2026-05-26T00:00:00"/>
    <d v="2026-06-24T00:00:00"/>
    <n v="1"/>
    <n v="86851.87"/>
    <s v="Diabetes"/>
  </r>
  <r>
    <n v="890"/>
    <x v="151"/>
    <x v="56"/>
    <s v="M"/>
    <n v="1"/>
    <d v="2025-11-15T00:00:00"/>
    <d v="2025-12-14T00:00:00"/>
    <n v="4"/>
    <n v="45042.46"/>
    <s v="Pneumonia"/>
  </r>
  <r>
    <n v="891"/>
    <x v="534"/>
    <x v="38"/>
    <s v="F"/>
    <n v="2"/>
    <d v="2024-12-31T00:00:00"/>
    <d v="2025-01-27T00:00:00"/>
    <n v="1"/>
    <n v="81026.5"/>
    <s v="Diabetes"/>
  </r>
  <r>
    <n v="892"/>
    <x v="535"/>
    <x v="12"/>
    <s v="F"/>
    <n v="2"/>
    <d v="2026-08-12T00:00:00"/>
    <d v="2026-09-05T00:00:00"/>
    <n v="1"/>
    <n v="39843.599999999999"/>
    <s v="Diabetes"/>
  </r>
  <r>
    <n v="893"/>
    <x v="271"/>
    <x v="11"/>
    <s v="F"/>
    <n v="7"/>
    <d v="2026-06-05T00:00:00"/>
    <d v="2026-06-06T00:00:00"/>
    <n v="1"/>
    <n v="16716.78"/>
    <s v="Diabetes"/>
  </r>
  <r>
    <n v="894"/>
    <x v="378"/>
    <x v="0"/>
    <s v="F"/>
    <n v="6"/>
    <d v="2026-01-09T00:00:00"/>
    <d v="2026-01-22T00:00:00"/>
    <n v="5"/>
    <n v="148092.82999999999"/>
    <s v="Heart Disease"/>
  </r>
  <r>
    <n v="895"/>
    <x v="536"/>
    <x v="91"/>
    <s v="M"/>
    <n v="6"/>
    <d v="2024-05-11T00:00:00"/>
    <d v="2024-05-30T00:00:00"/>
    <n v="3"/>
    <n v="99721.67"/>
    <s v="Asthma"/>
  </r>
  <r>
    <n v="896"/>
    <x v="471"/>
    <x v="61"/>
    <s v="M"/>
    <n v="1"/>
    <d v="2025-08-06T00:00:00"/>
    <d v="2025-08-26T00:00:00"/>
    <n v="1"/>
    <n v="81204.38"/>
    <s v="Diabetes"/>
  </r>
  <r>
    <n v="897"/>
    <x v="209"/>
    <x v="10"/>
    <s v="M"/>
    <n v="5"/>
    <d v="2023-10-05T00:00:00"/>
    <d v="2023-10-23T00:00:00"/>
    <n v="1"/>
    <n v="30513.48"/>
    <s v="Diabetes"/>
  </r>
  <r>
    <n v="898"/>
    <x v="537"/>
    <x v="80"/>
    <s v="F"/>
    <n v="6"/>
    <d v="2024-07-13T00:00:00"/>
    <d v="2024-07-28T00:00:00"/>
    <n v="5"/>
    <n v="26197.99"/>
    <s v="Heart Disease"/>
  </r>
  <r>
    <n v="899"/>
    <x v="538"/>
    <x v="85"/>
    <s v="F"/>
    <n v="4"/>
    <d v="2022-06-22T00:00:00"/>
    <d v="2022-07-05T00:00:00"/>
    <n v="2"/>
    <n v="72345.22"/>
    <s v="Hypertension"/>
  </r>
  <r>
    <n v="900"/>
    <x v="539"/>
    <x v="59"/>
    <s v="M"/>
    <n v="1"/>
    <d v="2025-02-17T00:00:00"/>
    <d v="2025-03-09T00:00:00"/>
    <n v="2"/>
    <n v="43095.54"/>
    <s v="Hypertension"/>
  </r>
  <r>
    <n v="901"/>
    <x v="279"/>
    <x v="2"/>
    <s v="F"/>
    <n v="3"/>
    <d v="2022-04-12T00:00:00"/>
    <d v="2022-04-24T00:00:00"/>
    <n v="2"/>
    <n v="109069.71"/>
    <s v="Hypertension"/>
  </r>
  <r>
    <n v="902"/>
    <x v="540"/>
    <x v="51"/>
    <s v="M"/>
    <n v="10"/>
    <d v="2022-08-29T00:00:00"/>
    <d v="2022-08-29T00:00:00"/>
    <n v="3"/>
    <n v="79740.679999999993"/>
    <s v="Asthma"/>
  </r>
  <r>
    <n v="903"/>
    <x v="541"/>
    <x v="18"/>
    <s v="M"/>
    <n v="4"/>
    <d v="2023-01-26T00:00:00"/>
    <d v="2023-02-25T00:00:00"/>
    <n v="5"/>
    <n v="141326.64000000001"/>
    <s v="Heart Disease"/>
  </r>
  <r>
    <n v="904"/>
    <x v="542"/>
    <x v="49"/>
    <s v="M"/>
    <n v="7"/>
    <d v="2023-02-28T00:00:00"/>
    <d v="2023-03-19T00:00:00"/>
    <n v="1"/>
    <n v="148775.78"/>
    <s v="Diabetes"/>
  </r>
  <r>
    <n v="905"/>
    <x v="90"/>
    <x v="63"/>
    <s v="F"/>
    <n v="3"/>
    <d v="2022-02-28T00:00:00"/>
    <d v="2022-03-09T00:00:00"/>
    <n v="6"/>
    <n v="44298.7"/>
    <s v="Kidney Disease"/>
  </r>
  <r>
    <n v="906"/>
    <x v="73"/>
    <x v="51"/>
    <s v="F"/>
    <n v="2"/>
    <d v="2022-01-22T00:00:00"/>
    <d v="2022-02-06T00:00:00"/>
    <n v="1"/>
    <n v="59876.160000000003"/>
    <s v="Diabetes"/>
  </r>
  <r>
    <n v="907"/>
    <x v="543"/>
    <x v="81"/>
    <s v="F"/>
    <n v="7"/>
    <d v="2026-02-16T00:00:00"/>
    <d v="2026-03-07T00:00:00"/>
    <n v="1"/>
    <n v="19412.099999999999"/>
    <s v="Diabetes"/>
  </r>
  <r>
    <n v="908"/>
    <x v="416"/>
    <x v="64"/>
    <s v="M"/>
    <n v="8"/>
    <d v="2023-12-27T00:00:00"/>
    <d v="2024-01-15T00:00:00"/>
    <n v="5"/>
    <n v="174179.75"/>
    <s v="Heart Disease"/>
  </r>
  <r>
    <n v="909"/>
    <x v="345"/>
    <x v="19"/>
    <s v="F"/>
    <n v="9"/>
    <d v="2025-06-23T00:00:00"/>
    <d v="2025-07-05T00:00:00"/>
    <n v="1"/>
    <n v="72558.679999999993"/>
    <s v="Diabetes"/>
  </r>
  <r>
    <n v="910"/>
    <x v="132"/>
    <x v="82"/>
    <s v="M"/>
    <n v="10"/>
    <d v="2023-01-03T00:00:00"/>
    <d v="2023-01-11T00:00:00"/>
    <n v="1"/>
    <n v="89979.07"/>
    <s v="Diabetes"/>
  </r>
  <r>
    <n v="911"/>
    <x v="444"/>
    <x v="17"/>
    <s v="M"/>
    <n v="6"/>
    <d v="2025-12-25T00:00:00"/>
    <d v="2026-01-10T00:00:00"/>
    <n v="2"/>
    <n v="48722.07"/>
    <s v="Hypertension"/>
  </r>
  <r>
    <n v="912"/>
    <x v="108"/>
    <x v="17"/>
    <s v="F"/>
    <n v="5"/>
    <d v="2026-03-12T00:00:00"/>
    <d v="2026-03-23T00:00:00"/>
    <n v="5"/>
    <n v="52719.28"/>
    <s v="Heart Disease"/>
  </r>
  <r>
    <n v="913"/>
    <x v="156"/>
    <x v="9"/>
    <s v="F"/>
    <n v="7"/>
    <d v="2022-12-04T00:00:00"/>
    <d v="2022-12-14T00:00:00"/>
    <n v="3"/>
    <n v="89701.27"/>
    <s v="Asthma"/>
  </r>
  <r>
    <n v="914"/>
    <x v="290"/>
    <x v="43"/>
    <s v="F"/>
    <n v="1"/>
    <d v="2023-01-22T00:00:00"/>
    <d v="2023-01-26T00:00:00"/>
    <n v="1"/>
    <n v="35007.58"/>
    <s v="Diabetes"/>
  </r>
  <r>
    <n v="915"/>
    <x v="544"/>
    <x v="37"/>
    <s v="F"/>
    <n v="7"/>
    <d v="2022-08-26T00:00:00"/>
    <d v="2022-09-23T00:00:00"/>
    <n v="5"/>
    <n v="9740.5300000000007"/>
    <s v="Heart Disease"/>
  </r>
  <r>
    <n v="916"/>
    <x v="545"/>
    <x v="33"/>
    <s v="F"/>
    <n v="8"/>
    <d v="2022-08-19T00:00:00"/>
    <d v="2022-09-15T00:00:00"/>
    <n v="3"/>
    <n v="28779.53"/>
    <s v="Asthma"/>
  </r>
  <r>
    <n v="917"/>
    <x v="36"/>
    <x v="79"/>
    <s v="F"/>
    <n v="3"/>
    <d v="2026-09-06T00:00:00"/>
    <d v="2026-09-11T00:00:00"/>
    <n v="3"/>
    <n v="148506.49"/>
    <s v="Asthma"/>
  </r>
  <r>
    <n v="918"/>
    <x v="24"/>
    <x v="8"/>
    <s v="M"/>
    <n v="9"/>
    <d v="2026-04-20T00:00:00"/>
    <d v="2026-05-08T00:00:00"/>
    <n v="1"/>
    <n v="165873.34"/>
    <s v="Diabetes"/>
  </r>
  <r>
    <n v="919"/>
    <x v="238"/>
    <x v="62"/>
    <s v="M"/>
    <n v="6"/>
    <d v="2022-02-23T00:00:00"/>
    <d v="2022-03-04T00:00:00"/>
    <n v="3"/>
    <n v="123313.5"/>
    <s v="Asthma"/>
  </r>
  <r>
    <n v="920"/>
    <x v="256"/>
    <x v="1"/>
    <s v="M"/>
    <n v="6"/>
    <d v="2022-11-11T00:00:00"/>
    <d v="2022-11-11T00:00:00"/>
    <n v="1"/>
    <n v="149949.10999999999"/>
    <s v="Diabetes"/>
  </r>
  <r>
    <n v="921"/>
    <x v="72"/>
    <x v="11"/>
    <s v="F"/>
    <n v="10"/>
    <d v="2025-09-09T00:00:00"/>
    <d v="2025-09-09T00:00:00"/>
    <n v="1"/>
    <n v="10282.84"/>
    <s v="Diabetes"/>
  </r>
  <r>
    <n v="922"/>
    <x v="146"/>
    <x v="85"/>
    <s v="M"/>
    <n v="4"/>
    <d v="2022-04-10T00:00:00"/>
    <d v="2022-05-05T00:00:00"/>
    <n v="2"/>
    <n v="59862.83"/>
    <s v="Hypertension"/>
  </r>
  <r>
    <n v="923"/>
    <x v="175"/>
    <x v="92"/>
    <s v="F"/>
    <n v="2"/>
    <d v="2024-03-27T00:00:00"/>
    <d v="2024-04-04T00:00:00"/>
    <n v="1"/>
    <n v="173796.25"/>
    <s v="Diabetes"/>
  </r>
  <r>
    <n v="924"/>
    <x v="106"/>
    <x v="56"/>
    <s v="M"/>
    <n v="3"/>
    <d v="2024-03-06T00:00:00"/>
    <d v="2024-03-30T00:00:00"/>
    <n v="2"/>
    <n v="117372.32"/>
    <s v="Hypertension"/>
  </r>
  <r>
    <n v="925"/>
    <x v="428"/>
    <x v="94"/>
    <s v="F"/>
    <n v="7"/>
    <d v="2026-02-16T00:00:00"/>
    <d v="2026-03-13T00:00:00"/>
    <n v="5"/>
    <n v="162912.82999999999"/>
    <s v="Heart Disease"/>
  </r>
  <r>
    <n v="926"/>
    <x v="189"/>
    <x v="4"/>
    <s v="M"/>
    <n v="6"/>
    <d v="2024-11-15T00:00:00"/>
    <d v="2024-11-21T00:00:00"/>
    <n v="2"/>
    <n v="159660.81"/>
    <s v="Hypertension"/>
  </r>
  <r>
    <n v="927"/>
    <x v="544"/>
    <x v="27"/>
    <s v="F"/>
    <n v="2"/>
    <d v="2026-03-30T00:00:00"/>
    <d v="2026-04-12T00:00:00"/>
    <n v="4"/>
    <n v="111461.53"/>
    <s v="Pneumonia"/>
  </r>
  <r>
    <n v="928"/>
    <x v="546"/>
    <x v="86"/>
    <s v="M"/>
    <n v="9"/>
    <d v="2023-12-01T00:00:00"/>
    <d v="2023-12-15T00:00:00"/>
    <n v="3"/>
    <n v="117450.88"/>
    <s v="Asthma"/>
  </r>
  <r>
    <n v="929"/>
    <x v="376"/>
    <x v="83"/>
    <s v="M"/>
    <n v="5"/>
    <d v="2024-08-16T00:00:00"/>
    <d v="2024-08-29T00:00:00"/>
    <n v="1"/>
    <n v="144774.18"/>
    <s v="Diabetes"/>
  </r>
  <r>
    <n v="930"/>
    <x v="229"/>
    <x v="17"/>
    <s v="F"/>
    <n v="4"/>
    <d v="2024-12-07T00:00:00"/>
    <d v="2024-12-20T00:00:00"/>
    <n v="1"/>
    <n v="10971.77"/>
    <s v="Diabetes"/>
  </r>
  <r>
    <n v="931"/>
    <x v="547"/>
    <x v="26"/>
    <s v="M"/>
    <n v="9"/>
    <d v="2024-05-20T00:00:00"/>
    <d v="2024-06-02T00:00:00"/>
    <n v="1"/>
    <n v="119801.81"/>
    <s v="Diabetes"/>
  </r>
  <r>
    <n v="932"/>
    <x v="187"/>
    <x v="4"/>
    <s v="F"/>
    <n v="10"/>
    <d v="2022-06-17T00:00:00"/>
    <d v="2022-07-11T00:00:00"/>
    <n v="2"/>
    <n v="22723.55"/>
    <s v="Hypertension"/>
  </r>
  <r>
    <n v="933"/>
    <x v="509"/>
    <x v="63"/>
    <s v="F"/>
    <n v="1"/>
    <d v="2022-06-20T00:00:00"/>
    <d v="2022-07-03T00:00:00"/>
    <n v="5"/>
    <n v="55332.43"/>
    <s v="Heart Disease"/>
  </r>
  <r>
    <n v="934"/>
    <x v="548"/>
    <x v="29"/>
    <s v="F"/>
    <n v="10"/>
    <d v="2026-07-13T00:00:00"/>
    <d v="2026-07-21T00:00:00"/>
    <n v="1"/>
    <n v="165464.87"/>
    <s v="Diabetes"/>
  </r>
  <r>
    <n v="935"/>
    <x v="79"/>
    <x v="63"/>
    <s v="M"/>
    <n v="10"/>
    <d v="2023-06-16T00:00:00"/>
    <d v="2023-07-13T00:00:00"/>
    <n v="3"/>
    <n v="79499.31"/>
    <s v="Asthma"/>
  </r>
  <r>
    <n v="936"/>
    <x v="549"/>
    <x v="88"/>
    <s v="M"/>
    <n v="1"/>
    <d v="2022-12-18T00:00:00"/>
    <d v="2023-01-07T00:00:00"/>
    <n v="2"/>
    <n v="125295.61"/>
    <s v="Hypertension"/>
  </r>
  <r>
    <n v="937"/>
    <x v="318"/>
    <x v="94"/>
    <s v="F"/>
    <n v="7"/>
    <d v="2026-07-06T00:00:00"/>
    <d v="2026-07-15T00:00:00"/>
    <n v="1"/>
    <n v="26482.73"/>
    <s v="Diabetes"/>
  </r>
  <r>
    <n v="938"/>
    <x v="497"/>
    <x v="56"/>
    <s v="M"/>
    <n v="1"/>
    <d v="2023-03-05T00:00:00"/>
    <d v="2023-03-20T00:00:00"/>
    <n v="2"/>
    <n v="117828.82"/>
    <s v="Hypertension"/>
  </r>
  <r>
    <n v="939"/>
    <x v="530"/>
    <x v="57"/>
    <s v="M"/>
    <n v="5"/>
    <d v="2026-04-26T00:00:00"/>
    <d v="2026-05-10T00:00:00"/>
    <n v="1"/>
    <n v="77383.56"/>
    <s v="Diabetes"/>
  </r>
  <r>
    <n v="940"/>
    <x v="282"/>
    <x v="50"/>
    <s v="F"/>
    <n v="8"/>
    <d v="2024-08-23T00:00:00"/>
    <d v="2024-08-23T00:00:00"/>
    <n v="5"/>
    <n v="106377.66"/>
    <s v="Heart Disease"/>
  </r>
  <r>
    <n v="941"/>
    <x v="210"/>
    <x v="27"/>
    <s v="F"/>
    <n v="1"/>
    <d v="2023-11-15T00:00:00"/>
    <d v="2023-11-15T00:00:00"/>
    <n v="1"/>
    <n v="152954.23999999999"/>
    <s v="Diabetes"/>
  </r>
  <r>
    <n v="942"/>
    <x v="546"/>
    <x v="90"/>
    <s v="F"/>
    <n v="1"/>
    <d v="2024-09-25T00:00:00"/>
    <d v="2024-10-07T00:00:00"/>
    <n v="2"/>
    <n v="107409.47"/>
    <s v="Hypertension"/>
  </r>
  <r>
    <n v="943"/>
    <x v="239"/>
    <x v="73"/>
    <s v="M"/>
    <n v="9"/>
    <d v="2022-02-08T00:00:00"/>
    <d v="2022-02-21T00:00:00"/>
    <n v="2"/>
    <n v="100702.88"/>
    <s v="Hypertension"/>
  </r>
  <r>
    <n v="944"/>
    <x v="64"/>
    <x v="21"/>
    <s v="M"/>
    <n v="8"/>
    <d v="2025-06-29T00:00:00"/>
    <d v="2025-07-29T00:00:00"/>
    <n v="2"/>
    <n v="82077.759999999995"/>
    <s v="Hypertension"/>
  </r>
  <r>
    <n v="945"/>
    <x v="550"/>
    <x v="37"/>
    <s v="F"/>
    <n v="4"/>
    <d v="2024-08-19T00:00:00"/>
    <d v="2024-08-30T00:00:00"/>
    <n v="2"/>
    <n v="92605.38"/>
    <s v="Hypertension"/>
  </r>
  <r>
    <n v="946"/>
    <x v="551"/>
    <x v="41"/>
    <s v="F"/>
    <n v="3"/>
    <d v="2023-08-24T00:00:00"/>
    <d v="2023-09-16T00:00:00"/>
    <n v="3"/>
    <n v="172865.1"/>
    <s v="Asthma"/>
  </r>
  <r>
    <n v="947"/>
    <x v="552"/>
    <x v="37"/>
    <s v="M"/>
    <n v="5"/>
    <d v="2025-11-15T00:00:00"/>
    <d v="2025-12-08T00:00:00"/>
    <n v="1"/>
    <n v="88212.93"/>
    <s v="Diabetes"/>
  </r>
  <r>
    <n v="948"/>
    <x v="79"/>
    <x v="37"/>
    <s v="F"/>
    <n v="2"/>
    <d v="2026-06-14T00:00:00"/>
    <d v="2026-06-27T00:00:00"/>
    <n v="5"/>
    <n v="90136.2"/>
    <s v="Heart Disease"/>
  </r>
  <r>
    <n v="949"/>
    <x v="459"/>
    <x v="82"/>
    <s v="M"/>
    <n v="1"/>
    <d v="2024-01-05T00:00:00"/>
    <d v="2024-02-02T00:00:00"/>
    <n v="1"/>
    <n v="122654.69"/>
    <s v="Diabetes"/>
  </r>
  <r>
    <n v="950"/>
    <x v="365"/>
    <x v="75"/>
    <s v="M"/>
    <n v="6"/>
    <d v="2024-05-31T00:00:00"/>
    <d v="2024-06-03T00:00:00"/>
    <n v="2"/>
    <n v="23922.13"/>
    <s v="Hypertension"/>
  </r>
  <r>
    <n v="951"/>
    <x v="553"/>
    <x v="9"/>
    <s v="F"/>
    <n v="6"/>
    <d v="2026-04-25T00:00:00"/>
    <d v="2026-04-26T00:00:00"/>
    <n v="4"/>
    <n v="101371.47"/>
    <s v="Pneumonia"/>
  </r>
  <r>
    <n v="952"/>
    <x v="554"/>
    <x v="41"/>
    <s v="M"/>
    <n v="1"/>
    <d v="2024-06-15T00:00:00"/>
    <d v="2024-07-10T00:00:00"/>
    <n v="2"/>
    <n v="151883.46"/>
    <s v="Hypertension"/>
  </r>
  <r>
    <n v="953"/>
    <x v="555"/>
    <x v="77"/>
    <s v="M"/>
    <n v="9"/>
    <d v="2022-03-27T00:00:00"/>
    <d v="2022-04-12T00:00:00"/>
    <n v="1"/>
    <n v="114311.89"/>
    <s v="Diabetes"/>
  </r>
  <r>
    <n v="954"/>
    <x v="74"/>
    <x v="37"/>
    <s v="F"/>
    <n v="8"/>
    <d v="2026-04-10T00:00:00"/>
    <d v="2026-04-26T00:00:00"/>
    <n v="2"/>
    <n v="157012.46"/>
    <s v="Hypertension"/>
  </r>
  <r>
    <n v="955"/>
    <x v="556"/>
    <x v="64"/>
    <s v="M"/>
    <n v="2"/>
    <d v="2023-02-18T00:00:00"/>
    <d v="2023-03-04T00:00:00"/>
    <n v="6"/>
    <n v="139036.43"/>
    <s v="Kidney Disease"/>
  </r>
  <r>
    <n v="956"/>
    <x v="342"/>
    <x v="21"/>
    <s v="F"/>
    <n v="5"/>
    <d v="2024-10-31T00:00:00"/>
    <d v="2024-11-05T00:00:00"/>
    <n v="1"/>
    <n v="68607.45"/>
    <s v="Diabetes"/>
  </r>
  <r>
    <n v="957"/>
    <x v="297"/>
    <x v="11"/>
    <s v="M"/>
    <n v="3"/>
    <d v="2026-03-23T00:00:00"/>
    <d v="2026-04-16T00:00:00"/>
    <n v="2"/>
    <n v="142230.79"/>
    <s v="Hypertension"/>
  </r>
  <r>
    <n v="958"/>
    <x v="222"/>
    <x v="36"/>
    <s v="F"/>
    <n v="8"/>
    <d v="2024-11-23T00:00:00"/>
    <d v="2024-12-18T00:00:00"/>
    <n v="3"/>
    <n v="170013.9"/>
    <s v="Asthma"/>
  </r>
  <r>
    <n v="959"/>
    <x v="557"/>
    <x v="31"/>
    <s v="M"/>
    <n v="2"/>
    <d v="2023-11-24T00:00:00"/>
    <d v="2023-12-04T00:00:00"/>
    <n v="2"/>
    <n v="139596.14000000001"/>
    <s v="Hypertension"/>
  </r>
  <r>
    <n v="960"/>
    <x v="558"/>
    <x v="88"/>
    <s v="M"/>
    <n v="3"/>
    <d v="2025-03-22T00:00:00"/>
    <d v="2025-03-23T00:00:00"/>
    <n v="6"/>
    <n v="176458.36"/>
    <s v="Kidney Disease"/>
  </r>
  <r>
    <n v="961"/>
    <x v="127"/>
    <x v="53"/>
    <s v="F"/>
    <n v="9"/>
    <d v="2023-09-16T00:00:00"/>
    <d v="2023-10-09T00:00:00"/>
    <n v="3"/>
    <n v="163888.48000000001"/>
    <s v="Asthma"/>
  </r>
  <r>
    <n v="962"/>
    <x v="559"/>
    <x v="83"/>
    <s v="M"/>
    <n v="7"/>
    <d v="2024-07-02T00:00:00"/>
    <d v="2024-07-22T00:00:00"/>
    <n v="1"/>
    <n v="99135.49"/>
    <s v="Diabetes"/>
  </r>
  <r>
    <n v="963"/>
    <x v="146"/>
    <x v="70"/>
    <s v="F"/>
    <n v="7"/>
    <d v="2026-05-08T00:00:00"/>
    <d v="2026-05-14T00:00:00"/>
    <n v="5"/>
    <n v="17459.86"/>
    <s v="Heart Disease"/>
  </r>
  <r>
    <n v="964"/>
    <x v="168"/>
    <x v="78"/>
    <s v="M"/>
    <n v="9"/>
    <d v="2025-01-12T00:00:00"/>
    <d v="2025-01-21T00:00:00"/>
    <n v="1"/>
    <n v="93321.71"/>
    <s v="Diabetes"/>
  </r>
  <r>
    <n v="965"/>
    <x v="170"/>
    <x v="3"/>
    <s v="M"/>
    <n v="1"/>
    <d v="2022-02-27T00:00:00"/>
    <d v="2022-03-27T00:00:00"/>
    <n v="4"/>
    <n v="107669.39"/>
    <s v="Pneumonia"/>
  </r>
  <r>
    <n v="966"/>
    <x v="273"/>
    <x v="48"/>
    <s v="F"/>
    <n v="9"/>
    <d v="2022-08-15T00:00:00"/>
    <d v="2022-09-07T00:00:00"/>
    <n v="1"/>
    <n v="68703.75"/>
    <s v="Diabetes"/>
  </r>
  <r>
    <n v="967"/>
    <x v="163"/>
    <x v="18"/>
    <s v="M"/>
    <n v="2"/>
    <d v="2024-07-08T00:00:00"/>
    <d v="2024-07-17T00:00:00"/>
    <n v="2"/>
    <n v="3425.38"/>
    <s v="Hypertension"/>
  </r>
  <r>
    <n v="968"/>
    <x v="322"/>
    <x v="40"/>
    <s v="M"/>
    <n v="6"/>
    <d v="2023-09-05T00:00:00"/>
    <d v="2023-09-14T00:00:00"/>
    <n v="3"/>
    <n v="147176.56"/>
    <s v="Asthma"/>
  </r>
  <r>
    <n v="969"/>
    <x v="456"/>
    <x v="81"/>
    <s v="F"/>
    <n v="9"/>
    <d v="2026-02-19T00:00:00"/>
    <d v="2026-02-26T00:00:00"/>
    <n v="1"/>
    <n v="94170.2"/>
    <s v="Diabetes"/>
  </r>
  <r>
    <n v="970"/>
    <x v="415"/>
    <x v="65"/>
    <s v="M"/>
    <n v="3"/>
    <d v="2025-12-28T00:00:00"/>
    <d v="2026-01-10T00:00:00"/>
    <n v="4"/>
    <n v="17045.62"/>
    <s v="Pneumonia"/>
  </r>
  <r>
    <n v="971"/>
    <x v="560"/>
    <x v="17"/>
    <s v="F"/>
    <n v="4"/>
    <d v="2024-07-02T00:00:00"/>
    <d v="2024-07-04T00:00:00"/>
    <n v="2"/>
    <n v="95910.37"/>
    <s v="Hypertension"/>
  </r>
  <r>
    <n v="972"/>
    <x v="128"/>
    <x v="28"/>
    <s v="F"/>
    <n v="5"/>
    <d v="2025-04-11T00:00:00"/>
    <d v="2025-04-26T00:00:00"/>
    <n v="2"/>
    <n v="179380.84"/>
    <s v="Hypertension"/>
  </r>
  <r>
    <n v="973"/>
    <x v="478"/>
    <x v="37"/>
    <s v="M"/>
    <n v="9"/>
    <d v="2022-09-18T00:00:00"/>
    <d v="2022-10-03T00:00:00"/>
    <n v="3"/>
    <n v="25465.87"/>
    <s v="Asthma"/>
  </r>
  <r>
    <n v="974"/>
    <x v="561"/>
    <x v="18"/>
    <s v="M"/>
    <n v="8"/>
    <d v="2024-08-27T00:00:00"/>
    <d v="2024-08-28T00:00:00"/>
    <n v="3"/>
    <n v="170072.35"/>
    <s v="Asthma"/>
  </r>
  <r>
    <n v="975"/>
    <x v="386"/>
    <x v="41"/>
    <s v="F"/>
    <n v="2"/>
    <d v="2022-09-05T00:00:00"/>
    <d v="2022-09-16T00:00:00"/>
    <n v="2"/>
    <n v="9650.08"/>
    <s v="Hypertension"/>
  </r>
  <r>
    <n v="976"/>
    <x v="428"/>
    <x v="51"/>
    <s v="F"/>
    <n v="6"/>
    <d v="2023-09-14T00:00:00"/>
    <d v="2023-09-23T00:00:00"/>
    <n v="2"/>
    <n v="142938.66"/>
    <s v="Hypertension"/>
  </r>
  <r>
    <n v="977"/>
    <x v="562"/>
    <x v="53"/>
    <s v="M"/>
    <n v="5"/>
    <d v="2023-08-04T00:00:00"/>
    <d v="2023-08-10T00:00:00"/>
    <n v="1"/>
    <n v="133789.71"/>
    <s v="Diabetes"/>
  </r>
  <r>
    <n v="978"/>
    <x v="40"/>
    <x v="92"/>
    <s v="F"/>
    <n v="2"/>
    <d v="2022-04-02T00:00:00"/>
    <d v="2022-04-15T00:00:00"/>
    <n v="2"/>
    <n v="57472.08"/>
    <s v="Hypertension"/>
  </r>
  <r>
    <n v="979"/>
    <x v="202"/>
    <x v="49"/>
    <s v="F"/>
    <n v="10"/>
    <d v="2022-09-29T00:00:00"/>
    <d v="2022-10-23T00:00:00"/>
    <n v="1"/>
    <n v="115471.7"/>
    <s v="Diabetes"/>
  </r>
  <r>
    <n v="980"/>
    <x v="358"/>
    <x v="50"/>
    <s v="F"/>
    <n v="2"/>
    <d v="2026-06-27T00:00:00"/>
    <d v="2026-07-16T00:00:00"/>
    <n v="3"/>
    <n v="75209.03"/>
    <s v="Asthma"/>
  </r>
  <r>
    <n v="981"/>
    <x v="563"/>
    <x v="3"/>
    <s v="M"/>
    <n v="8"/>
    <d v="2026-02-16T00:00:00"/>
    <d v="2026-02-24T00:00:00"/>
    <n v="2"/>
    <n v="156206.76"/>
    <s v="Hypertension"/>
  </r>
  <r>
    <n v="982"/>
    <x v="469"/>
    <x v="11"/>
    <s v="F"/>
    <n v="9"/>
    <d v="2025-08-14T00:00:00"/>
    <d v="2025-08-17T00:00:00"/>
    <n v="2"/>
    <n v="17614.490000000002"/>
    <s v="Hypertension"/>
  </r>
  <r>
    <n v="983"/>
    <x v="564"/>
    <x v="74"/>
    <s v="M"/>
    <n v="10"/>
    <d v="2024-12-04T00:00:00"/>
    <d v="2024-12-10T00:00:00"/>
    <n v="3"/>
    <n v="91718.39"/>
    <s v="Asthma"/>
  </r>
  <r>
    <n v="984"/>
    <x v="516"/>
    <x v="43"/>
    <s v="M"/>
    <n v="1"/>
    <d v="2023-07-18T00:00:00"/>
    <d v="2023-08-12T00:00:00"/>
    <n v="1"/>
    <n v="149770.07"/>
    <s v="Diabetes"/>
  </r>
  <r>
    <n v="985"/>
    <x v="548"/>
    <x v="5"/>
    <s v="F"/>
    <n v="7"/>
    <d v="2025-04-21T00:00:00"/>
    <d v="2025-04-22T00:00:00"/>
    <n v="2"/>
    <n v="168258.16"/>
    <s v="Hypertension"/>
  </r>
  <r>
    <n v="986"/>
    <x v="261"/>
    <x v="63"/>
    <s v="F"/>
    <n v="1"/>
    <d v="2024-12-17T00:00:00"/>
    <d v="2024-12-27T00:00:00"/>
    <n v="2"/>
    <n v="18656.95"/>
    <s v="Hypertension"/>
  </r>
  <r>
    <n v="987"/>
    <x v="391"/>
    <x v="93"/>
    <s v="F"/>
    <n v="3"/>
    <d v="2023-01-10T00:00:00"/>
    <d v="2023-01-18T00:00:00"/>
    <n v="3"/>
    <n v="29875.360000000001"/>
    <s v="Asthma"/>
  </r>
  <r>
    <n v="988"/>
    <x v="161"/>
    <x v="16"/>
    <s v="F"/>
    <n v="3"/>
    <d v="2022-02-25T00:00:00"/>
    <d v="2022-03-19T00:00:00"/>
    <n v="1"/>
    <n v="71714.3"/>
    <s v="Diabetes"/>
  </r>
  <r>
    <n v="989"/>
    <x v="565"/>
    <x v="36"/>
    <s v="F"/>
    <n v="5"/>
    <d v="2024-02-09T00:00:00"/>
    <d v="2024-03-10T00:00:00"/>
    <n v="4"/>
    <n v="23971.51"/>
    <s v="Pneumonia"/>
  </r>
  <r>
    <n v="990"/>
    <x v="394"/>
    <x v="80"/>
    <s v="M"/>
    <n v="8"/>
    <d v="2024-11-07T00:00:00"/>
    <d v="2024-12-01T00:00:00"/>
    <n v="2"/>
    <n v="171010.88"/>
    <s v="Hypertension"/>
  </r>
  <r>
    <n v="991"/>
    <x v="121"/>
    <x v="25"/>
    <s v="F"/>
    <n v="9"/>
    <d v="2024-04-13T00:00:00"/>
    <d v="2024-04-15T00:00:00"/>
    <n v="2"/>
    <n v="74830.149999999994"/>
    <s v="Hypertension"/>
  </r>
  <r>
    <n v="992"/>
    <x v="223"/>
    <x v="32"/>
    <s v="M"/>
    <n v="4"/>
    <d v="2026-04-12T00:00:00"/>
    <d v="2026-04-29T00:00:00"/>
    <n v="3"/>
    <n v="24788.91"/>
    <s v="Asthma"/>
  </r>
  <r>
    <n v="993"/>
    <x v="407"/>
    <x v="89"/>
    <s v="M"/>
    <n v="9"/>
    <d v="2023-02-21T00:00:00"/>
    <d v="2023-03-18T00:00:00"/>
    <n v="6"/>
    <n v="68761.679999999993"/>
    <s v="Kidney Disease"/>
  </r>
  <r>
    <n v="994"/>
    <x v="566"/>
    <x v="42"/>
    <s v="F"/>
    <n v="9"/>
    <d v="2024-07-14T00:00:00"/>
    <d v="2024-07-15T00:00:00"/>
    <n v="1"/>
    <n v="84975.74"/>
    <s v="Diabetes"/>
  </r>
  <r>
    <n v="995"/>
    <x v="364"/>
    <x v="24"/>
    <s v="M"/>
    <n v="1"/>
    <d v="2022-05-04T00:00:00"/>
    <d v="2022-06-02T00:00:00"/>
    <n v="5"/>
    <n v="51011.27"/>
    <s v="Heart Disease"/>
  </r>
  <r>
    <n v="996"/>
    <x v="567"/>
    <x v="39"/>
    <s v="M"/>
    <n v="10"/>
    <d v="2026-09-18T00:00:00"/>
    <d v="2026-10-04T00:00:00"/>
    <n v="1"/>
    <n v="31151.39"/>
    <s v="Diabetes"/>
  </r>
  <r>
    <n v="997"/>
    <x v="392"/>
    <x v="47"/>
    <s v="F"/>
    <n v="2"/>
    <d v="2024-03-20T00:00:00"/>
    <d v="2024-04-11T00:00:00"/>
    <n v="1"/>
    <n v="27287.919999999998"/>
    <s v="Diabetes"/>
  </r>
  <r>
    <n v="998"/>
    <x v="568"/>
    <x v="54"/>
    <s v="M"/>
    <n v="10"/>
    <d v="2024-10-30T00:00:00"/>
    <d v="2024-11-29T00:00:00"/>
    <n v="4"/>
    <n v="159397.85999999999"/>
    <s v="Pneumonia"/>
  </r>
  <r>
    <n v="999"/>
    <x v="569"/>
    <x v="71"/>
    <s v="F"/>
    <n v="5"/>
    <d v="2023-05-19T00:00:00"/>
    <d v="2023-06-09T00:00:00"/>
    <n v="6"/>
    <n v="63139.29"/>
    <s v="Kidney Disease"/>
  </r>
  <r>
    <n v="1000"/>
    <x v="35"/>
    <x v="64"/>
    <s v="M"/>
    <n v="3"/>
    <d v="2025-08-16T00:00:00"/>
    <d v="2025-09-14T00:00:00"/>
    <n v="1"/>
    <n v="87083.89"/>
    <s v="Diabet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135C0-0C04-40F2-8D36-97CB5AA0B704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74" firstHeaderRow="1" firstDataRow="1" firstDataCol="1" rowPageCount="1" colPageCount="1"/>
  <pivotFields count="14">
    <pivotField showAll="0"/>
    <pivotField axis="axisRow" showAll="0">
      <items count="571">
        <item x="413"/>
        <item x="445"/>
        <item x="415"/>
        <item x="490"/>
        <item x="90"/>
        <item x="357"/>
        <item x="394"/>
        <item x="210"/>
        <item x="497"/>
        <item x="207"/>
        <item x="347"/>
        <item x="440"/>
        <item x="69"/>
        <item x="313"/>
        <item x="535"/>
        <item x="105"/>
        <item x="235"/>
        <item x="476"/>
        <item x="244"/>
        <item x="39"/>
        <item x="342"/>
        <item x="486"/>
        <item x="40"/>
        <item x="395"/>
        <item x="559"/>
        <item x="49"/>
        <item x="355"/>
        <item x="301"/>
        <item x="330"/>
        <item x="33"/>
        <item x="548"/>
        <item x="285"/>
        <item x="110"/>
        <item x="454"/>
        <item x="77"/>
        <item x="337"/>
        <item x="494"/>
        <item x="473"/>
        <item x="551"/>
        <item x="22"/>
        <item x="495"/>
        <item x="396"/>
        <item x="128"/>
        <item x="404"/>
        <item x="94"/>
        <item x="480"/>
        <item x="381"/>
        <item x="152"/>
        <item x="227"/>
        <item x="211"/>
        <item x="525"/>
        <item x="437"/>
        <item x="427"/>
        <item x="498"/>
        <item x="341"/>
        <item x="320"/>
        <item x="351"/>
        <item x="377"/>
        <item x="418"/>
        <item x="539"/>
        <item x="201"/>
        <item x="61"/>
        <item x="172"/>
        <item x="410"/>
        <item x="515"/>
        <item x="4"/>
        <item x="143"/>
        <item x="489"/>
        <item x="259"/>
        <item x="363"/>
        <item x="352"/>
        <item x="271"/>
        <item x="197"/>
        <item x="252"/>
        <item x="449"/>
        <item x="7"/>
        <item x="186"/>
        <item x="43"/>
        <item x="3"/>
        <item x="446"/>
        <item x="566"/>
        <item x="68"/>
        <item x="307"/>
        <item x="8"/>
        <item x="536"/>
        <item x="526"/>
        <item x="53"/>
        <item x="31"/>
        <item x="424"/>
        <item x="295"/>
        <item x="164"/>
        <item x="459"/>
        <item x="260"/>
        <item x="501"/>
        <item x="429"/>
        <item x="273"/>
        <item x="42"/>
        <item x="236"/>
        <item x="44"/>
        <item x="452"/>
        <item x="327"/>
        <item x="238"/>
        <item x="298"/>
        <item x="169"/>
        <item x="234"/>
        <item x="167"/>
        <item x="149"/>
        <item x="430"/>
        <item x="291"/>
        <item x="506"/>
        <item x="481"/>
        <item x="46"/>
        <item x="23"/>
        <item x="247"/>
        <item x="547"/>
        <item x="487"/>
        <item x="70"/>
        <item x="217"/>
        <item x="5"/>
        <item x="13"/>
        <item x="462"/>
        <item x="344"/>
        <item x="282"/>
        <item x="274"/>
        <item x="555"/>
        <item x="346"/>
        <item x="524"/>
        <item x="185"/>
        <item x="0"/>
        <item x="499"/>
        <item x="225"/>
        <item x="511"/>
        <item x="520"/>
        <item x="326"/>
        <item x="262"/>
        <item x="286"/>
        <item x="163"/>
        <item x="455"/>
        <item x="425"/>
        <item x="228"/>
        <item x="141"/>
        <item x="100"/>
        <item x="561"/>
        <item x="97"/>
        <item x="538"/>
        <item x="180"/>
        <item x="79"/>
        <item x="502"/>
        <item x="52"/>
        <item x="109"/>
        <item x="230"/>
        <item x="311"/>
        <item x="267"/>
        <item x="241"/>
        <item x="419"/>
        <item x="125"/>
        <item x="365"/>
        <item x="350"/>
        <item x="477"/>
        <item x="135"/>
        <item x="303"/>
        <item x="242"/>
        <item x="373"/>
        <item x="379"/>
        <item x="447"/>
        <item x="64"/>
        <item x="333"/>
        <item x="78"/>
        <item x="531"/>
        <item x="92"/>
        <item x="10"/>
        <item x="121"/>
        <item x="562"/>
        <item x="101"/>
        <item x="84"/>
        <item x="59"/>
        <item x="556"/>
        <item x="321"/>
        <item x="292"/>
        <item x="162"/>
        <item x="433"/>
        <item x="148"/>
        <item x="371"/>
        <item x="428"/>
        <item x="290"/>
        <item x="521"/>
        <item x="554"/>
        <item x="296"/>
        <item x="540"/>
        <item x="412"/>
        <item x="376"/>
        <item x="21"/>
        <item x="204"/>
        <item x="537"/>
        <item x="75"/>
        <item x="184"/>
        <item x="331"/>
        <item x="406"/>
        <item x="183"/>
        <item x="231"/>
        <item x="304"/>
        <item x="127"/>
        <item x="399"/>
        <item x="240"/>
        <item x="507"/>
        <item x="293"/>
        <item x="328"/>
        <item x="72"/>
        <item x="384"/>
        <item x="448"/>
        <item x="28"/>
        <item x="397"/>
        <item x="383"/>
        <item x="529"/>
        <item x="232"/>
        <item x="115"/>
        <item x="263"/>
        <item x="485"/>
        <item x="544"/>
        <item x="196"/>
        <item x="288"/>
        <item x="203"/>
        <item x="120"/>
        <item x="88"/>
        <item x="60"/>
        <item x="297"/>
        <item x="161"/>
        <item x="496"/>
        <item x="253"/>
        <item x="119"/>
        <item x="233"/>
        <item x="380"/>
        <item x="277"/>
        <item x="325"/>
        <item x="86"/>
        <item x="114"/>
        <item x="229"/>
        <item x="466"/>
        <item x="408"/>
        <item x="91"/>
        <item x="181"/>
        <item x="338"/>
        <item x="414"/>
        <item x="18"/>
        <item x="205"/>
        <item x="218"/>
        <item x="323"/>
        <item x="170"/>
        <item x="199"/>
        <item x="243"/>
        <item x="142"/>
        <item x="123"/>
        <item x="284"/>
        <item x="409"/>
        <item x="461"/>
        <item x="421"/>
        <item x="222"/>
        <item x="182"/>
        <item x="389"/>
        <item x="81"/>
        <item x="157"/>
        <item x="209"/>
        <item x="249"/>
        <item x="465"/>
        <item x="392"/>
        <item x="319"/>
        <item x="19"/>
        <item x="426"/>
        <item x="272"/>
        <item x="402"/>
        <item x="533"/>
        <item x="168"/>
        <item x="188"/>
        <item x="505"/>
        <item x="317"/>
        <item x="1"/>
        <item x="30"/>
        <item x="214"/>
        <item x="191"/>
        <item x="374"/>
        <item x="361"/>
        <item x="359"/>
        <item x="251"/>
        <item x="58"/>
        <item x="276"/>
        <item x="80"/>
        <item x="51"/>
        <item x="403"/>
        <item x="517"/>
        <item x="366"/>
        <item x="206"/>
        <item x="542"/>
        <item x="117"/>
        <item x="179"/>
        <item x="567"/>
        <item x="484"/>
        <item x="131"/>
        <item x="156"/>
        <item x="47"/>
        <item x="335"/>
        <item x="508"/>
        <item x="316"/>
        <item x="237"/>
        <item x="16"/>
        <item x="458"/>
        <item x="405"/>
        <item x="83"/>
        <item x="146"/>
        <item x="254"/>
        <item x="289"/>
        <item x="312"/>
        <item x="195"/>
        <item x="375"/>
        <item x="50"/>
        <item x="443"/>
        <item x="364"/>
        <item x="564"/>
        <item x="411"/>
        <item x="37"/>
        <item x="483"/>
        <item x="370"/>
        <item x="460"/>
        <item x="239"/>
        <item x="309"/>
        <item x="372"/>
        <item x="353"/>
        <item x="133"/>
        <item x="65"/>
        <item x="527"/>
        <item x="545"/>
        <item x="401"/>
        <item x="36"/>
        <item x="528"/>
        <item x="358"/>
        <item x="369"/>
        <item x="557"/>
        <item x="174"/>
        <item x="160"/>
        <item x="532"/>
        <item x="202"/>
        <item x="73"/>
        <item x="457"/>
        <item x="153"/>
        <item x="300"/>
        <item x="57"/>
        <item x="154"/>
        <item x="491"/>
        <item x="178"/>
        <item x="439"/>
        <item x="308"/>
        <item x="512"/>
        <item x="563"/>
        <item x="442"/>
        <item x="54"/>
        <item x="390"/>
        <item x="130"/>
        <item x="224"/>
        <item x="6"/>
        <item x="98"/>
        <item x="513"/>
        <item x="223"/>
        <item x="200"/>
        <item x="553"/>
        <item x="12"/>
        <item x="266"/>
        <item x="41"/>
        <item x="488"/>
        <item x="25"/>
        <item x="27"/>
        <item x="546"/>
        <item x="245"/>
        <item x="453"/>
        <item x="129"/>
        <item x="530"/>
        <item x="111"/>
        <item x="215"/>
        <item x="550"/>
        <item x="367"/>
        <item x="558"/>
        <item x="522"/>
        <item x="356"/>
        <item x="177"/>
        <item x="132"/>
        <item x="398"/>
        <item x="387"/>
        <item x="17"/>
        <item x="287"/>
        <item x="151"/>
        <item x="386"/>
        <item x="388"/>
        <item x="126"/>
        <item x="422"/>
        <item x="552"/>
        <item x="444"/>
        <item x="62"/>
        <item x="124"/>
        <item x="137"/>
        <item x="155"/>
        <item x="213"/>
        <item x="261"/>
        <item x="322"/>
        <item x="15"/>
        <item x="265"/>
        <item x="569"/>
        <item x="71"/>
        <item x="434"/>
        <item x="400"/>
        <item x="523"/>
        <item x="122"/>
        <item x="431"/>
        <item x="95"/>
        <item x="190"/>
        <item x="283"/>
        <item x="391"/>
        <item x="349"/>
        <item x="159"/>
        <item x="26"/>
        <item x="294"/>
        <item x="534"/>
        <item x="38"/>
        <item x="417"/>
        <item x="332"/>
        <item x="336"/>
        <item x="118"/>
        <item x="9"/>
        <item x="194"/>
        <item x="568"/>
        <item x="269"/>
        <item x="136"/>
        <item x="504"/>
        <item x="96"/>
        <item x="139"/>
        <item x="471"/>
        <item x="299"/>
        <item x="565"/>
        <item x="102"/>
        <item x="248"/>
        <item x="93"/>
        <item x="314"/>
        <item x="48"/>
        <item x="216"/>
        <item x="475"/>
        <item x="472"/>
        <item x="324"/>
        <item x="246"/>
        <item x="420"/>
        <item x="108"/>
        <item x="103"/>
        <item x="500"/>
        <item x="134"/>
        <item x="275"/>
        <item x="74"/>
        <item x="158"/>
        <item x="219"/>
        <item x="514"/>
        <item x="20"/>
        <item x="87"/>
        <item x="423"/>
        <item x="463"/>
        <item x="226"/>
        <item x="467"/>
        <item x="280"/>
        <item x="302"/>
        <item x="279"/>
        <item x="192"/>
        <item x="250"/>
        <item x="107"/>
        <item x="173"/>
        <item x="329"/>
        <item x="435"/>
        <item x="140"/>
        <item x="165"/>
        <item x="393"/>
        <item x="11"/>
        <item x="257"/>
        <item x="45"/>
        <item x="35"/>
        <item x="509"/>
        <item x="55"/>
        <item x="510"/>
        <item x="450"/>
        <item x="29"/>
        <item x="212"/>
        <item x="67"/>
        <item x="14"/>
        <item x="89"/>
        <item x="541"/>
        <item x="34"/>
        <item x="543"/>
        <item x="256"/>
        <item x="451"/>
        <item x="441"/>
        <item x="145"/>
        <item x="255"/>
        <item x="354"/>
        <item x="32"/>
        <item x="116"/>
        <item x="147"/>
        <item x="343"/>
        <item x="106"/>
        <item x="144"/>
        <item x="278"/>
        <item x="76"/>
        <item x="258"/>
        <item x="348"/>
        <item x="305"/>
        <item x="193"/>
        <item x="270"/>
        <item x="478"/>
        <item x="281"/>
        <item x="82"/>
        <item x="268"/>
        <item x="492"/>
        <item x="340"/>
        <item x="104"/>
        <item x="378"/>
        <item x="382"/>
        <item x="189"/>
        <item x="85"/>
        <item x="518"/>
        <item x="479"/>
        <item x="56"/>
        <item x="99"/>
        <item x="432"/>
        <item x="468"/>
        <item x="345"/>
        <item x="318"/>
        <item x="221"/>
        <item x="362"/>
        <item x="470"/>
        <item x="360"/>
        <item x="334"/>
        <item x="368"/>
        <item x="560"/>
        <item x="171"/>
        <item x="438"/>
        <item x="493"/>
        <item x="503"/>
        <item x="63"/>
        <item x="208"/>
        <item x="339"/>
        <item x="175"/>
        <item x="416"/>
        <item x="482"/>
        <item x="469"/>
        <item x="166"/>
        <item x="176"/>
        <item x="66"/>
        <item x="464"/>
        <item x="264"/>
        <item x="436"/>
        <item x="516"/>
        <item x="2"/>
        <item x="306"/>
        <item x="310"/>
        <item x="549"/>
        <item x="138"/>
        <item x="519"/>
        <item x="24"/>
        <item x="456"/>
        <item x="112"/>
        <item x="150"/>
        <item x="407"/>
        <item x="315"/>
        <item x="198"/>
        <item x="220"/>
        <item x="187"/>
        <item x="385"/>
        <item x="113"/>
        <item x="474"/>
        <item t="default"/>
      </items>
    </pivotField>
    <pivotField axis="axisPage" showAll="0">
      <items count="96">
        <item x="19"/>
        <item x="31"/>
        <item x="56"/>
        <item x="67"/>
        <item x="75"/>
        <item x="35"/>
        <item x="66"/>
        <item x="16"/>
        <item x="47"/>
        <item x="34"/>
        <item x="5"/>
        <item x="86"/>
        <item x="72"/>
        <item x="52"/>
        <item x="58"/>
        <item x="18"/>
        <item x="17"/>
        <item x="69"/>
        <item x="45"/>
        <item x="50"/>
        <item x="37"/>
        <item x="93"/>
        <item x="14"/>
        <item x="63"/>
        <item x="57"/>
        <item x="2"/>
        <item x="79"/>
        <item x="8"/>
        <item x="59"/>
        <item x="73"/>
        <item x="20"/>
        <item x="30"/>
        <item x="12"/>
        <item x="9"/>
        <item x="32"/>
        <item x="23"/>
        <item x="44"/>
        <item x="13"/>
        <item x="94"/>
        <item x="38"/>
        <item x="25"/>
        <item x="85"/>
        <item x="64"/>
        <item x="3"/>
        <item x="39"/>
        <item x="4"/>
        <item x="76"/>
        <item x="51"/>
        <item x="49"/>
        <item x="78"/>
        <item x="88"/>
        <item x="10"/>
        <item x="36"/>
        <item x="53"/>
        <item x="22"/>
        <item x="54"/>
        <item x="46"/>
        <item x="89"/>
        <item x="65"/>
        <item x="55"/>
        <item x="21"/>
        <item x="68"/>
        <item x="33"/>
        <item x="90"/>
        <item x="91"/>
        <item x="26"/>
        <item x="28"/>
        <item x="83"/>
        <item x="42"/>
        <item x="15"/>
        <item x="92"/>
        <item x="82"/>
        <item x="27"/>
        <item x="74"/>
        <item x="40"/>
        <item x="1"/>
        <item x="80"/>
        <item x="41"/>
        <item x="77"/>
        <item x="60"/>
        <item x="11"/>
        <item x="84"/>
        <item x="87"/>
        <item x="24"/>
        <item x="43"/>
        <item x="29"/>
        <item x="62"/>
        <item x="7"/>
        <item x="61"/>
        <item x="70"/>
        <item x="71"/>
        <item x="81"/>
        <item x="48"/>
        <item x="6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164" showAll="0"/>
    <pivotField numFmtId="164" showAll="0"/>
    <pivotField showAll="0"/>
    <pivotField dataField="1" numFmtId="4" showAll="0"/>
    <pivotField showAll="0"/>
    <pivotField showAll="0"/>
    <pivotField showAll="0"/>
    <pivotField showAll="0"/>
    <pivotField showAll="0"/>
  </pivotFields>
  <rowFields count="1">
    <field x="1"/>
  </rowFields>
  <rowItems count="5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 t="grand">
      <x/>
    </i>
  </rowItems>
  <colItems count="1">
    <i/>
  </colItems>
  <pageFields count="1">
    <pageField fld="2" hier="-1"/>
  </pageFields>
  <dataFields count="1">
    <dataField name="Sum of TreatmentCost" fld="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4831F-21C8-4798-8676-E38B919753A9}" name="PivotTable2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2" firstHeaderRow="0" firstDataRow="1" firstDataCol="1" rowPageCount="1" colPageCount="1"/>
  <pivotFields count="10">
    <pivotField showAll="0"/>
    <pivotField axis="axisRow" showAll="0">
      <items count="571">
        <item x="413"/>
        <item x="445"/>
        <item x="415"/>
        <item x="490"/>
        <item x="90"/>
        <item x="357"/>
        <item x="394"/>
        <item x="210"/>
        <item x="497"/>
        <item x="207"/>
        <item x="347"/>
        <item x="440"/>
        <item x="69"/>
        <item x="313"/>
        <item x="535"/>
        <item x="105"/>
        <item x="235"/>
        <item x="476"/>
        <item x="244"/>
        <item x="39"/>
        <item x="342"/>
        <item x="486"/>
        <item x="40"/>
        <item x="395"/>
        <item x="559"/>
        <item x="49"/>
        <item x="355"/>
        <item x="301"/>
        <item x="330"/>
        <item x="33"/>
        <item x="548"/>
        <item x="285"/>
        <item x="110"/>
        <item x="454"/>
        <item x="77"/>
        <item x="337"/>
        <item x="494"/>
        <item x="473"/>
        <item x="551"/>
        <item x="22"/>
        <item x="495"/>
        <item x="396"/>
        <item x="128"/>
        <item x="404"/>
        <item x="94"/>
        <item x="480"/>
        <item x="381"/>
        <item x="152"/>
        <item x="227"/>
        <item x="211"/>
        <item x="525"/>
        <item x="437"/>
        <item x="427"/>
        <item x="498"/>
        <item x="341"/>
        <item x="320"/>
        <item x="351"/>
        <item x="377"/>
        <item x="418"/>
        <item x="539"/>
        <item x="201"/>
        <item x="61"/>
        <item x="172"/>
        <item x="410"/>
        <item x="515"/>
        <item x="4"/>
        <item x="143"/>
        <item x="489"/>
        <item x="259"/>
        <item x="363"/>
        <item x="352"/>
        <item x="271"/>
        <item x="197"/>
        <item x="252"/>
        <item x="449"/>
        <item x="7"/>
        <item x="186"/>
        <item x="43"/>
        <item x="3"/>
        <item x="446"/>
        <item x="566"/>
        <item x="68"/>
        <item x="307"/>
        <item x="8"/>
        <item x="536"/>
        <item x="526"/>
        <item x="53"/>
        <item x="31"/>
        <item x="424"/>
        <item x="295"/>
        <item x="164"/>
        <item x="459"/>
        <item x="260"/>
        <item x="501"/>
        <item x="429"/>
        <item x="273"/>
        <item x="42"/>
        <item x="236"/>
        <item x="44"/>
        <item x="452"/>
        <item x="327"/>
        <item x="238"/>
        <item x="298"/>
        <item x="169"/>
        <item x="234"/>
        <item x="167"/>
        <item x="149"/>
        <item x="430"/>
        <item x="291"/>
        <item x="506"/>
        <item x="481"/>
        <item x="46"/>
        <item x="23"/>
        <item x="247"/>
        <item x="547"/>
        <item x="487"/>
        <item x="70"/>
        <item x="217"/>
        <item x="5"/>
        <item x="13"/>
        <item x="462"/>
        <item x="344"/>
        <item x="282"/>
        <item x="274"/>
        <item x="555"/>
        <item x="346"/>
        <item x="524"/>
        <item x="185"/>
        <item x="0"/>
        <item x="499"/>
        <item x="225"/>
        <item x="511"/>
        <item x="520"/>
        <item x="326"/>
        <item x="262"/>
        <item x="286"/>
        <item x="163"/>
        <item x="455"/>
        <item x="425"/>
        <item x="228"/>
        <item x="141"/>
        <item x="100"/>
        <item x="561"/>
        <item x="97"/>
        <item x="538"/>
        <item x="180"/>
        <item x="79"/>
        <item x="502"/>
        <item x="52"/>
        <item x="109"/>
        <item x="230"/>
        <item x="311"/>
        <item x="267"/>
        <item x="241"/>
        <item x="419"/>
        <item x="125"/>
        <item x="365"/>
        <item x="350"/>
        <item x="477"/>
        <item x="135"/>
        <item x="303"/>
        <item x="242"/>
        <item x="373"/>
        <item x="379"/>
        <item x="447"/>
        <item x="64"/>
        <item x="333"/>
        <item x="78"/>
        <item x="531"/>
        <item x="92"/>
        <item x="10"/>
        <item x="121"/>
        <item x="562"/>
        <item x="101"/>
        <item x="84"/>
        <item x="59"/>
        <item x="556"/>
        <item x="321"/>
        <item x="292"/>
        <item x="162"/>
        <item x="433"/>
        <item x="148"/>
        <item x="371"/>
        <item x="428"/>
        <item x="290"/>
        <item x="521"/>
        <item x="554"/>
        <item x="296"/>
        <item x="540"/>
        <item x="412"/>
        <item x="376"/>
        <item x="21"/>
        <item x="204"/>
        <item x="537"/>
        <item x="75"/>
        <item x="184"/>
        <item x="331"/>
        <item x="406"/>
        <item x="183"/>
        <item x="231"/>
        <item x="304"/>
        <item x="127"/>
        <item x="399"/>
        <item x="240"/>
        <item x="507"/>
        <item x="293"/>
        <item x="328"/>
        <item x="72"/>
        <item x="384"/>
        <item x="448"/>
        <item x="28"/>
        <item x="397"/>
        <item x="383"/>
        <item x="529"/>
        <item x="232"/>
        <item x="115"/>
        <item x="263"/>
        <item x="485"/>
        <item x="544"/>
        <item x="196"/>
        <item x="288"/>
        <item x="203"/>
        <item x="120"/>
        <item x="88"/>
        <item x="60"/>
        <item x="297"/>
        <item x="161"/>
        <item x="496"/>
        <item x="253"/>
        <item x="119"/>
        <item x="233"/>
        <item x="380"/>
        <item x="277"/>
        <item x="325"/>
        <item x="86"/>
        <item x="114"/>
        <item x="229"/>
        <item x="466"/>
        <item x="408"/>
        <item x="91"/>
        <item x="181"/>
        <item x="338"/>
        <item x="414"/>
        <item x="18"/>
        <item x="205"/>
        <item x="218"/>
        <item x="323"/>
        <item x="170"/>
        <item x="199"/>
        <item x="243"/>
        <item x="142"/>
        <item x="123"/>
        <item x="284"/>
        <item x="409"/>
        <item x="461"/>
        <item x="421"/>
        <item x="222"/>
        <item x="182"/>
        <item x="389"/>
        <item x="81"/>
        <item x="157"/>
        <item x="209"/>
        <item x="249"/>
        <item x="465"/>
        <item x="392"/>
        <item x="319"/>
        <item x="19"/>
        <item x="426"/>
        <item x="272"/>
        <item x="402"/>
        <item x="533"/>
        <item x="168"/>
        <item x="188"/>
        <item x="505"/>
        <item x="317"/>
        <item x="1"/>
        <item x="30"/>
        <item x="214"/>
        <item x="191"/>
        <item x="374"/>
        <item x="361"/>
        <item x="359"/>
        <item x="251"/>
        <item x="58"/>
        <item x="276"/>
        <item x="80"/>
        <item x="51"/>
        <item x="403"/>
        <item x="517"/>
        <item x="366"/>
        <item x="206"/>
        <item x="542"/>
        <item x="117"/>
        <item x="179"/>
        <item x="567"/>
        <item x="484"/>
        <item x="131"/>
        <item x="156"/>
        <item x="47"/>
        <item x="335"/>
        <item x="508"/>
        <item x="316"/>
        <item x="237"/>
        <item x="16"/>
        <item x="458"/>
        <item x="405"/>
        <item x="83"/>
        <item x="146"/>
        <item x="254"/>
        <item x="289"/>
        <item x="312"/>
        <item x="195"/>
        <item x="375"/>
        <item x="50"/>
        <item x="443"/>
        <item x="364"/>
        <item x="564"/>
        <item x="411"/>
        <item x="37"/>
        <item x="483"/>
        <item x="370"/>
        <item x="460"/>
        <item x="239"/>
        <item x="309"/>
        <item x="372"/>
        <item x="353"/>
        <item x="133"/>
        <item x="65"/>
        <item x="527"/>
        <item x="545"/>
        <item x="401"/>
        <item x="36"/>
        <item x="528"/>
        <item x="358"/>
        <item x="369"/>
        <item x="557"/>
        <item x="174"/>
        <item x="160"/>
        <item x="532"/>
        <item x="202"/>
        <item x="73"/>
        <item x="457"/>
        <item x="153"/>
        <item x="300"/>
        <item x="57"/>
        <item x="154"/>
        <item x="491"/>
        <item x="178"/>
        <item x="439"/>
        <item x="308"/>
        <item x="512"/>
        <item x="563"/>
        <item x="442"/>
        <item x="54"/>
        <item x="390"/>
        <item x="130"/>
        <item x="224"/>
        <item x="6"/>
        <item x="98"/>
        <item x="513"/>
        <item x="223"/>
        <item x="200"/>
        <item x="553"/>
        <item x="12"/>
        <item x="266"/>
        <item x="41"/>
        <item x="488"/>
        <item x="25"/>
        <item x="27"/>
        <item x="546"/>
        <item x="245"/>
        <item x="453"/>
        <item x="129"/>
        <item x="530"/>
        <item x="111"/>
        <item x="215"/>
        <item x="550"/>
        <item x="367"/>
        <item x="558"/>
        <item x="522"/>
        <item x="356"/>
        <item x="177"/>
        <item x="132"/>
        <item x="398"/>
        <item x="387"/>
        <item x="17"/>
        <item x="287"/>
        <item x="151"/>
        <item x="386"/>
        <item x="388"/>
        <item x="126"/>
        <item x="422"/>
        <item x="552"/>
        <item x="444"/>
        <item x="62"/>
        <item x="124"/>
        <item x="137"/>
        <item x="155"/>
        <item x="213"/>
        <item x="261"/>
        <item x="322"/>
        <item x="15"/>
        <item x="265"/>
        <item x="569"/>
        <item x="71"/>
        <item x="434"/>
        <item x="400"/>
        <item x="523"/>
        <item x="122"/>
        <item x="431"/>
        <item x="95"/>
        <item x="190"/>
        <item x="283"/>
        <item x="391"/>
        <item x="349"/>
        <item x="159"/>
        <item x="26"/>
        <item x="294"/>
        <item x="534"/>
        <item x="38"/>
        <item x="417"/>
        <item x="332"/>
        <item x="336"/>
        <item x="118"/>
        <item x="9"/>
        <item x="194"/>
        <item x="568"/>
        <item x="269"/>
        <item x="136"/>
        <item x="504"/>
        <item x="96"/>
        <item x="139"/>
        <item x="471"/>
        <item x="299"/>
        <item x="565"/>
        <item x="102"/>
        <item x="248"/>
        <item x="93"/>
        <item x="314"/>
        <item x="48"/>
        <item x="216"/>
        <item x="475"/>
        <item x="472"/>
        <item x="324"/>
        <item x="246"/>
        <item x="420"/>
        <item x="108"/>
        <item x="103"/>
        <item x="500"/>
        <item x="134"/>
        <item x="275"/>
        <item x="74"/>
        <item x="158"/>
        <item x="219"/>
        <item x="514"/>
        <item x="20"/>
        <item x="87"/>
        <item x="423"/>
        <item x="463"/>
        <item x="226"/>
        <item x="467"/>
        <item x="280"/>
        <item x="302"/>
        <item x="279"/>
        <item x="192"/>
        <item x="250"/>
        <item x="107"/>
        <item x="173"/>
        <item x="329"/>
        <item x="435"/>
        <item x="140"/>
        <item x="165"/>
        <item x="393"/>
        <item x="11"/>
        <item x="257"/>
        <item x="45"/>
        <item x="35"/>
        <item x="509"/>
        <item x="55"/>
        <item x="510"/>
        <item x="450"/>
        <item x="29"/>
        <item x="212"/>
        <item x="67"/>
        <item x="14"/>
        <item x="89"/>
        <item x="541"/>
        <item x="34"/>
        <item x="543"/>
        <item x="256"/>
        <item x="451"/>
        <item x="441"/>
        <item x="145"/>
        <item x="255"/>
        <item x="354"/>
        <item x="32"/>
        <item x="116"/>
        <item x="147"/>
        <item x="343"/>
        <item x="106"/>
        <item x="144"/>
        <item x="278"/>
        <item x="76"/>
        <item x="258"/>
        <item x="348"/>
        <item x="305"/>
        <item x="193"/>
        <item x="270"/>
        <item x="478"/>
        <item x="281"/>
        <item x="82"/>
        <item x="268"/>
        <item x="492"/>
        <item x="340"/>
        <item x="104"/>
        <item x="378"/>
        <item x="382"/>
        <item x="189"/>
        <item x="85"/>
        <item x="518"/>
        <item x="479"/>
        <item x="56"/>
        <item x="99"/>
        <item x="432"/>
        <item x="468"/>
        <item x="345"/>
        <item x="318"/>
        <item x="221"/>
        <item x="362"/>
        <item x="470"/>
        <item x="360"/>
        <item x="334"/>
        <item x="368"/>
        <item x="560"/>
        <item x="171"/>
        <item x="438"/>
        <item x="493"/>
        <item x="503"/>
        <item x="63"/>
        <item x="208"/>
        <item x="339"/>
        <item x="175"/>
        <item x="416"/>
        <item x="482"/>
        <item x="469"/>
        <item x="166"/>
        <item x="176"/>
        <item x="66"/>
        <item x="464"/>
        <item x="264"/>
        <item x="436"/>
        <item x="516"/>
        <item x="2"/>
        <item x="306"/>
        <item x="310"/>
        <item x="549"/>
        <item x="138"/>
        <item x="519"/>
        <item x="24"/>
        <item x="456"/>
        <item x="112"/>
        <item x="150"/>
        <item x="407"/>
        <item x="315"/>
        <item x="198"/>
        <item x="220"/>
        <item x="187"/>
        <item x="385"/>
        <item x="113"/>
        <item x="474"/>
        <item t="default"/>
      </items>
    </pivotField>
    <pivotField axis="axisPage" dataField="1" showAll="0">
      <items count="96">
        <item x="19"/>
        <item x="31"/>
        <item x="56"/>
        <item x="67"/>
        <item x="75"/>
        <item x="35"/>
        <item x="66"/>
        <item x="16"/>
        <item x="47"/>
        <item x="34"/>
        <item x="5"/>
        <item x="86"/>
        <item x="72"/>
        <item x="52"/>
        <item x="58"/>
        <item x="18"/>
        <item x="17"/>
        <item x="69"/>
        <item x="45"/>
        <item x="50"/>
        <item x="37"/>
        <item x="93"/>
        <item x="14"/>
        <item x="63"/>
        <item x="57"/>
        <item x="2"/>
        <item x="79"/>
        <item x="8"/>
        <item x="59"/>
        <item x="73"/>
        <item x="20"/>
        <item x="30"/>
        <item x="12"/>
        <item x="9"/>
        <item x="32"/>
        <item x="23"/>
        <item x="44"/>
        <item x="13"/>
        <item x="94"/>
        <item x="38"/>
        <item x="25"/>
        <item x="85"/>
        <item x="64"/>
        <item x="3"/>
        <item x="39"/>
        <item x="4"/>
        <item x="76"/>
        <item x="51"/>
        <item x="49"/>
        <item x="78"/>
        <item x="88"/>
        <item x="10"/>
        <item x="36"/>
        <item x="53"/>
        <item x="22"/>
        <item x="54"/>
        <item x="46"/>
        <item x="89"/>
        <item x="65"/>
        <item x="55"/>
        <item x="21"/>
        <item x="68"/>
        <item x="33"/>
        <item x="90"/>
        <item x="91"/>
        <item x="26"/>
        <item x="28"/>
        <item x="83"/>
        <item x="42"/>
        <item x="15"/>
        <item x="92"/>
        <item x="82"/>
        <item x="27"/>
        <item x="74"/>
        <item x="40"/>
        <item x="1"/>
        <item x="80"/>
        <item x="41"/>
        <item x="77"/>
        <item x="60"/>
        <item x="11"/>
        <item x="84"/>
        <item x="87"/>
        <item x="24"/>
        <item x="43"/>
        <item x="29"/>
        <item x="62"/>
        <item x="7"/>
        <item x="61"/>
        <item x="70"/>
        <item x="71"/>
        <item x="81"/>
        <item x="48"/>
        <item x="6"/>
        <item x="0"/>
        <item t="default"/>
      </items>
    </pivotField>
    <pivotField showAll="0"/>
    <pivotField dataField="1" showAll="0"/>
    <pivotField numFmtId="164" showAll="0"/>
    <pivotField numFmtId="164" showAll="0"/>
    <pivotField showAll="0"/>
    <pivotField numFmtId="4" showAll="0"/>
    <pivotField showAll="0"/>
  </pivotFields>
  <rowFields count="1">
    <field x="1"/>
  </rowFields>
  <rowItems count="9">
    <i>
      <x v="32"/>
    </i>
    <i>
      <x v="139"/>
    </i>
    <i>
      <x v="217"/>
    </i>
    <i>
      <x v="258"/>
    </i>
    <i>
      <x v="322"/>
    </i>
    <i>
      <x v="457"/>
    </i>
    <i>
      <x v="498"/>
    </i>
    <i>
      <x v="565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29" hier="-1"/>
  </pageFields>
  <dataFields count="2">
    <dataField name="Sum of DiagnosisID" fld="4" baseField="0" baseItem="0"/>
    <dataField name="Sum of Age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7DEA-079A-4CDF-B824-7B0A5C75B629}">
  <dimension ref="A1:B574"/>
  <sheetViews>
    <sheetView workbookViewId="0">
      <selection activeCell="C21" sqref="C21"/>
    </sheetView>
  </sheetViews>
  <sheetFormatPr defaultRowHeight="14.4" x14ac:dyDescent="0.3"/>
  <cols>
    <col min="1" max="1" width="15.44140625" bestFit="1" customWidth="1"/>
    <col min="2" max="2" width="20.109375" bestFit="1" customWidth="1"/>
    <col min="3" max="3" width="10.6640625" bestFit="1" customWidth="1"/>
  </cols>
  <sheetData>
    <row r="1" spans="1:2" x14ac:dyDescent="0.3">
      <c r="A1" s="6" t="s">
        <v>2</v>
      </c>
      <c r="B1" t="s">
        <v>632</v>
      </c>
    </row>
    <row r="3" spans="1:2" x14ac:dyDescent="0.3">
      <c r="A3" s="6" t="s">
        <v>630</v>
      </c>
      <c r="B3" t="s">
        <v>628</v>
      </c>
    </row>
    <row r="4" spans="1:2" x14ac:dyDescent="0.3">
      <c r="A4" s="7" t="s">
        <v>424</v>
      </c>
      <c r="B4" s="3">
        <v>123456.01</v>
      </c>
    </row>
    <row r="5" spans="1:2" x14ac:dyDescent="0.3">
      <c r="A5" s="7" t="s">
        <v>456</v>
      </c>
      <c r="B5" s="3">
        <v>102759.86</v>
      </c>
    </row>
    <row r="6" spans="1:2" x14ac:dyDescent="0.3">
      <c r="A6" s="7" t="s">
        <v>426</v>
      </c>
      <c r="B6" s="3">
        <v>22220.14</v>
      </c>
    </row>
    <row r="7" spans="1:2" x14ac:dyDescent="0.3">
      <c r="A7" s="7" t="s">
        <v>501</v>
      </c>
      <c r="B7" s="3">
        <v>71743.59</v>
      </c>
    </row>
    <row r="8" spans="1:2" x14ac:dyDescent="0.3">
      <c r="A8" s="7" t="s">
        <v>101</v>
      </c>
      <c r="B8" s="3">
        <v>174547.82</v>
      </c>
    </row>
    <row r="9" spans="1:2" x14ac:dyDescent="0.3">
      <c r="A9" s="7" t="s">
        <v>368</v>
      </c>
      <c r="B9" s="3">
        <v>121515.44</v>
      </c>
    </row>
    <row r="10" spans="1:2" x14ac:dyDescent="0.3">
      <c r="A10" s="7" t="s">
        <v>405</v>
      </c>
      <c r="B10" s="3">
        <v>217831.82</v>
      </c>
    </row>
    <row r="11" spans="1:2" x14ac:dyDescent="0.3">
      <c r="A11" s="7" t="s">
        <v>221</v>
      </c>
      <c r="B11" s="3">
        <v>418507.86</v>
      </c>
    </row>
    <row r="12" spans="1:2" x14ac:dyDescent="0.3">
      <c r="A12" s="7" t="s">
        <v>508</v>
      </c>
      <c r="B12" s="3">
        <v>127981.84000000001</v>
      </c>
    </row>
    <row r="13" spans="1:2" x14ac:dyDescent="0.3">
      <c r="A13" s="7" t="s">
        <v>218</v>
      </c>
      <c r="B13" s="3">
        <v>44972.57</v>
      </c>
    </row>
    <row r="14" spans="1:2" x14ac:dyDescent="0.3">
      <c r="A14" s="7" t="s">
        <v>358</v>
      </c>
      <c r="B14" s="3">
        <v>9494.51</v>
      </c>
    </row>
    <row r="15" spans="1:2" x14ac:dyDescent="0.3">
      <c r="A15" s="7" t="s">
        <v>451</v>
      </c>
      <c r="B15" s="3">
        <v>61708.61</v>
      </c>
    </row>
    <row r="16" spans="1:2" x14ac:dyDescent="0.3">
      <c r="A16" s="7" t="s">
        <v>80</v>
      </c>
      <c r="B16" s="3">
        <v>123955.98</v>
      </c>
    </row>
    <row r="17" spans="1:2" x14ac:dyDescent="0.3">
      <c r="A17" s="7" t="s">
        <v>324</v>
      </c>
      <c r="B17" s="3">
        <v>214021.26</v>
      </c>
    </row>
    <row r="18" spans="1:2" x14ac:dyDescent="0.3">
      <c r="A18" s="7" t="s">
        <v>546</v>
      </c>
      <c r="B18" s="3">
        <v>39843.599999999999</v>
      </c>
    </row>
    <row r="19" spans="1:2" x14ac:dyDescent="0.3">
      <c r="A19" s="7" t="s">
        <v>116</v>
      </c>
      <c r="B19" s="3">
        <v>156901.67000000001</v>
      </c>
    </row>
    <row r="20" spans="1:2" x14ac:dyDescent="0.3">
      <c r="A20" s="7" t="s">
        <v>246</v>
      </c>
      <c r="B20" s="3">
        <v>38801.08</v>
      </c>
    </row>
    <row r="21" spans="1:2" x14ac:dyDescent="0.3">
      <c r="A21" s="7" t="s">
        <v>487</v>
      </c>
      <c r="B21" s="3">
        <v>99927.11</v>
      </c>
    </row>
    <row r="22" spans="1:2" x14ac:dyDescent="0.3">
      <c r="A22" s="7" t="s">
        <v>255</v>
      </c>
      <c r="B22" s="3">
        <v>175975.94</v>
      </c>
    </row>
    <row r="23" spans="1:2" x14ac:dyDescent="0.3">
      <c r="A23" s="7" t="s">
        <v>50</v>
      </c>
      <c r="B23" s="3">
        <v>134716.01999999999</v>
      </c>
    </row>
    <row r="24" spans="1:2" x14ac:dyDescent="0.3">
      <c r="A24" s="7" t="s">
        <v>353</v>
      </c>
      <c r="B24" s="3">
        <v>233401.36</v>
      </c>
    </row>
    <row r="25" spans="1:2" x14ac:dyDescent="0.3">
      <c r="A25" s="7" t="s">
        <v>497</v>
      </c>
      <c r="B25" s="3">
        <v>19782.169999999998</v>
      </c>
    </row>
    <row r="26" spans="1:2" x14ac:dyDescent="0.3">
      <c r="A26" s="7" t="s">
        <v>51</v>
      </c>
      <c r="B26" s="3">
        <v>422032.92</v>
      </c>
    </row>
    <row r="27" spans="1:2" x14ac:dyDescent="0.3">
      <c r="A27" s="7" t="s">
        <v>406</v>
      </c>
      <c r="B27" s="3">
        <v>177401.64</v>
      </c>
    </row>
    <row r="28" spans="1:2" x14ac:dyDescent="0.3">
      <c r="A28" s="7" t="s">
        <v>570</v>
      </c>
      <c r="B28" s="3">
        <v>99135.49</v>
      </c>
    </row>
    <row r="29" spans="1:2" x14ac:dyDescent="0.3">
      <c r="A29" s="7" t="s">
        <v>60</v>
      </c>
      <c r="B29" s="3">
        <v>278521.84999999998</v>
      </c>
    </row>
    <row r="30" spans="1:2" x14ac:dyDescent="0.3">
      <c r="A30" s="7" t="s">
        <v>366</v>
      </c>
      <c r="B30" s="3">
        <v>242780.82</v>
      </c>
    </row>
    <row r="31" spans="1:2" x14ac:dyDescent="0.3">
      <c r="A31" s="7" t="s">
        <v>312</v>
      </c>
      <c r="B31" s="3">
        <v>114377.81</v>
      </c>
    </row>
    <row r="32" spans="1:2" x14ac:dyDescent="0.3">
      <c r="A32" s="7" t="s">
        <v>341</v>
      </c>
      <c r="B32" s="3">
        <v>110481.04</v>
      </c>
    </row>
    <row r="33" spans="1:2" x14ac:dyDescent="0.3">
      <c r="A33" s="7" t="s">
        <v>44</v>
      </c>
      <c r="B33" s="3">
        <v>236292.95</v>
      </c>
    </row>
    <row r="34" spans="1:2" x14ac:dyDescent="0.3">
      <c r="A34" s="7" t="s">
        <v>559</v>
      </c>
      <c r="B34" s="3">
        <v>333723.03000000003</v>
      </c>
    </row>
    <row r="35" spans="1:2" x14ac:dyDescent="0.3">
      <c r="A35" s="7" t="s">
        <v>296</v>
      </c>
      <c r="B35" s="3">
        <v>454367.39</v>
      </c>
    </row>
    <row r="36" spans="1:2" x14ac:dyDescent="0.3">
      <c r="A36" s="7" t="s">
        <v>121</v>
      </c>
      <c r="B36" s="3">
        <v>288943.8</v>
      </c>
    </row>
    <row r="37" spans="1:2" x14ac:dyDescent="0.3">
      <c r="A37" s="7" t="s">
        <v>465</v>
      </c>
      <c r="B37" s="3">
        <v>180479.18</v>
      </c>
    </row>
    <row r="38" spans="1:2" x14ac:dyDescent="0.3">
      <c r="A38" s="7" t="s">
        <v>88</v>
      </c>
      <c r="B38" s="3">
        <v>127256.75</v>
      </c>
    </row>
    <row r="39" spans="1:2" x14ac:dyDescent="0.3">
      <c r="A39" s="7" t="s">
        <v>348</v>
      </c>
      <c r="B39" s="3">
        <v>70246.289999999994</v>
      </c>
    </row>
    <row r="40" spans="1:2" x14ac:dyDescent="0.3">
      <c r="A40" s="7" t="s">
        <v>505</v>
      </c>
      <c r="B40" s="3">
        <v>32329.03</v>
      </c>
    </row>
    <row r="41" spans="1:2" x14ac:dyDescent="0.3">
      <c r="A41" s="7" t="s">
        <v>484</v>
      </c>
      <c r="B41" s="3">
        <v>121354.92</v>
      </c>
    </row>
    <row r="42" spans="1:2" x14ac:dyDescent="0.3">
      <c r="A42" s="7" t="s">
        <v>562</v>
      </c>
      <c r="B42" s="3">
        <v>172865.1</v>
      </c>
    </row>
    <row r="43" spans="1:2" x14ac:dyDescent="0.3">
      <c r="A43" s="7" t="s">
        <v>33</v>
      </c>
      <c r="B43" s="3">
        <v>246279.22</v>
      </c>
    </row>
    <row r="44" spans="1:2" x14ac:dyDescent="0.3">
      <c r="A44" s="7" t="s">
        <v>506</v>
      </c>
      <c r="B44" s="3">
        <v>95347.92</v>
      </c>
    </row>
    <row r="45" spans="1:2" x14ac:dyDescent="0.3">
      <c r="A45" s="7" t="s">
        <v>407</v>
      </c>
      <c r="B45" s="3">
        <v>44592.2</v>
      </c>
    </row>
    <row r="46" spans="1:2" x14ac:dyDescent="0.3">
      <c r="A46" s="7" t="s">
        <v>139</v>
      </c>
      <c r="B46" s="3">
        <v>271616.16000000003</v>
      </c>
    </row>
    <row r="47" spans="1:2" x14ac:dyDescent="0.3">
      <c r="A47" s="7" t="s">
        <v>415</v>
      </c>
      <c r="B47" s="3">
        <v>131679.6</v>
      </c>
    </row>
    <row r="48" spans="1:2" x14ac:dyDescent="0.3">
      <c r="A48" s="7" t="s">
        <v>105</v>
      </c>
      <c r="B48" s="3">
        <v>151946.38</v>
      </c>
    </row>
    <row r="49" spans="1:2" x14ac:dyDescent="0.3">
      <c r="A49" s="7" t="s">
        <v>491</v>
      </c>
      <c r="B49" s="3">
        <v>155034.74</v>
      </c>
    </row>
    <row r="50" spans="1:2" x14ac:dyDescent="0.3">
      <c r="A50" s="7" t="s">
        <v>392</v>
      </c>
      <c r="B50" s="3">
        <v>172587.3</v>
      </c>
    </row>
    <row r="51" spans="1:2" x14ac:dyDescent="0.3">
      <c r="A51" s="7" t="s">
        <v>163</v>
      </c>
      <c r="B51" s="3">
        <v>172495.72</v>
      </c>
    </row>
    <row r="52" spans="1:2" x14ac:dyDescent="0.3">
      <c r="A52" s="7" t="s">
        <v>238</v>
      </c>
      <c r="B52" s="3">
        <v>46129.45</v>
      </c>
    </row>
    <row r="53" spans="1:2" x14ac:dyDescent="0.3">
      <c r="A53" s="7" t="s">
        <v>222</v>
      </c>
      <c r="B53" s="3">
        <v>165111.18</v>
      </c>
    </row>
    <row r="54" spans="1:2" x14ac:dyDescent="0.3">
      <c r="A54" s="7" t="s">
        <v>536</v>
      </c>
      <c r="B54" s="3">
        <v>84088.98</v>
      </c>
    </row>
    <row r="55" spans="1:2" x14ac:dyDescent="0.3">
      <c r="A55" s="7" t="s">
        <v>448</v>
      </c>
      <c r="B55" s="3">
        <v>22445.98</v>
      </c>
    </row>
    <row r="56" spans="1:2" x14ac:dyDescent="0.3">
      <c r="A56" s="7" t="s">
        <v>438</v>
      </c>
      <c r="B56" s="3">
        <v>55809.279999999999</v>
      </c>
    </row>
    <row r="57" spans="1:2" x14ac:dyDescent="0.3">
      <c r="A57" s="7" t="s">
        <v>509</v>
      </c>
      <c r="B57" s="3">
        <v>88598.399999999994</v>
      </c>
    </row>
    <row r="58" spans="1:2" x14ac:dyDescent="0.3">
      <c r="A58" s="7" t="s">
        <v>352</v>
      </c>
      <c r="B58" s="3">
        <v>175883.08</v>
      </c>
    </row>
    <row r="59" spans="1:2" x14ac:dyDescent="0.3">
      <c r="A59" s="7" t="s">
        <v>331</v>
      </c>
      <c r="B59" s="3">
        <v>177225.32</v>
      </c>
    </row>
    <row r="60" spans="1:2" x14ac:dyDescent="0.3">
      <c r="A60" s="7" t="s">
        <v>362</v>
      </c>
      <c r="B60" s="3">
        <v>112870.75</v>
      </c>
    </row>
    <row r="61" spans="1:2" x14ac:dyDescent="0.3">
      <c r="A61" s="7" t="s">
        <v>388</v>
      </c>
      <c r="B61" s="3">
        <v>293910.48</v>
      </c>
    </row>
    <row r="62" spans="1:2" x14ac:dyDescent="0.3">
      <c r="A62" s="7" t="s">
        <v>429</v>
      </c>
      <c r="B62" s="3">
        <v>36185.21</v>
      </c>
    </row>
    <row r="63" spans="1:2" x14ac:dyDescent="0.3">
      <c r="A63" s="7" t="s">
        <v>550</v>
      </c>
      <c r="B63" s="3">
        <v>43095.54</v>
      </c>
    </row>
    <row r="64" spans="1:2" x14ac:dyDescent="0.3">
      <c r="A64" s="7" t="s">
        <v>212</v>
      </c>
      <c r="B64" s="3">
        <v>160339.51</v>
      </c>
    </row>
    <row r="65" spans="1:2" x14ac:dyDescent="0.3">
      <c r="A65" s="7" t="s">
        <v>72</v>
      </c>
      <c r="B65" s="3">
        <v>7651.91</v>
      </c>
    </row>
    <row r="66" spans="1:2" x14ac:dyDescent="0.3">
      <c r="A66" s="7" t="s">
        <v>183</v>
      </c>
      <c r="B66" s="3">
        <v>49842.92</v>
      </c>
    </row>
    <row r="67" spans="1:2" x14ac:dyDescent="0.3">
      <c r="A67" s="7" t="s">
        <v>421</v>
      </c>
      <c r="B67" s="3">
        <v>190843.48000000004</v>
      </c>
    </row>
    <row r="68" spans="1:2" x14ac:dyDescent="0.3">
      <c r="A68" s="7" t="s">
        <v>526</v>
      </c>
      <c r="B68" s="3">
        <v>283705.28000000003</v>
      </c>
    </row>
    <row r="69" spans="1:2" x14ac:dyDescent="0.3">
      <c r="A69" s="7" t="s">
        <v>14</v>
      </c>
      <c r="B69" s="3">
        <v>88689.81</v>
      </c>
    </row>
    <row r="70" spans="1:2" x14ac:dyDescent="0.3">
      <c r="A70" s="7" t="s">
        <v>154</v>
      </c>
      <c r="B70" s="3">
        <v>65364.67</v>
      </c>
    </row>
    <row r="71" spans="1:2" x14ac:dyDescent="0.3">
      <c r="A71" s="7" t="s">
        <v>500</v>
      </c>
      <c r="B71" s="3">
        <v>169334.22</v>
      </c>
    </row>
    <row r="72" spans="1:2" x14ac:dyDescent="0.3">
      <c r="A72" s="7" t="s">
        <v>270</v>
      </c>
      <c r="B72" s="3">
        <v>165869.60999999999</v>
      </c>
    </row>
    <row r="73" spans="1:2" x14ac:dyDescent="0.3">
      <c r="A73" s="7" t="s">
        <v>374</v>
      </c>
      <c r="B73" s="3">
        <v>152667.51999999999</v>
      </c>
    </row>
    <row r="74" spans="1:2" x14ac:dyDescent="0.3">
      <c r="A74" s="7" t="s">
        <v>363</v>
      </c>
      <c r="B74" s="3">
        <v>191808.66</v>
      </c>
    </row>
    <row r="75" spans="1:2" x14ac:dyDescent="0.3">
      <c r="A75" s="7" t="s">
        <v>282</v>
      </c>
      <c r="B75" s="3">
        <v>194073.5</v>
      </c>
    </row>
    <row r="76" spans="1:2" x14ac:dyDescent="0.3">
      <c r="A76" s="7" t="s">
        <v>208</v>
      </c>
      <c r="B76" s="3">
        <v>96990.32</v>
      </c>
    </row>
    <row r="77" spans="1:2" x14ac:dyDescent="0.3">
      <c r="A77" s="7" t="s">
        <v>263</v>
      </c>
      <c r="B77" s="3">
        <v>79655.039999999994</v>
      </c>
    </row>
    <row r="78" spans="1:2" x14ac:dyDescent="0.3">
      <c r="A78" s="7" t="s">
        <v>460</v>
      </c>
      <c r="B78" s="3">
        <v>171160.15</v>
      </c>
    </row>
    <row r="79" spans="1:2" x14ac:dyDescent="0.3">
      <c r="A79" s="7" t="s">
        <v>18</v>
      </c>
      <c r="B79" s="3">
        <v>15173.95</v>
      </c>
    </row>
    <row r="80" spans="1:2" x14ac:dyDescent="0.3">
      <c r="A80" s="7" t="s">
        <v>197</v>
      </c>
      <c r="B80" s="3">
        <v>16917.060000000001</v>
      </c>
    </row>
    <row r="81" spans="1:2" x14ac:dyDescent="0.3">
      <c r="A81" s="7" t="s">
        <v>54</v>
      </c>
      <c r="B81" s="3">
        <v>297946.28000000003</v>
      </c>
    </row>
    <row r="82" spans="1:2" x14ac:dyDescent="0.3">
      <c r="A82" s="7" t="s">
        <v>13</v>
      </c>
      <c r="B82" s="3">
        <v>233858.63</v>
      </c>
    </row>
    <row r="83" spans="1:2" x14ac:dyDescent="0.3">
      <c r="A83" s="7" t="s">
        <v>457</v>
      </c>
      <c r="B83" s="3">
        <v>131556.62</v>
      </c>
    </row>
    <row r="84" spans="1:2" x14ac:dyDescent="0.3">
      <c r="A84" s="7" t="s">
        <v>577</v>
      </c>
      <c r="B84" s="3">
        <v>84975.74</v>
      </c>
    </row>
    <row r="85" spans="1:2" x14ac:dyDescent="0.3">
      <c r="A85" s="7" t="s">
        <v>79</v>
      </c>
      <c r="B85" s="3">
        <v>221903.1</v>
      </c>
    </row>
    <row r="86" spans="1:2" x14ac:dyDescent="0.3">
      <c r="A86" s="7" t="s">
        <v>318</v>
      </c>
      <c r="B86" s="3">
        <v>331275.96999999997</v>
      </c>
    </row>
    <row r="87" spans="1:2" x14ac:dyDescent="0.3">
      <c r="A87" s="7" t="s">
        <v>19</v>
      </c>
      <c r="B87" s="3">
        <v>249921.25</v>
      </c>
    </row>
    <row r="88" spans="1:2" x14ac:dyDescent="0.3">
      <c r="A88" s="7" t="s">
        <v>547</v>
      </c>
      <c r="B88" s="3">
        <v>99721.67</v>
      </c>
    </row>
    <row r="89" spans="1:2" x14ac:dyDescent="0.3">
      <c r="A89" s="7" t="s">
        <v>537</v>
      </c>
      <c r="B89" s="3">
        <v>112006.79</v>
      </c>
    </row>
    <row r="90" spans="1:2" x14ac:dyDescent="0.3">
      <c r="A90" s="7" t="s">
        <v>64</v>
      </c>
      <c r="B90" s="3">
        <v>217452.11</v>
      </c>
    </row>
    <row r="91" spans="1:2" x14ac:dyDescent="0.3">
      <c r="A91" s="7" t="s">
        <v>42</v>
      </c>
      <c r="B91" s="3">
        <v>186014.90000000002</v>
      </c>
    </row>
    <row r="92" spans="1:2" x14ac:dyDescent="0.3">
      <c r="A92" s="7" t="s">
        <v>435</v>
      </c>
      <c r="B92" s="3">
        <v>21228.77</v>
      </c>
    </row>
    <row r="93" spans="1:2" x14ac:dyDescent="0.3">
      <c r="A93" s="7" t="s">
        <v>306</v>
      </c>
      <c r="B93" s="3">
        <v>143785.29999999999</v>
      </c>
    </row>
    <row r="94" spans="1:2" x14ac:dyDescent="0.3">
      <c r="A94" s="7" t="s">
        <v>175</v>
      </c>
      <c r="B94" s="3">
        <v>76440.75</v>
      </c>
    </row>
    <row r="95" spans="1:2" x14ac:dyDescent="0.3">
      <c r="A95" s="7" t="s">
        <v>470</v>
      </c>
      <c r="B95" s="3">
        <v>231672.81</v>
      </c>
    </row>
    <row r="96" spans="1:2" x14ac:dyDescent="0.3">
      <c r="A96" s="7" t="s">
        <v>271</v>
      </c>
      <c r="B96" s="3">
        <v>174108.98</v>
      </c>
    </row>
    <row r="97" spans="1:2" x14ac:dyDescent="0.3">
      <c r="A97" s="7" t="s">
        <v>512</v>
      </c>
      <c r="B97" s="3">
        <v>3401.27</v>
      </c>
    </row>
    <row r="98" spans="1:2" x14ac:dyDescent="0.3">
      <c r="A98" s="7" t="s">
        <v>440</v>
      </c>
      <c r="B98" s="3">
        <v>41095.120000000003</v>
      </c>
    </row>
    <row r="99" spans="1:2" x14ac:dyDescent="0.3">
      <c r="A99" s="7" t="s">
        <v>284</v>
      </c>
      <c r="B99" s="3">
        <v>236227.25</v>
      </c>
    </row>
    <row r="100" spans="1:2" x14ac:dyDescent="0.3">
      <c r="A100" s="7" t="s">
        <v>53</v>
      </c>
      <c r="B100" s="3">
        <v>156421.66</v>
      </c>
    </row>
    <row r="101" spans="1:2" x14ac:dyDescent="0.3">
      <c r="A101" s="7" t="s">
        <v>247</v>
      </c>
      <c r="B101" s="3">
        <v>216096.44999999998</v>
      </c>
    </row>
    <row r="102" spans="1:2" x14ac:dyDescent="0.3">
      <c r="A102" s="7" t="s">
        <v>55</v>
      </c>
      <c r="B102" s="3">
        <v>37924.18</v>
      </c>
    </row>
    <row r="103" spans="1:2" x14ac:dyDescent="0.3">
      <c r="A103" s="7" t="s">
        <v>463</v>
      </c>
      <c r="B103" s="3">
        <v>210809</v>
      </c>
    </row>
    <row r="104" spans="1:2" x14ac:dyDescent="0.3">
      <c r="A104" s="7" t="s">
        <v>338</v>
      </c>
      <c r="B104" s="3">
        <v>196717.19</v>
      </c>
    </row>
    <row r="105" spans="1:2" x14ac:dyDescent="0.3">
      <c r="A105" s="7" t="s">
        <v>249</v>
      </c>
      <c r="B105" s="3">
        <v>432078.05</v>
      </c>
    </row>
    <row r="106" spans="1:2" x14ac:dyDescent="0.3">
      <c r="A106" s="7" t="s">
        <v>309</v>
      </c>
      <c r="B106" s="3">
        <v>54272.49</v>
      </c>
    </row>
    <row r="107" spans="1:2" x14ac:dyDescent="0.3">
      <c r="A107" s="7" t="s">
        <v>180</v>
      </c>
      <c r="B107" s="3">
        <v>61656.83</v>
      </c>
    </row>
    <row r="108" spans="1:2" x14ac:dyDescent="0.3">
      <c r="A108" s="7" t="s">
        <v>245</v>
      </c>
      <c r="B108" s="3">
        <v>487728.02</v>
      </c>
    </row>
    <row r="109" spans="1:2" x14ac:dyDescent="0.3">
      <c r="A109" s="7" t="s">
        <v>178</v>
      </c>
      <c r="B109" s="3">
        <v>173312.11</v>
      </c>
    </row>
    <row r="110" spans="1:2" x14ac:dyDescent="0.3">
      <c r="A110" s="7" t="s">
        <v>160</v>
      </c>
      <c r="B110" s="3">
        <v>82180.679999999993</v>
      </c>
    </row>
    <row r="111" spans="1:2" x14ac:dyDescent="0.3">
      <c r="A111" s="7" t="s">
        <v>441</v>
      </c>
      <c r="B111" s="3">
        <v>104781.26</v>
      </c>
    </row>
    <row r="112" spans="1:2" x14ac:dyDescent="0.3">
      <c r="A112" s="7" t="s">
        <v>302</v>
      </c>
      <c r="B112" s="3">
        <v>163932.26</v>
      </c>
    </row>
    <row r="113" spans="1:2" x14ac:dyDescent="0.3">
      <c r="A113" s="7" t="s">
        <v>517</v>
      </c>
      <c r="B113" s="3">
        <v>157811.28</v>
      </c>
    </row>
    <row r="114" spans="1:2" x14ac:dyDescent="0.3">
      <c r="A114" s="7" t="s">
        <v>492</v>
      </c>
      <c r="B114" s="3">
        <v>140688.57</v>
      </c>
    </row>
    <row r="115" spans="1:2" x14ac:dyDescent="0.3">
      <c r="A115" s="7" t="s">
        <v>57</v>
      </c>
      <c r="B115" s="3">
        <v>428867.76999999996</v>
      </c>
    </row>
    <row r="116" spans="1:2" x14ac:dyDescent="0.3">
      <c r="A116" s="7" t="s">
        <v>34</v>
      </c>
      <c r="B116" s="3">
        <v>389588.09</v>
      </c>
    </row>
    <row r="117" spans="1:2" x14ac:dyDescent="0.3">
      <c r="A117" s="7" t="s">
        <v>258</v>
      </c>
      <c r="B117" s="3">
        <v>281042.7</v>
      </c>
    </row>
    <row r="118" spans="1:2" x14ac:dyDescent="0.3">
      <c r="A118" s="7" t="s">
        <v>558</v>
      </c>
      <c r="B118" s="3">
        <v>119801.81</v>
      </c>
    </row>
    <row r="119" spans="1:2" x14ac:dyDescent="0.3">
      <c r="A119" s="7" t="s">
        <v>498</v>
      </c>
      <c r="B119" s="3">
        <v>98462.21</v>
      </c>
    </row>
    <row r="120" spans="1:2" x14ac:dyDescent="0.3">
      <c r="A120" s="7" t="s">
        <v>81</v>
      </c>
      <c r="B120" s="3">
        <v>223240.58</v>
      </c>
    </row>
    <row r="121" spans="1:2" x14ac:dyDescent="0.3">
      <c r="A121" s="7" t="s">
        <v>228</v>
      </c>
      <c r="B121" s="3">
        <v>219499.01</v>
      </c>
    </row>
    <row r="122" spans="1:2" x14ac:dyDescent="0.3">
      <c r="A122" s="7" t="s">
        <v>15</v>
      </c>
      <c r="B122" s="3">
        <v>14846.04</v>
      </c>
    </row>
    <row r="123" spans="1:2" x14ac:dyDescent="0.3">
      <c r="A123" s="7" t="s">
        <v>24</v>
      </c>
      <c r="B123" s="3">
        <v>196489.56</v>
      </c>
    </row>
    <row r="124" spans="1:2" x14ac:dyDescent="0.3">
      <c r="A124" s="7" t="s">
        <v>473</v>
      </c>
      <c r="B124" s="3">
        <v>145572.72</v>
      </c>
    </row>
    <row r="125" spans="1:2" x14ac:dyDescent="0.3">
      <c r="A125" s="7" t="s">
        <v>355</v>
      </c>
      <c r="B125" s="3">
        <v>189708.75</v>
      </c>
    </row>
    <row r="126" spans="1:2" x14ac:dyDescent="0.3">
      <c r="A126" s="7" t="s">
        <v>293</v>
      </c>
      <c r="B126" s="3">
        <v>324388.29000000004</v>
      </c>
    </row>
    <row r="127" spans="1:2" x14ac:dyDescent="0.3">
      <c r="A127" s="7" t="s">
        <v>285</v>
      </c>
      <c r="B127" s="3">
        <v>135087.07999999999</v>
      </c>
    </row>
    <row r="128" spans="1:2" x14ac:dyDescent="0.3">
      <c r="A128" s="7" t="s">
        <v>566</v>
      </c>
      <c r="B128" s="3">
        <v>114311.89</v>
      </c>
    </row>
    <row r="129" spans="1:2" x14ac:dyDescent="0.3">
      <c r="A129" s="7" t="s">
        <v>357</v>
      </c>
      <c r="B129" s="3">
        <v>4151.5600000000004</v>
      </c>
    </row>
    <row r="130" spans="1:2" x14ac:dyDescent="0.3">
      <c r="A130" s="7" t="s">
        <v>535</v>
      </c>
      <c r="B130" s="3">
        <v>20179.599999999999</v>
      </c>
    </row>
    <row r="131" spans="1:2" x14ac:dyDescent="0.3">
      <c r="A131" s="7" t="s">
        <v>196</v>
      </c>
      <c r="B131" s="3">
        <v>42520.98</v>
      </c>
    </row>
    <row r="132" spans="1:2" x14ac:dyDescent="0.3">
      <c r="A132" s="7" t="s">
        <v>9</v>
      </c>
      <c r="B132" s="3">
        <v>205986.16999999998</v>
      </c>
    </row>
    <row r="133" spans="1:2" x14ac:dyDescent="0.3">
      <c r="A133" s="7" t="s">
        <v>510</v>
      </c>
      <c r="B133" s="3">
        <v>278375.19</v>
      </c>
    </row>
    <row r="134" spans="1:2" x14ac:dyDescent="0.3">
      <c r="A134" s="7" t="s">
        <v>236</v>
      </c>
      <c r="B134" s="3">
        <v>5277.13</v>
      </c>
    </row>
    <row r="135" spans="1:2" x14ac:dyDescent="0.3">
      <c r="A135" s="7" t="s">
        <v>522</v>
      </c>
      <c r="B135" s="3">
        <v>112110.15</v>
      </c>
    </row>
    <row r="136" spans="1:2" x14ac:dyDescent="0.3">
      <c r="A136" s="7" t="s">
        <v>531</v>
      </c>
      <c r="B136" s="3">
        <v>120996.59</v>
      </c>
    </row>
    <row r="137" spans="1:2" x14ac:dyDescent="0.3">
      <c r="A137" s="7" t="s">
        <v>337</v>
      </c>
      <c r="B137" s="3">
        <v>232746.71999999997</v>
      </c>
    </row>
    <row r="138" spans="1:2" x14ac:dyDescent="0.3">
      <c r="A138" s="7" t="s">
        <v>273</v>
      </c>
      <c r="B138" s="3">
        <v>173206.7</v>
      </c>
    </row>
    <row r="139" spans="1:2" x14ac:dyDescent="0.3">
      <c r="A139" s="7" t="s">
        <v>297</v>
      </c>
      <c r="B139" s="3">
        <v>44983.040000000001</v>
      </c>
    </row>
    <row r="140" spans="1:2" x14ac:dyDescent="0.3">
      <c r="A140" s="7" t="s">
        <v>174</v>
      </c>
      <c r="B140" s="3">
        <v>310912.87</v>
      </c>
    </row>
    <row r="141" spans="1:2" x14ac:dyDescent="0.3">
      <c r="A141" s="7" t="s">
        <v>466</v>
      </c>
      <c r="B141" s="3">
        <v>164424.87</v>
      </c>
    </row>
    <row r="142" spans="1:2" x14ac:dyDescent="0.3">
      <c r="A142" s="7" t="s">
        <v>436</v>
      </c>
      <c r="B142" s="3">
        <v>162691.07999999999</v>
      </c>
    </row>
    <row r="143" spans="1:2" x14ac:dyDescent="0.3">
      <c r="A143" s="7" t="s">
        <v>239</v>
      </c>
      <c r="B143" s="3">
        <v>172707.81</v>
      </c>
    </row>
    <row r="144" spans="1:2" x14ac:dyDescent="0.3">
      <c r="A144" s="7" t="s">
        <v>152</v>
      </c>
      <c r="B144" s="3">
        <v>412363.03</v>
      </c>
    </row>
    <row r="145" spans="1:2" x14ac:dyDescent="0.3">
      <c r="A145" s="7" t="s">
        <v>111</v>
      </c>
      <c r="B145" s="3">
        <v>358530.34</v>
      </c>
    </row>
    <row r="146" spans="1:2" x14ac:dyDescent="0.3">
      <c r="A146" s="7" t="s">
        <v>572</v>
      </c>
      <c r="B146" s="3">
        <v>170072.35</v>
      </c>
    </row>
    <row r="147" spans="1:2" x14ac:dyDescent="0.3">
      <c r="A147" s="7" t="s">
        <v>108</v>
      </c>
      <c r="B147" s="3">
        <v>113017.51</v>
      </c>
    </row>
    <row r="148" spans="1:2" x14ac:dyDescent="0.3">
      <c r="A148" s="7" t="s">
        <v>549</v>
      </c>
      <c r="B148" s="3">
        <v>72345.22</v>
      </c>
    </row>
    <row r="149" spans="1:2" x14ac:dyDescent="0.3">
      <c r="A149" s="7" t="s">
        <v>191</v>
      </c>
      <c r="B149" s="3">
        <v>93947.86</v>
      </c>
    </row>
    <row r="150" spans="1:2" x14ac:dyDescent="0.3">
      <c r="A150" s="7" t="s">
        <v>90</v>
      </c>
      <c r="B150" s="3">
        <v>395291.5</v>
      </c>
    </row>
    <row r="151" spans="1:2" x14ac:dyDescent="0.3">
      <c r="A151" s="7" t="s">
        <v>513</v>
      </c>
      <c r="B151" s="3">
        <v>125108.24</v>
      </c>
    </row>
    <row r="152" spans="1:2" x14ac:dyDescent="0.3">
      <c r="A152" s="7" t="s">
        <v>63</v>
      </c>
      <c r="B152" s="3">
        <v>91098.3</v>
      </c>
    </row>
    <row r="153" spans="1:2" x14ac:dyDescent="0.3">
      <c r="A153" s="7" t="s">
        <v>120</v>
      </c>
      <c r="B153" s="3">
        <v>90835.94</v>
      </c>
    </row>
    <row r="154" spans="1:2" x14ac:dyDescent="0.3">
      <c r="A154" s="7" t="s">
        <v>241</v>
      </c>
      <c r="B154" s="3">
        <v>70154.95</v>
      </c>
    </row>
    <row r="155" spans="1:2" x14ac:dyDescent="0.3">
      <c r="A155" s="7" t="s">
        <v>322</v>
      </c>
      <c r="B155" s="3">
        <v>216799.22</v>
      </c>
    </row>
    <row r="156" spans="1:2" x14ac:dyDescent="0.3">
      <c r="A156" s="7" t="s">
        <v>278</v>
      </c>
      <c r="B156" s="3">
        <v>23258.43</v>
      </c>
    </row>
    <row r="157" spans="1:2" x14ac:dyDescent="0.3">
      <c r="A157" s="7" t="s">
        <v>252</v>
      </c>
      <c r="B157" s="3">
        <v>147200.54999999999</v>
      </c>
    </row>
    <row r="158" spans="1:2" x14ac:dyDescent="0.3">
      <c r="A158" s="7" t="s">
        <v>430</v>
      </c>
      <c r="B158" s="3">
        <v>164819.14000000001</v>
      </c>
    </row>
    <row r="159" spans="1:2" x14ac:dyDescent="0.3">
      <c r="A159" s="7" t="s">
        <v>136</v>
      </c>
      <c r="B159" s="3">
        <v>96417.56</v>
      </c>
    </row>
    <row r="160" spans="1:2" x14ac:dyDescent="0.3">
      <c r="A160" s="7" t="s">
        <v>376</v>
      </c>
      <c r="B160" s="3">
        <v>88441.15</v>
      </c>
    </row>
    <row r="161" spans="1:2" x14ac:dyDescent="0.3">
      <c r="A161" s="7" t="s">
        <v>361</v>
      </c>
      <c r="B161" s="3">
        <v>153596.15</v>
      </c>
    </row>
    <row r="162" spans="1:2" x14ac:dyDescent="0.3">
      <c r="A162" s="7" t="s">
        <v>488</v>
      </c>
      <c r="B162" s="3">
        <v>151593.38</v>
      </c>
    </row>
    <row r="163" spans="1:2" x14ac:dyDescent="0.3">
      <c r="A163" s="7" t="s">
        <v>146</v>
      </c>
      <c r="B163" s="3">
        <v>256592.04</v>
      </c>
    </row>
    <row r="164" spans="1:2" x14ac:dyDescent="0.3">
      <c r="A164" s="7" t="s">
        <v>314</v>
      </c>
      <c r="B164" s="3">
        <v>169323.83000000002</v>
      </c>
    </row>
    <row r="165" spans="1:2" x14ac:dyDescent="0.3">
      <c r="A165" s="7" t="s">
        <v>253</v>
      </c>
      <c r="B165" s="3">
        <v>273821.45</v>
      </c>
    </row>
    <row r="166" spans="1:2" x14ac:dyDescent="0.3">
      <c r="A166" s="7" t="s">
        <v>384</v>
      </c>
      <c r="B166" s="3">
        <v>242744.72999999998</v>
      </c>
    </row>
    <row r="167" spans="1:2" x14ac:dyDescent="0.3">
      <c r="A167" s="7" t="s">
        <v>390</v>
      </c>
      <c r="B167" s="3">
        <v>50232.630000000005</v>
      </c>
    </row>
    <row r="168" spans="1:2" x14ac:dyDescent="0.3">
      <c r="A168" s="7" t="s">
        <v>458</v>
      </c>
      <c r="B168" s="3">
        <v>66268.89</v>
      </c>
    </row>
    <row r="169" spans="1:2" x14ac:dyDescent="0.3">
      <c r="A169" s="7" t="s">
        <v>75</v>
      </c>
      <c r="B169" s="3">
        <v>333910.88</v>
      </c>
    </row>
    <row r="170" spans="1:2" x14ac:dyDescent="0.3">
      <c r="A170" s="7" t="s">
        <v>344</v>
      </c>
      <c r="B170" s="3">
        <v>45153.62</v>
      </c>
    </row>
    <row r="171" spans="1:2" x14ac:dyDescent="0.3">
      <c r="A171" s="7" t="s">
        <v>89</v>
      </c>
      <c r="B171" s="3">
        <v>279680.7</v>
      </c>
    </row>
    <row r="172" spans="1:2" x14ac:dyDescent="0.3">
      <c r="A172" s="7" t="s">
        <v>542</v>
      </c>
      <c r="B172" s="3">
        <v>161629.72</v>
      </c>
    </row>
    <row r="173" spans="1:2" x14ac:dyDescent="0.3">
      <c r="A173" s="7" t="s">
        <v>103</v>
      </c>
      <c r="B173" s="3">
        <v>101657.18</v>
      </c>
    </row>
    <row r="174" spans="1:2" x14ac:dyDescent="0.3">
      <c r="A174" s="7" t="s">
        <v>21</v>
      </c>
      <c r="B174" s="3">
        <v>199165.82</v>
      </c>
    </row>
    <row r="175" spans="1:2" x14ac:dyDescent="0.3">
      <c r="A175" s="7" t="s">
        <v>132</v>
      </c>
      <c r="B175" s="3">
        <v>229172.56</v>
      </c>
    </row>
    <row r="176" spans="1:2" x14ac:dyDescent="0.3">
      <c r="A176" s="7" t="s">
        <v>573</v>
      </c>
      <c r="B176" s="3">
        <v>133789.71</v>
      </c>
    </row>
    <row r="177" spans="1:2" x14ac:dyDescent="0.3">
      <c r="A177" s="7" t="s">
        <v>112</v>
      </c>
      <c r="B177" s="3">
        <v>245389.45</v>
      </c>
    </row>
    <row r="178" spans="1:2" x14ac:dyDescent="0.3">
      <c r="A178" s="7" t="s">
        <v>95</v>
      </c>
      <c r="B178" s="3">
        <v>129652.37</v>
      </c>
    </row>
    <row r="179" spans="1:2" x14ac:dyDescent="0.3">
      <c r="A179" s="7" t="s">
        <v>70</v>
      </c>
      <c r="B179" s="3">
        <v>13552.16</v>
      </c>
    </row>
    <row r="180" spans="1:2" x14ac:dyDescent="0.3">
      <c r="A180" s="7" t="s">
        <v>567</v>
      </c>
      <c r="B180" s="3">
        <v>139036.43</v>
      </c>
    </row>
    <row r="181" spans="1:2" x14ac:dyDescent="0.3">
      <c r="A181" s="7" t="s">
        <v>332</v>
      </c>
      <c r="B181" s="3">
        <v>242126.22999999998</v>
      </c>
    </row>
    <row r="182" spans="1:2" x14ac:dyDescent="0.3">
      <c r="A182" s="7" t="s">
        <v>303</v>
      </c>
      <c r="B182" s="3">
        <v>179073.39</v>
      </c>
    </row>
    <row r="183" spans="1:2" x14ac:dyDescent="0.3">
      <c r="A183" s="7" t="s">
        <v>173</v>
      </c>
      <c r="B183" s="3">
        <v>148012.20000000001</v>
      </c>
    </row>
    <row r="184" spans="1:2" x14ac:dyDescent="0.3">
      <c r="A184" s="7" t="s">
        <v>444</v>
      </c>
      <c r="B184" s="3">
        <v>72236.679999999993</v>
      </c>
    </row>
    <row r="185" spans="1:2" x14ac:dyDescent="0.3">
      <c r="A185" s="7" t="s">
        <v>159</v>
      </c>
      <c r="B185" s="3">
        <v>275374.91000000003</v>
      </c>
    </row>
    <row r="186" spans="1:2" x14ac:dyDescent="0.3">
      <c r="A186" s="7" t="s">
        <v>382</v>
      </c>
      <c r="B186" s="3">
        <v>52433.51</v>
      </c>
    </row>
    <row r="187" spans="1:2" x14ac:dyDescent="0.3">
      <c r="A187" s="7" t="s">
        <v>439</v>
      </c>
      <c r="B187" s="3">
        <v>466259.99</v>
      </c>
    </row>
    <row r="188" spans="1:2" x14ac:dyDescent="0.3">
      <c r="A188" s="7" t="s">
        <v>301</v>
      </c>
      <c r="B188" s="3">
        <v>158394.96000000002</v>
      </c>
    </row>
    <row r="189" spans="1:2" x14ac:dyDescent="0.3">
      <c r="A189" s="7" t="s">
        <v>532</v>
      </c>
      <c r="B189" s="3">
        <v>131818.35</v>
      </c>
    </row>
    <row r="190" spans="1:2" x14ac:dyDescent="0.3">
      <c r="A190" s="7" t="s">
        <v>565</v>
      </c>
      <c r="B190" s="3">
        <v>151883.46</v>
      </c>
    </row>
    <row r="191" spans="1:2" x14ac:dyDescent="0.3">
      <c r="A191" s="7" t="s">
        <v>307</v>
      </c>
      <c r="B191" s="3">
        <v>125589.29</v>
      </c>
    </row>
    <row r="192" spans="1:2" x14ac:dyDescent="0.3">
      <c r="A192" s="7" t="s">
        <v>551</v>
      </c>
      <c r="B192" s="3">
        <v>79740.679999999993</v>
      </c>
    </row>
    <row r="193" spans="1:2" x14ac:dyDescent="0.3">
      <c r="A193" s="7" t="s">
        <v>423</v>
      </c>
      <c r="B193" s="3">
        <v>308335.27</v>
      </c>
    </row>
    <row r="194" spans="1:2" x14ac:dyDescent="0.3">
      <c r="A194" s="7" t="s">
        <v>387</v>
      </c>
      <c r="B194" s="3">
        <v>396364.11</v>
      </c>
    </row>
    <row r="195" spans="1:2" x14ac:dyDescent="0.3">
      <c r="A195" s="7" t="s">
        <v>32</v>
      </c>
      <c r="B195" s="3">
        <v>100821.07</v>
      </c>
    </row>
    <row r="196" spans="1:2" x14ac:dyDescent="0.3">
      <c r="A196" s="7" t="s">
        <v>215</v>
      </c>
      <c r="B196" s="3">
        <v>122466.67</v>
      </c>
    </row>
    <row r="197" spans="1:2" x14ac:dyDescent="0.3">
      <c r="A197" s="7" t="s">
        <v>548</v>
      </c>
      <c r="B197" s="3">
        <v>26197.99</v>
      </c>
    </row>
    <row r="198" spans="1:2" x14ac:dyDescent="0.3">
      <c r="A198" s="7" t="s">
        <v>86</v>
      </c>
      <c r="B198" s="3">
        <v>125083.16</v>
      </c>
    </row>
    <row r="199" spans="1:2" x14ac:dyDescent="0.3">
      <c r="A199" s="7" t="s">
        <v>195</v>
      </c>
      <c r="B199" s="3">
        <v>72097.850000000006</v>
      </c>
    </row>
    <row r="200" spans="1:2" x14ac:dyDescent="0.3">
      <c r="A200" s="7" t="s">
        <v>342</v>
      </c>
      <c r="B200" s="3">
        <v>151489.67000000001</v>
      </c>
    </row>
    <row r="201" spans="1:2" x14ac:dyDescent="0.3">
      <c r="A201" s="7" t="s">
        <v>417</v>
      </c>
      <c r="B201" s="3">
        <v>175559.22</v>
      </c>
    </row>
    <row r="202" spans="1:2" x14ac:dyDescent="0.3">
      <c r="A202" s="7" t="s">
        <v>194</v>
      </c>
      <c r="B202" s="3">
        <v>157763.16</v>
      </c>
    </row>
    <row r="203" spans="1:2" x14ac:dyDescent="0.3">
      <c r="A203" s="7" t="s">
        <v>242</v>
      </c>
      <c r="B203" s="3">
        <v>161755.68</v>
      </c>
    </row>
    <row r="204" spans="1:2" x14ac:dyDescent="0.3">
      <c r="A204" s="7" t="s">
        <v>315</v>
      </c>
      <c r="B204" s="3">
        <v>441363.57</v>
      </c>
    </row>
    <row r="205" spans="1:2" x14ac:dyDescent="0.3">
      <c r="A205" s="7" t="s">
        <v>138</v>
      </c>
      <c r="B205" s="3">
        <v>491596.38</v>
      </c>
    </row>
    <row r="206" spans="1:2" x14ac:dyDescent="0.3">
      <c r="A206" s="7" t="s">
        <v>410</v>
      </c>
      <c r="B206" s="3">
        <v>103290.63</v>
      </c>
    </row>
    <row r="207" spans="1:2" x14ac:dyDescent="0.3">
      <c r="A207" s="7" t="s">
        <v>251</v>
      </c>
      <c r="B207" s="3">
        <v>137057.07</v>
      </c>
    </row>
    <row r="208" spans="1:2" x14ac:dyDescent="0.3">
      <c r="A208" s="7" t="s">
        <v>518</v>
      </c>
      <c r="B208" s="3">
        <v>81285.16</v>
      </c>
    </row>
    <row r="209" spans="1:2" x14ac:dyDescent="0.3">
      <c r="A209" s="7" t="s">
        <v>304</v>
      </c>
      <c r="B209" s="3">
        <v>165199.12</v>
      </c>
    </row>
    <row r="210" spans="1:2" x14ac:dyDescent="0.3">
      <c r="A210" s="7" t="s">
        <v>339</v>
      </c>
      <c r="B210" s="3">
        <v>135440.6</v>
      </c>
    </row>
    <row r="211" spans="1:2" x14ac:dyDescent="0.3">
      <c r="A211" s="7" t="s">
        <v>83</v>
      </c>
      <c r="B211" s="3">
        <v>264335.51</v>
      </c>
    </row>
    <row r="212" spans="1:2" x14ac:dyDescent="0.3">
      <c r="A212" s="7" t="s">
        <v>395</v>
      </c>
      <c r="B212" s="3">
        <v>43771.040000000001</v>
      </c>
    </row>
    <row r="213" spans="1:2" x14ac:dyDescent="0.3">
      <c r="A213" s="7" t="s">
        <v>459</v>
      </c>
      <c r="B213" s="3">
        <v>212617.57</v>
      </c>
    </row>
    <row r="214" spans="1:2" x14ac:dyDescent="0.3">
      <c r="A214" s="7" t="s">
        <v>39</v>
      </c>
      <c r="B214" s="3">
        <v>141339.48000000001</v>
      </c>
    </row>
    <row r="215" spans="1:2" x14ac:dyDescent="0.3">
      <c r="A215" s="7" t="s">
        <v>408</v>
      </c>
      <c r="B215" s="3">
        <v>126876.49</v>
      </c>
    </row>
    <row r="216" spans="1:2" x14ac:dyDescent="0.3">
      <c r="A216" s="7" t="s">
        <v>394</v>
      </c>
      <c r="B216" s="3">
        <v>138729.49</v>
      </c>
    </row>
    <row r="217" spans="1:2" x14ac:dyDescent="0.3">
      <c r="A217" s="7" t="s">
        <v>540</v>
      </c>
      <c r="B217" s="3">
        <v>145232.49</v>
      </c>
    </row>
    <row r="218" spans="1:2" x14ac:dyDescent="0.3">
      <c r="A218" s="7" t="s">
        <v>243</v>
      </c>
      <c r="B218" s="3">
        <v>102323.51</v>
      </c>
    </row>
    <row r="219" spans="1:2" x14ac:dyDescent="0.3">
      <c r="A219" s="7" t="s">
        <v>126</v>
      </c>
      <c r="B219" s="3">
        <v>142354.27000000002</v>
      </c>
    </row>
    <row r="220" spans="1:2" x14ac:dyDescent="0.3">
      <c r="A220" s="7" t="s">
        <v>274</v>
      </c>
      <c r="B220" s="3">
        <v>379017.93</v>
      </c>
    </row>
    <row r="221" spans="1:2" x14ac:dyDescent="0.3">
      <c r="A221" s="7" t="s">
        <v>496</v>
      </c>
      <c r="B221" s="3">
        <v>156974.29999999999</v>
      </c>
    </row>
    <row r="222" spans="1:2" x14ac:dyDescent="0.3">
      <c r="A222" s="7" t="s">
        <v>555</v>
      </c>
      <c r="B222" s="3">
        <v>121202.06</v>
      </c>
    </row>
    <row r="223" spans="1:2" x14ac:dyDescent="0.3">
      <c r="A223" s="7" t="s">
        <v>207</v>
      </c>
      <c r="B223" s="3">
        <v>111319.59</v>
      </c>
    </row>
    <row r="224" spans="1:2" x14ac:dyDescent="0.3">
      <c r="A224" s="7" t="s">
        <v>299</v>
      </c>
      <c r="B224" s="3">
        <v>13233.22</v>
      </c>
    </row>
    <row r="225" spans="1:2" x14ac:dyDescent="0.3">
      <c r="A225" s="7" t="s">
        <v>214</v>
      </c>
      <c r="B225" s="3">
        <v>120045.26</v>
      </c>
    </row>
    <row r="226" spans="1:2" x14ac:dyDescent="0.3">
      <c r="A226" s="7" t="s">
        <v>131</v>
      </c>
      <c r="B226" s="3">
        <v>111778.27</v>
      </c>
    </row>
    <row r="227" spans="1:2" x14ac:dyDescent="0.3">
      <c r="A227" s="7" t="s">
        <v>99</v>
      </c>
      <c r="B227" s="3">
        <v>52682.51</v>
      </c>
    </row>
    <row r="228" spans="1:2" x14ac:dyDescent="0.3">
      <c r="A228" s="7" t="s">
        <v>71</v>
      </c>
      <c r="B228" s="3">
        <v>64937.19</v>
      </c>
    </row>
    <row r="229" spans="1:2" x14ac:dyDescent="0.3">
      <c r="A229" s="7" t="s">
        <v>308</v>
      </c>
      <c r="B229" s="3">
        <v>290274.2</v>
      </c>
    </row>
    <row r="230" spans="1:2" x14ac:dyDescent="0.3">
      <c r="A230" s="7" t="s">
        <v>172</v>
      </c>
      <c r="B230" s="3">
        <v>140104.45000000001</v>
      </c>
    </row>
    <row r="231" spans="1:2" x14ac:dyDescent="0.3">
      <c r="A231" s="7" t="s">
        <v>507</v>
      </c>
      <c r="B231" s="3">
        <v>171177.91</v>
      </c>
    </row>
    <row r="232" spans="1:2" x14ac:dyDescent="0.3">
      <c r="A232" s="7" t="s">
        <v>264</v>
      </c>
      <c r="B232" s="3">
        <v>113443.48</v>
      </c>
    </row>
    <row r="233" spans="1:2" x14ac:dyDescent="0.3">
      <c r="A233" s="7" t="s">
        <v>130</v>
      </c>
      <c r="B233" s="3">
        <v>234885.01</v>
      </c>
    </row>
    <row r="234" spans="1:2" x14ac:dyDescent="0.3">
      <c r="A234" s="7" t="s">
        <v>244</v>
      </c>
      <c r="B234" s="3">
        <v>177107.12</v>
      </c>
    </row>
    <row r="235" spans="1:2" x14ac:dyDescent="0.3">
      <c r="A235" s="7" t="s">
        <v>391</v>
      </c>
      <c r="B235" s="3">
        <v>114243.43</v>
      </c>
    </row>
    <row r="236" spans="1:2" x14ac:dyDescent="0.3">
      <c r="A236" s="7" t="s">
        <v>288</v>
      </c>
      <c r="B236" s="3">
        <v>149555.51999999999</v>
      </c>
    </row>
    <row r="237" spans="1:2" x14ac:dyDescent="0.3">
      <c r="A237" s="7" t="s">
        <v>336</v>
      </c>
      <c r="B237" s="3">
        <v>57724.35</v>
      </c>
    </row>
    <row r="238" spans="1:2" x14ac:dyDescent="0.3">
      <c r="A238" s="7" t="s">
        <v>97</v>
      </c>
      <c r="B238" s="3">
        <v>99105.51</v>
      </c>
    </row>
    <row r="239" spans="1:2" x14ac:dyDescent="0.3">
      <c r="A239" s="7" t="s">
        <v>125</v>
      </c>
      <c r="B239" s="3">
        <v>313863.84999999998</v>
      </c>
    </row>
    <row r="240" spans="1:2" x14ac:dyDescent="0.3">
      <c r="A240" s="7" t="s">
        <v>240</v>
      </c>
      <c r="B240" s="3">
        <v>181834.12</v>
      </c>
    </row>
    <row r="241" spans="1:2" x14ac:dyDescent="0.3">
      <c r="A241" s="7" t="s">
        <v>477</v>
      </c>
      <c r="B241" s="3">
        <v>140557.79</v>
      </c>
    </row>
    <row r="242" spans="1:2" x14ac:dyDescent="0.3">
      <c r="A242" s="7" t="s">
        <v>419</v>
      </c>
      <c r="B242" s="3">
        <v>243840.24</v>
      </c>
    </row>
    <row r="243" spans="1:2" x14ac:dyDescent="0.3">
      <c r="A243" s="7" t="s">
        <v>102</v>
      </c>
      <c r="B243" s="3">
        <v>414628.88</v>
      </c>
    </row>
    <row r="244" spans="1:2" x14ac:dyDescent="0.3">
      <c r="A244" s="7" t="s">
        <v>192</v>
      </c>
      <c r="B244" s="3">
        <v>201098.56999999998</v>
      </c>
    </row>
    <row r="245" spans="1:2" x14ac:dyDescent="0.3">
      <c r="A245" s="7" t="s">
        <v>349</v>
      </c>
      <c r="B245" s="3">
        <v>103569.14</v>
      </c>
    </row>
    <row r="246" spans="1:2" x14ac:dyDescent="0.3">
      <c r="A246" s="7" t="s">
        <v>425</v>
      </c>
      <c r="B246" s="3">
        <v>129861.64</v>
      </c>
    </row>
    <row r="247" spans="1:2" x14ac:dyDescent="0.3">
      <c r="A247" s="7" t="s">
        <v>29</v>
      </c>
      <c r="B247" s="3">
        <v>147344.13</v>
      </c>
    </row>
    <row r="248" spans="1:2" x14ac:dyDescent="0.3">
      <c r="A248" s="7" t="s">
        <v>216</v>
      </c>
      <c r="B248" s="3">
        <v>168231.82</v>
      </c>
    </row>
    <row r="249" spans="1:2" x14ac:dyDescent="0.3">
      <c r="A249" s="7" t="s">
        <v>229</v>
      </c>
      <c r="B249" s="3">
        <v>26208.46</v>
      </c>
    </row>
    <row r="250" spans="1:2" x14ac:dyDescent="0.3">
      <c r="A250" s="7" t="s">
        <v>334</v>
      </c>
      <c r="B250" s="3">
        <v>137282.88</v>
      </c>
    </row>
    <row r="251" spans="1:2" x14ac:dyDescent="0.3">
      <c r="A251" s="7" t="s">
        <v>181</v>
      </c>
      <c r="B251" s="3">
        <v>160954.07</v>
      </c>
    </row>
    <row r="252" spans="1:2" x14ac:dyDescent="0.3">
      <c r="A252" s="7" t="s">
        <v>210</v>
      </c>
      <c r="B252" s="3">
        <v>115718.13</v>
      </c>
    </row>
    <row r="253" spans="1:2" x14ac:dyDescent="0.3">
      <c r="A253" s="7" t="s">
        <v>254</v>
      </c>
      <c r="B253" s="3">
        <v>86990.91</v>
      </c>
    </row>
    <row r="254" spans="1:2" x14ac:dyDescent="0.3">
      <c r="A254" s="7" t="s">
        <v>153</v>
      </c>
      <c r="B254" s="3">
        <v>170295.03</v>
      </c>
    </row>
    <row r="255" spans="1:2" x14ac:dyDescent="0.3">
      <c r="A255" s="7" t="s">
        <v>134</v>
      </c>
      <c r="B255" s="3">
        <v>231526.91999999998</v>
      </c>
    </row>
    <row r="256" spans="1:2" x14ac:dyDescent="0.3">
      <c r="A256" s="7" t="s">
        <v>295</v>
      </c>
      <c r="B256" s="3">
        <v>232838.93</v>
      </c>
    </row>
    <row r="257" spans="1:2" x14ac:dyDescent="0.3">
      <c r="A257" s="7" t="s">
        <v>420</v>
      </c>
      <c r="B257" s="3">
        <v>170584.95999999999</v>
      </c>
    </row>
    <row r="258" spans="1:2" x14ac:dyDescent="0.3">
      <c r="A258" s="7" t="s">
        <v>472</v>
      </c>
      <c r="B258" s="3">
        <v>145916.51</v>
      </c>
    </row>
    <row r="259" spans="1:2" x14ac:dyDescent="0.3">
      <c r="A259" s="7" t="s">
        <v>432</v>
      </c>
      <c r="B259" s="3">
        <v>103854.66</v>
      </c>
    </row>
    <row r="260" spans="1:2" x14ac:dyDescent="0.3">
      <c r="A260" s="7" t="s">
        <v>233</v>
      </c>
      <c r="B260" s="3">
        <v>343649.53</v>
      </c>
    </row>
    <row r="261" spans="1:2" x14ac:dyDescent="0.3">
      <c r="A261" s="7" t="s">
        <v>193</v>
      </c>
      <c r="B261" s="3">
        <v>298462.93</v>
      </c>
    </row>
    <row r="262" spans="1:2" x14ac:dyDescent="0.3">
      <c r="A262" s="7" t="s">
        <v>400</v>
      </c>
      <c r="B262" s="3">
        <v>142029.4</v>
      </c>
    </row>
    <row r="263" spans="1:2" x14ac:dyDescent="0.3">
      <c r="A263" s="7" t="s">
        <v>92</v>
      </c>
      <c r="B263" s="3">
        <v>149407.69</v>
      </c>
    </row>
    <row r="264" spans="1:2" x14ac:dyDescent="0.3">
      <c r="A264" s="7" t="s">
        <v>168</v>
      </c>
      <c r="B264" s="3">
        <v>34496.67</v>
      </c>
    </row>
    <row r="265" spans="1:2" x14ac:dyDescent="0.3">
      <c r="A265" s="7" t="s">
        <v>220</v>
      </c>
      <c r="B265" s="3">
        <v>117450.17</v>
      </c>
    </row>
    <row r="266" spans="1:2" x14ac:dyDescent="0.3">
      <c r="A266" s="7" t="s">
        <v>260</v>
      </c>
      <c r="B266" s="3">
        <v>125198.94</v>
      </c>
    </row>
    <row r="267" spans="1:2" x14ac:dyDescent="0.3">
      <c r="A267" s="7" t="s">
        <v>476</v>
      </c>
      <c r="B267" s="3">
        <v>166110.69</v>
      </c>
    </row>
    <row r="268" spans="1:2" x14ac:dyDescent="0.3">
      <c r="A268" s="7" t="s">
        <v>403</v>
      </c>
      <c r="B268" s="3">
        <v>164239.43</v>
      </c>
    </row>
    <row r="269" spans="1:2" x14ac:dyDescent="0.3">
      <c r="A269" s="7" t="s">
        <v>330</v>
      </c>
      <c r="B269" s="3">
        <v>49235.03</v>
      </c>
    </row>
    <row r="270" spans="1:2" x14ac:dyDescent="0.3">
      <c r="A270" s="7" t="s">
        <v>30</v>
      </c>
      <c r="B270" s="3">
        <v>305684.93</v>
      </c>
    </row>
    <row r="271" spans="1:2" x14ac:dyDescent="0.3">
      <c r="A271" s="7" t="s">
        <v>437</v>
      </c>
      <c r="B271" s="3">
        <v>2534.7199999999998</v>
      </c>
    </row>
    <row r="272" spans="1:2" x14ac:dyDescent="0.3">
      <c r="A272" s="7" t="s">
        <v>283</v>
      </c>
      <c r="B272" s="3">
        <v>173517.95</v>
      </c>
    </row>
    <row r="273" spans="1:2" x14ac:dyDescent="0.3">
      <c r="A273" s="7" t="s">
        <v>413</v>
      </c>
      <c r="B273" s="3">
        <v>133233.39000000001</v>
      </c>
    </row>
    <row r="274" spans="1:2" x14ac:dyDescent="0.3">
      <c r="A274" s="7" t="s">
        <v>544</v>
      </c>
      <c r="B274" s="3">
        <v>86851.87</v>
      </c>
    </row>
    <row r="275" spans="1:2" x14ac:dyDescent="0.3">
      <c r="A275" s="7" t="s">
        <v>179</v>
      </c>
      <c r="B275" s="3">
        <v>251893.66999999998</v>
      </c>
    </row>
    <row r="276" spans="1:2" x14ac:dyDescent="0.3">
      <c r="A276" s="7" t="s">
        <v>199</v>
      </c>
      <c r="B276" s="3">
        <v>86500.459999999992</v>
      </c>
    </row>
    <row r="277" spans="1:2" x14ac:dyDescent="0.3">
      <c r="A277" s="7" t="s">
        <v>516</v>
      </c>
      <c r="B277" s="3">
        <v>125547.1</v>
      </c>
    </row>
    <row r="278" spans="1:2" x14ac:dyDescent="0.3">
      <c r="A278" s="7" t="s">
        <v>328</v>
      </c>
      <c r="B278" s="3">
        <v>212560.34</v>
      </c>
    </row>
    <row r="279" spans="1:2" x14ac:dyDescent="0.3">
      <c r="A279" s="7" t="s">
        <v>11</v>
      </c>
      <c r="B279" s="3">
        <v>177819.53</v>
      </c>
    </row>
    <row r="280" spans="1:2" x14ac:dyDescent="0.3">
      <c r="A280" s="7" t="s">
        <v>41</v>
      </c>
      <c r="B280" s="3">
        <v>337034.01</v>
      </c>
    </row>
    <row r="281" spans="1:2" x14ac:dyDescent="0.3">
      <c r="A281" s="7" t="s">
        <v>225</v>
      </c>
      <c r="B281" s="3">
        <v>235543.46999999997</v>
      </c>
    </row>
    <row r="282" spans="1:2" x14ac:dyDescent="0.3">
      <c r="A282" s="7" t="s">
        <v>202</v>
      </c>
      <c r="B282" s="3">
        <v>105039.45</v>
      </c>
    </row>
    <row r="283" spans="1:2" x14ac:dyDescent="0.3">
      <c r="A283" s="7" t="s">
        <v>385</v>
      </c>
      <c r="B283" s="3">
        <v>44901.34</v>
      </c>
    </row>
    <row r="284" spans="1:2" x14ac:dyDescent="0.3">
      <c r="A284" s="7" t="s">
        <v>372</v>
      </c>
      <c r="B284" s="3">
        <v>156576.28</v>
      </c>
    </row>
    <row r="285" spans="1:2" x14ac:dyDescent="0.3">
      <c r="A285" s="7" t="s">
        <v>370</v>
      </c>
      <c r="B285" s="3">
        <v>59722.7</v>
      </c>
    </row>
    <row r="286" spans="1:2" x14ac:dyDescent="0.3">
      <c r="A286" s="7" t="s">
        <v>262</v>
      </c>
      <c r="B286" s="3">
        <v>189452.56</v>
      </c>
    </row>
    <row r="287" spans="1:2" x14ac:dyDescent="0.3">
      <c r="A287" s="7" t="s">
        <v>69</v>
      </c>
      <c r="B287" s="3">
        <v>43548.91</v>
      </c>
    </row>
    <row r="288" spans="1:2" x14ac:dyDescent="0.3">
      <c r="A288" s="7" t="s">
        <v>287</v>
      </c>
      <c r="B288" s="3">
        <v>275949.89</v>
      </c>
    </row>
    <row r="289" spans="1:2" x14ac:dyDescent="0.3">
      <c r="A289" s="7" t="s">
        <v>91</v>
      </c>
      <c r="B289" s="3">
        <v>128173.28</v>
      </c>
    </row>
    <row r="290" spans="1:2" x14ac:dyDescent="0.3">
      <c r="A290" s="7" t="s">
        <v>62</v>
      </c>
      <c r="B290" s="3">
        <v>162723.61000000002</v>
      </c>
    </row>
    <row r="291" spans="1:2" x14ac:dyDescent="0.3">
      <c r="A291" s="7" t="s">
        <v>414</v>
      </c>
      <c r="B291" s="3">
        <v>66961.759999999995</v>
      </c>
    </row>
    <row r="292" spans="1:2" x14ac:dyDescent="0.3">
      <c r="A292" s="7" t="s">
        <v>528</v>
      </c>
      <c r="B292" s="3">
        <v>138232.35999999999</v>
      </c>
    </row>
    <row r="293" spans="1:2" x14ac:dyDescent="0.3">
      <c r="A293" s="7" t="s">
        <v>377</v>
      </c>
      <c r="B293" s="3">
        <v>10283.67</v>
      </c>
    </row>
    <row r="294" spans="1:2" x14ac:dyDescent="0.3">
      <c r="A294" s="7" t="s">
        <v>217</v>
      </c>
      <c r="B294" s="3">
        <v>149506.55000000002</v>
      </c>
    </row>
    <row r="295" spans="1:2" x14ac:dyDescent="0.3">
      <c r="A295" s="7" t="s">
        <v>553</v>
      </c>
      <c r="B295" s="3">
        <v>148775.78</v>
      </c>
    </row>
    <row r="296" spans="1:2" x14ac:dyDescent="0.3">
      <c r="A296" s="7" t="s">
        <v>128</v>
      </c>
      <c r="B296" s="3">
        <v>230936.81</v>
      </c>
    </row>
    <row r="297" spans="1:2" x14ac:dyDescent="0.3">
      <c r="A297" s="7" t="s">
        <v>190</v>
      </c>
      <c r="B297" s="3">
        <v>15644.24</v>
      </c>
    </row>
    <row r="298" spans="1:2" x14ac:dyDescent="0.3">
      <c r="A298" s="7" t="s">
        <v>578</v>
      </c>
      <c r="B298" s="3">
        <v>31151.39</v>
      </c>
    </row>
    <row r="299" spans="1:2" x14ac:dyDescent="0.3">
      <c r="A299" s="7" t="s">
        <v>495</v>
      </c>
      <c r="B299" s="3">
        <v>109678.32</v>
      </c>
    </row>
    <row r="300" spans="1:2" x14ac:dyDescent="0.3">
      <c r="A300" s="7" t="s">
        <v>142</v>
      </c>
      <c r="B300" s="3">
        <v>116209.4</v>
      </c>
    </row>
    <row r="301" spans="1:2" x14ac:dyDescent="0.3">
      <c r="A301" s="7" t="s">
        <v>167</v>
      </c>
      <c r="B301" s="3">
        <v>323908.14</v>
      </c>
    </row>
    <row r="302" spans="1:2" x14ac:dyDescent="0.3">
      <c r="A302" s="7" t="s">
        <v>58</v>
      </c>
      <c r="B302" s="3">
        <v>332521.96000000002</v>
      </c>
    </row>
    <row r="303" spans="1:2" x14ac:dyDescent="0.3">
      <c r="A303" s="7" t="s">
        <v>346</v>
      </c>
      <c r="B303" s="3">
        <v>147342.60999999999</v>
      </c>
    </row>
    <row r="304" spans="1:2" x14ac:dyDescent="0.3">
      <c r="A304" s="7" t="s">
        <v>519</v>
      </c>
      <c r="B304" s="3">
        <v>65178.96</v>
      </c>
    </row>
    <row r="305" spans="1:2" x14ac:dyDescent="0.3">
      <c r="A305" s="7" t="s">
        <v>327</v>
      </c>
      <c r="B305" s="3">
        <v>99600.71</v>
      </c>
    </row>
    <row r="306" spans="1:2" x14ac:dyDescent="0.3">
      <c r="A306" s="7" t="s">
        <v>248</v>
      </c>
      <c r="B306" s="3">
        <v>165928.4</v>
      </c>
    </row>
    <row r="307" spans="1:2" x14ac:dyDescent="0.3">
      <c r="A307" s="7" t="s">
        <v>27</v>
      </c>
      <c r="B307" s="3">
        <v>89417.459999999992</v>
      </c>
    </row>
    <row r="308" spans="1:2" x14ac:dyDescent="0.3">
      <c r="A308" s="7" t="s">
        <v>469</v>
      </c>
      <c r="B308" s="3">
        <v>159179.76999999999</v>
      </c>
    </row>
    <row r="309" spans="1:2" x14ac:dyDescent="0.3">
      <c r="A309" s="7" t="s">
        <v>416</v>
      </c>
      <c r="B309" s="3">
        <v>158467.65</v>
      </c>
    </row>
    <row r="310" spans="1:2" x14ac:dyDescent="0.3">
      <c r="A310" s="7" t="s">
        <v>94</v>
      </c>
      <c r="B310" s="3">
        <v>124345.06</v>
      </c>
    </row>
    <row r="311" spans="1:2" x14ac:dyDescent="0.3">
      <c r="A311" s="7" t="s">
        <v>157</v>
      </c>
      <c r="B311" s="3">
        <v>506084.26</v>
      </c>
    </row>
    <row r="312" spans="1:2" x14ac:dyDescent="0.3">
      <c r="A312" s="7" t="s">
        <v>265</v>
      </c>
      <c r="B312" s="3">
        <v>284948.34999999998</v>
      </c>
    </row>
    <row r="313" spans="1:2" x14ac:dyDescent="0.3">
      <c r="A313" s="7" t="s">
        <v>300</v>
      </c>
      <c r="B313" s="3">
        <v>175440.63</v>
      </c>
    </row>
    <row r="314" spans="1:2" x14ac:dyDescent="0.3">
      <c r="A314" s="7" t="s">
        <v>323</v>
      </c>
      <c r="B314" s="3">
        <v>115052.34</v>
      </c>
    </row>
    <row r="315" spans="1:2" x14ac:dyDescent="0.3">
      <c r="A315" s="7" t="s">
        <v>206</v>
      </c>
      <c r="B315" s="3">
        <v>101030.53</v>
      </c>
    </row>
    <row r="316" spans="1:2" x14ac:dyDescent="0.3">
      <c r="A316" s="7" t="s">
        <v>386</v>
      </c>
      <c r="B316" s="3">
        <v>258472.05</v>
      </c>
    </row>
    <row r="317" spans="1:2" x14ac:dyDescent="0.3">
      <c r="A317" s="7" t="s">
        <v>61</v>
      </c>
      <c r="B317" s="3">
        <v>60397.47</v>
      </c>
    </row>
    <row r="318" spans="1:2" x14ac:dyDescent="0.3">
      <c r="A318" s="7" t="s">
        <v>454</v>
      </c>
      <c r="B318" s="3">
        <v>424467.35</v>
      </c>
    </row>
    <row r="319" spans="1:2" x14ac:dyDescent="0.3">
      <c r="A319" s="7" t="s">
        <v>375</v>
      </c>
      <c r="B319" s="3">
        <v>106890.2</v>
      </c>
    </row>
    <row r="320" spans="1:2" x14ac:dyDescent="0.3">
      <c r="A320" s="7" t="s">
        <v>575</v>
      </c>
      <c r="B320" s="3">
        <v>91718.39</v>
      </c>
    </row>
    <row r="321" spans="1:2" x14ac:dyDescent="0.3">
      <c r="A321" s="7" t="s">
        <v>422</v>
      </c>
      <c r="B321" s="3">
        <v>169258.99</v>
      </c>
    </row>
    <row r="322" spans="1:2" x14ac:dyDescent="0.3">
      <c r="A322" s="7" t="s">
        <v>48</v>
      </c>
      <c r="B322" s="3">
        <v>64790.84</v>
      </c>
    </row>
    <row r="323" spans="1:2" x14ac:dyDescent="0.3">
      <c r="A323" s="7" t="s">
        <v>494</v>
      </c>
      <c r="B323" s="3">
        <v>141617.9</v>
      </c>
    </row>
    <row r="324" spans="1:2" x14ac:dyDescent="0.3">
      <c r="A324" s="7" t="s">
        <v>381</v>
      </c>
      <c r="B324" s="3">
        <v>53946</v>
      </c>
    </row>
    <row r="325" spans="1:2" x14ac:dyDescent="0.3">
      <c r="A325" s="7" t="s">
        <v>471</v>
      </c>
      <c r="B325" s="3">
        <v>142402.81</v>
      </c>
    </row>
    <row r="326" spans="1:2" x14ac:dyDescent="0.3">
      <c r="A326" s="7" t="s">
        <v>250</v>
      </c>
      <c r="B326" s="3">
        <v>105306.43000000001</v>
      </c>
    </row>
    <row r="327" spans="1:2" x14ac:dyDescent="0.3">
      <c r="A327" s="7" t="s">
        <v>320</v>
      </c>
      <c r="B327" s="3">
        <v>35911.480000000003</v>
      </c>
    </row>
    <row r="328" spans="1:2" x14ac:dyDescent="0.3">
      <c r="A328" s="7" t="s">
        <v>383</v>
      </c>
      <c r="B328" s="3">
        <v>83616.399999999994</v>
      </c>
    </row>
    <row r="329" spans="1:2" x14ac:dyDescent="0.3">
      <c r="A329" s="7" t="s">
        <v>364</v>
      </c>
      <c r="B329" s="3">
        <v>80722.100000000006</v>
      </c>
    </row>
    <row r="330" spans="1:2" x14ac:dyDescent="0.3">
      <c r="A330" s="7" t="s">
        <v>144</v>
      </c>
      <c r="B330" s="3">
        <v>105080.54</v>
      </c>
    </row>
    <row r="331" spans="1:2" x14ac:dyDescent="0.3">
      <c r="A331" s="7" t="s">
        <v>76</v>
      </c>
      <c r="B331" s="3">
        <v>170123.63999999998</v>
      </c>
    </row>
    <row r="332" spans="1:2" x14ac:dyDescent="0.3">
      <c r="A332" s="7" t="s">
        <v>538</v>
      </c>
      <c r="B332" s="3">
        <v>67537.789999999994</v>
      </c>
    </row>
    <row r="333" spans="1:2" x14ac:dyDescent="0.3">
      <c r="A333" s="7" t="s">
        <v>556</v>
      </c>
      <c r="B333" s="3">
        <v>28779.53</v>
      </c>
    </row>
    <row r="334" spans="1:2" x14ac:dyDescent="0.3">
      <c r="A334" s="7" t="s">
        <v>412</v>
      </c>
      <c r="B334" s="3">
        <v>104891.54</v>
      </c>
    </row>
    <row r="335" spans="1:2" x14ac:dyDescent="0.3">
      <c r="A335" s="7" t="s">
        <v>47</v>
      </c>
      <c r="B335" s="3">
        <v>462358.55</v>
      </c>
    </row>
    <row r="336" spans="1:2" x14ac:dyDescent="0.3">
      <c r="A336" s="7" t="s">
        <v>539</v>
      </c>
      <c r="B336" s="3">
        <v>17577.16</v>
      </c>
    </row>
    <row r="337" spans="1:2" x14ac:dyDescent="0.3">
      <c r="A337" s="7" t="s">
        <v>369</v>
      </c>
      <c r="B337" s="3">
        <v>175906.7</v>
      </c>
    </row>
    <row r="338" spans="1:2" x14ac:dyDescent="0.3">
      <c r="A338" s="7" t="s">
        <v>380</v>
      </c>
      <c r="B338" s="3">
        <v>3547.06</v>
      </c>
    </row>
    <row r="339" spans="1:2" x14ac:dyDescent="0.3">
      <c r="A339" s="7" t="s">
        <v>568</v>
      </c>
      <c r="B339" s="3">
        <v>139596.14000000001</v>
      </c>
    </row>
    <row r="340" spans="1:2" x14ac:dyDescent="0.3">
      <c r="A340" s="7" t="s">
        <v>185</v>
      </c>
      <c r="B340" s="3">
        <v>303023.83</v>
      </c>
    </row>
    <row r="341" spans="1:2" x14ac:dyDescent="0.3">
      <c r="A341" s="7" t="s">
        <v>171</v>
      </c>
      <c r="B341" s="3">
        <v>245453.03</v>
      </c>
    </row>
    <row r="342" spans="1:2" x14ac:dyDescent="0.3">
      <c r="A342" s="7" t="s">
        <v>543</v>
      </c>
      <c r="B342" s="3">
        <v>22550.639999999999</v>
      </c>
    </row>
    <row r="343" spans="1:2" x14ac:dyDescent="0.3">
      <c r="A343" s="7" t="s">
        <v>213</v>
      </c>
      <c r="B343" s="3">
        <v>356920.02999999997</v>
      </c>
    </row>
    <row r="344" spans="1:2" x14ac:dyDescent="0.3">
      <c r="A344" s="7" t="s">
        <v>84</v>
      </c>
      <c r="B344" s="3">
        <v>94652.73000000001</v>
      </c>
    </row>
    <row r="345" spans="1:2" x14ac:dyDescent="0.3">
      <c r="A345" s="7" t="s">
        <v>468</v>
      </c>
      <c r="B345" s="3">
        <v>130783.3</v>
      </c>
    </row>
    <row r="346" spans="1:2" x14ac:dyDescent="0.3">
      <c r="A346" s="7" t="s">
        <v>164</v>
      </c>
      <c r="B346" s="3">
        <v>322748.76</v>
      </c>
    </row>
    <row r="347" spans="1:2" x14ac:dyDescent="0.3">
      <c r="A347" s="7" t="s">
        <v>311</v>
      </c>
      <c r="B347" s="3">
        <v>27313.26</v>
      </c>
    </row>
    <row r="348" spans="1:2" x14ac:dyDescent="0.3">
      <c r="A348" s="7" t="s">
        <v>68</v>
      </c>
      <c r="B348" s="3">
        <v>142239.63</v>
      </c>
    </row>
    <row r="349" spans="1:2" x14ac:dyDescent="0.3">
      <c r="A349" s="7" t="s">
        <v>165</v>
      </c>
      <c r="B349" s="3">
        <v>75056.570000000007</v>
      </c>
    </row>
    <row r="350" spans="1:2" x14ac:dyDescent="0.3">
      <c r="A350" s="7" t="s">
        <v>502</v>
      </c>
      <c r="B350" s="3">
        <v>74477.64</v>
      </c>
    </row>
    <row r="351" spans="1:2" x14ac:dyDescent="0.3">
      <c r="A351" s="7" t="s">
        <v>189</v>
      </c>
      <c r="B351" s="3">
        <v>51967.43</v>
      </c>
    </row>
    <row r="352" spans="1:2" x14ac:dyDescent="0.3">
      <c r="A352" s="7" t="s">
        <v>450</v>
      </c>
      <c r="B352" s="3">
        <v>99490.3</v>
      </c>
    </row>
    <row r="353" spans="1:2" x14ac:dyDescent="0.3">
      <c r="A353" s="7" t="s">
        <v>319</v>
      </c>
      <c r="B353" s="3">
        <v>209661.12</v>
      </c>
    </row>
    <row r="354" spans="1:2" x14ac:dyDescent="0.3">
      <c r="A354" s="7" t="s">
        <v>523</v>
      </c>
      <c r="B354" s="3">
        <v>106059.08</v>
      </c>
    </row>
    <row r="355" spans="1:2" x14ac:dyDescent="0.3">
      <c r="A355" s="7" t="s">
        <v>574</v>
      </c>
      <c r="B355" s="3">
        <v>156206.76</v>
      </c>
    </row>
    <row r="356" spans="1:2" x14ac:dyDescent="0.3">
      <c r="A356" s="7" t="s">
        <v>453</v>
      </c>
      <c r="B356" s="3">
        <v>173007.51</v>
      </c>
    </row>
    <row r="357" spans="1:2" x14ac:dyDescent="0.3">
      <c r="A357" s="7" t="s">
        <v>65</v>
      </c>
      <c r="B357" s="3">
        <v>547579.18000000005</v>
      </c>
    </row>
    <row r="358" spans="1:2" x14ac:dyDescent="0.3">
      <c r="A358" s="7" t="s">
        <v>401</v>
      </c>
      <c r="B358" s="3">
        <v>219476.86</v>
      </c>
    </row>
    <row r="359" spans="1:2" x14ac:dyDescent="0.3">
      <c r="A359" s="7" t="s">
        <v>141</v>
      </c>
      <c r="B359" s="3">
        <v>273307.82</v>
      </c>
    </row>
    <row r="360" spans="1:2" x14ac:dyDescent="0.3">
      <c r="A360" s="7" t="s">
        <v>235</v>
      </c>
      <c r="B360" s="3">
        <v>437374.99</v>
      </c>
    </row>
    <row r="361" spans="1:2" x14ac:dyDescent="0.3">
      <c r="A361" s="7" t="s">
        <v>16</v>
      </c>
      <c r="B361" s="3">
        <v>150554.6</v>
      </c>
    </row>
    <row r="362" spans="1:2" x14ac:dyDescent="0.3">
      <c r="A362" s="7" t="s">
        <v>109</v>
      </c>
      <c r="B362" s="3">
        <v>130126</v>
      </c>
    </row>
    <row r="363" spans="1:2" x14ac:dyDescent="0.3">
      <c r="A363" s="7" t="s">
        <v>524</v>
      </c>
      <c r="B363" s="3">
        <v>121701.51</v>
      </c>
    </row>
    <row r="364" spans="1:2" x14ac:dyDescent="0.3">
      <c r="A364" s="7" t="s">
        <v>234</v>
      </c>
      <c r="B364" s="3">
        <v>121707.13</v>
      </c>
    </row>
    <row r="365" spans="1:2" x14ac:dyDescent="0.3">
      <c r="A365" s="7" t="s">
        <v>211</v>
      </c>
      <c r="B365" s="3">
        <v>305420.19</v>
      </c>
    </row>
    <row r="366" spans="1:2" x14ac:dyDescent="0.3">
      <c r="A366" s="7" t="s">
        <v>564</v>
      </c>
      <c r="B366" s="3">
        <v>101371.47</v>
      </c>
    </row>
    <row r="367" spans="1:2" x14ac:dyDescent="0.3">
      <c r="A367" s="7" t="s">
        <v>23</v>
      </c>
      <c r="B367" s="3">
        <v>257212.50999999998</v>
      </c>
    </row>
    <row r="368" spans="1:2" x14ac:dyDescent="0.3">
      <c r="A368" s="7" t="s">
        <v>277</v>
      </c>
      <c r="B368" s="3">
        <v>127590.57</v>
      </c>
    </row>
    <row r="369" spans="1:2" x14ac:dyDescent="0.3">
      <c r="A369" s="7" t="s">
        <v>52</v>
      </c>
      <c r="B369" s="3">
        <v>229484.87</v>
      </c>
    </row>
    <row r="370" spans="1:2" x14ac:dyDescent="0.3">
      <c r="A370" s="7" t="s">
        <v>499</v>
      </c>
      <c r="B370" s="3">
        <v>105210.79999999999</v>
      </c>
    </row>
    <row r="371" spans="1:2" x14ac:dyDescent="0.3">
      <c r="A371" s="7" t="s">
        <v>36</v>
      </c>
      <c r="B371" s="3">
        <v>177189.33</v>
      </c>
    </row>
    <row r="372" spans="1:2" x14ac:dyDescent="0.3">
      <c r="A372" s="7" t="s">
        <v>38</v>
      </c>
      <c r="B372" s="3">
        <v>301533.92</v>
      </c>
    </row>
    <row r="373" spans="1:2" x14ac:dyDescent="0.3">
      <c r="A373" s="7" t="s">
        <v>557</v>
      </c>
      <c r="B373" s="3">
        <v>224860.35</v>
      </c>
    </row>
    <row r="374" spans="1:2" x14ac:dyDescent="0.3">
      <c r="A374" s="7" t="s">
        <v>256</v>
      </c>
      <c r="B374" s="3">
        <v>72914.789999999994</v>
      </c>
    </row>
    <row r="375" spans="1:2" x14ac:dyDescent="0.3">
      <c r="A375" s="7" t="s">
        <v>464</v>
      </c>
      <c r="B375" s="3">
        <v>82676.41</v>
      </c>
    </row>
    <row r="376" spans="1:2" x14ac:dyDescent="0.3">
      <c r="A376" s="7" t="s">
        <v>140</v>
      </c>
      <c r="B376" s="3">
        <v>82651</v>
      </c>
    </row>
    <row r="377" spans="1:2" x14ac:dyDescent="0.3">
      <c r="A377" s="7" t="s">
        <v>541</v>
      </c>
      <c r="B377" s="3">
        <v>160331.64000000001</v>
      </c>
    </row>
    <row r="378" spans="1:2" x14ac:dyDescent="0.3">
      <c r="A378" s="7" t="s">
        <v>122</v>
      </c>
      <c r="B378" s="3">
        <v>50218.26</v>
      </c>
    </row>
    <row r="379" spans="1:2" x14ac:dyDescent="0.3">
      <c r="A379" s="7" t="s">
        <v>226</v>
      </c>
      <c r="B379" s="3">
        <v>196528.45</v>
      </c>
    </row>
    <row r="380" spans="1:2" x14ac:dyDescent="0.3">
      <c r="A380" s="7" t="s">
        <v>561</v>
      </c>
      <c r="B380" s="3">
        <v>92605.38</v>
      </c>
    </row>
    <row r="381" spans="1:2" x14ac:dyDescent="0.3">
      <c r="A381" s="7" t="s">
        <v>378</v>
      </c>
      <c r="B381" s="3">
        <v>18034.96</v>
      </c>
    </row>
    <row r="382" spans="1:2" x14ac:dyDescent="0.3">
      <c r="A382" s="7" t="s">
        <v>569</v>
      </c>
      <c r="B382" s="3">
        <v>176458.36</v>
      </c>
    </row>
    <row r="383" spans="1:2" x14ac:dyDescent="0.3">
      <c r="A383" s="7" t="s">
        <v>533</v>
      </c>
      <c r="B383" s="3">
        <v>69881.67</v>
      </c>
    </row>
    <row r="384" spans="1:2" x14ac:dyDescent="0.3">
      <c r="A384" s="7" t="s">
        <v>367</v>
      </c>
      <c r="B384" s="3">
        <v>114974.86</v>
      </c>
    </row>
    <row r="385" spans="1:2" x14ac:dyDescent="0.3">
      <c r="A385" s="7" t="s">
        <v>188</v>
      </c>
      <c r="B385" s="3">
        <v>132069.53999999998</v>
      </c>
    </row>
    <row r="386" spans="1:2" x14ac:dyDescent="0.3">
      <c r="A386" s="7" t="s">
        <v>143</v>
      </c>
      <c r="B386" s="3">
        <v>320927.05000000005</v>
      </c>
    </row>
    <row r="387" spans="1:2" x14ac:dyDescent="0.3">
      <c r="A387" s="7" t="s">
        <v>409</v>
      </c>
      <c r="B387" s="3">
        <v>104720.96000000001</v>
      </c>
    </row>
    <row r="388" spans="1:2" x14ac:dyDescent="0.3">
      <c r="A388" s="7" t="s">
        <v>398</v>
      </c>
      <c r="B388" s="3">
        <v>88138.03</v>
      </c>
    </row>
    <row r="389" spans="1:2" x14ac:dyDescent="0.3">
      <c r="A389" s="7" t="s">
        <v>28</v>
      </c>
      <c r="B389" s="3">
        <v>167415</v>
      </c>
    </row>
    <row r="390" spans="1:2" x14ac:dyDescent="0.3">
      <c r="A390" s="7" t="s">
        <v>298</v>
      </c>
      <c r="B390" s="3">
        <v>33166.730000000003</v>
      </c>
    </row>
    <row r="391" spans="1:2" x14ac:dyDescent="0.3">
      <c r="A391" s="7" t="s">
        <v>162</v>
      </c>
      <c r="B391" s="3">
        <v>287668.35000000003</v>
      </c>
    </row>
    <row r="392" spans="1:2" x14ac:dyDescent="0.3">
      <c r="A392" s="7" t="s">
        <v>397</v>
      </c>
      <c r="B392" s="3">
        <v>156042.26999999999</v>
      </c>
    </row>
    <row r="393" spans="1:2" x14ac:dyDescent="0.3">
      <c r="A393" s="7" t="s">
        <v>399</v>
      </c>
      <c r="B393" s="3">
        <v>270637.07</v>
      </c>
    </row>
    <row r="394" spans="1:2" x14ac:dyDescent="0.3">
      <c r="A394" s="7" t="s">
        <v>137</v>
      </c>
      <c r="B394" s="3">
        <v>161749.57</v>
      </c>
    </row>
    <row r="395" spans="1:2" x14ac:dyDescent="0.3">
      <c r="A395" s="7" t="s">
        <v>433</v>
      </c>
      <c r="B395" s="3">
        <v>56443.06</v>
      </c>
    </row>
    <row r="396" spans="1:2" x14ac:dyDescent="0.3">
      <c r="A396" s="7" t="s">
        <v>563</v>
      </c>
      <c r="B396" s="3">
        <v>88212.93</v>
      </c>
    </row>
    <row r="397" spans="1:2" x14ac:dyDescent="0.3">
      <c r="A397" s="7" t="s">
        <v>455</v>
      </c>
      <c r="B397" s="3">
        <v>172640.7</v>
      </c>
    </row>
    <row r="398" spans="1:2" x14ac:dyDescent="0.3">
      <c r="A398" s="7" t="s">
        <v>73</v>
      </c>
      <c r="B398" s="3">
        <v>163479.87</v>
      </c>
    </row>
    <row r="399" spans="1:2" x14ac:dyDescent="0.3">
      <c r="A399" s="7" t="s">
        <v>135</v>
      </c>
      <c r="B399" s="3">
        <v>171371.90000000002</v>
      </c>
    </row>
    <row r="400" spans="1:2" x14ac:dyDescent="0.3">
      <c r="A400" s="7" t="s">
        <v>148</v>
      </c>
      <c r="B400" s="3">
        <v>251779.5</v>
      </c>
    </row>
    <row r="401" spans="1:2" x14ac:dyDescent="0.3">
      <c r="A401" s="7" t="s">
        <v>166</v>
      </c>
      <c r="B401" s="3">
        <v>71115.149999999994</v>
      </c>
    </row>
    <row r="402" spans="1:2" x14ac:dyDescent="0.3">
      <c r="A402" s="7" t="s">
        <v>224</v>
      </c>
      <c r="B402" s="3">
        <v>62337.41</v>
      </c>
    </row>
    <row r="403" spans="1:2" x14ac:dyDescent="0.3">
      <c r="A403" s="7" t="s">
        <v>272</v>
      </c>
      <c r="B403" s="3">
        <v>358557.32</v>
      </c>
    </row>
    <row r="404" spans="1:2" x14ac:dyDescent="0.3">
      <c r="A404" s="7" t="s">
        <v>333</v>
      </c>
      <c r="B404" s="3">
        <v>442263.17</v>
      </c>
    </row>
    <row r="405" spans="1:2" x14ac:dyDescent="0.3">
      <c r="A405" s="7" t="s">
        <v>26</v>
      </c>
      <c r="B405" s="3">
        <v>290174.40000000002</v>
      </c>
    </row>
    <row r="406" spans="1:2" x14ac:dyDescent="0.3">
      <c r="A406" s="7" t="s">
        <v>276</v>
      </c>
      <c r="B406" s="3">
        <v>35583.68</v>
      </c>
    </row>
    <row r="407" spans="1:2" x14ac:dyDescent="0.3">
      <c r="A407" s="7" t="s">
        <v>580</v>
      </c>
      <c r="B407" s="3">
        <v>63139.29</v>
      </c>
    </row>
    <row r="408" spans="1:2" x14ac:dyDescent="0.3">
      <c r="A408" s="7" t="s">
        <v>82</v>
      </c>
      <c r="B408" s="3">
        <v>160754.57</v>
      </c>
    </row>
    <row r="409" spans="1:2" x14ac:dyDescent="0.3">
      <c r="A409" s="7" t="s">
        <v>445</v>
      </c>
      <c r="B409" s="3">
        <v>91573.6</v>
      </c>
    </row>
    <row r="410" spans="1:2" x14ac:dyDescent="0.3">
      <c r="A410" s="7" t="s">
        <v>411</v>
      </c>
      <c r="B410" s="3">
        <v>391112.9</v>
      </c>
    </row>
    <row r="411" spans="1:2" x14ac:dyDescent="0.3">
      <c r="A411" s="7" t="s">
        <v>534</v>
      </c>
      <c r="B411" s="3">
        <v>107323.91</v>
      </c>
    </row>
    <row r="412" spans="1:2" x14ac:dyDescent="0.3">
      <c r="A412" s="7" t="s">
        <v>133</v>
      </c>
      <c r="B412" s="3">
        <v>60957.31</v>
      </c>
    </row>
    <row r="413" spans="1:2" x14ac:dyDescent="0.3">
      <c r="A413" s="7" t="s">
        <v>442</v>
      </c>
      <c r="B413" s="3">
        <v>67995.460000000006</v>
      </c>
    </row>
    <row r="414" spans="1:2" x14ac:dyDescent="0.3">
      <c r="A414" s="7" t="s">
        <v>106</v>
      </c>
      <c r="B414" s="3">
        <v>325250.34999999998</v>
      </c>
    </row>
    <row r="415" spans="1:2" x14ac:dyDescent="0.3">
      <c r="A415" s="7" t="s">
        <v>201</v>
      </c>
      <c r="B415" s="3">
        <v>19684.07</v>
      </c>
    </row>
    <row r="416" spans="1:2" x14ac:dyDescent="0.3">
      <c r="A416" s="7" t="s">
        <v>294</v>
      </c>
      <c r="B416" s="3">
        <v>290423.98</v>
      </c>
    </row>
    <row r="417" spans="1:2" x14ac:dyDescent="0.3">
      <c r="A417" s="7" t="s">
        <v>402</v>
      </c>
      <c r="B417" s="3">
        <v>78115.94</v>
      </c>
    </row>
    <row r="418" spans="1:2" x14ac:dyDescent="0.3">
      <c r="A418" s="7" t="s">
        <v>360</v>
      </c>
      <c r="B418" s="3">
        <v>20216.080000000002</v>
      </c>
    </row>
    <row r="419" spans="1:2" x14ac:dyDescent="0.3">
      <c r="A419" s="7" t="s">
        <v>170</v>
      </c>
      <c r="B419" s="3">
        <v>320938.78000000003</v>
      </c>
    </row>
    <row r="420" spans="1:2" x14ac:dyDescent="0.3">
      <c r="A420" s="7" t="s">
        <v>37</v>
      </c>
      <c r="B420" s="3">
        <v>156767.4</v>
      </c>
    </row>
    <row r="421" spans="1:2" x14ac:dyDescent="0.3">
      <c r="A421" s="7" t="s">
        <v>305</v>
      </c>
      <c r="B421" s="3">
        <v>166758.07999999999</v>
      </c>
    </row>
    <row r="422" spans="1:2" x14ac:dyDescent="0.3">
      <c r="A422" s="7" t="s">
        <v>545</v>
      </c>
      <c r="B422" s="3">
        <v>81026.5</v>
      </c>
    </row>
    <row r="423" spans="1:2" x14ac:dyDescent="0.3">
      <c r="A423" s="7" t="s">
        <v>49</v>
      </c>
      <c r="B423" s="3">
        <v>254630.1</v>
      </c>
    </row>
    <row r="424" spans="1:2" x14ac:dyDescent="0.3">
      <c r="A424" s="7" t="s">
        <v>428</v>
      </c>
      <c r="B424" s="3">
        <v>26414.959999999999</v>
      </c>
    </row>
    <row r="425" spans="1:2" x14ac:dyDescent="0.3">
      <c r="A425" s="7" t="s">
        <v>343</v>
      </c>
      <c r="B425" s="3">
        <v>355310.85</v>
      </c>
    </row>
    <row r="426" spans="1:2" x14ac:dyDescent="0.3">
      <c r="A426" s="7" t="s">
        <v>347</v>
      </c>
      <c r="B426" s="3">
        <v>362387.22</v>
      </c>
    </row>
    <row r="427" spans="1:2" x14ac:dyDescent="0.3">
      <c r="A427" s="7" t="s">
        <v>129</v>
      </c>
      <c r="B427" s="3">
        <v>284008.27</v>
      </c>
    </row>
    <row r="428" spans="1:2" x14ac:dyDescent="0.3">
      <c r="A428" s="7" t="s">
        <v>20</v>
      </c>
      <c r="B428" s="3">
        <v>362406.64</v>
      </c>
    </row>
    <row r="429" spans="1:2" x14ac:dyDescent="0.3">
      <c r="A429" s="7" t="s">
        <v>205</v>
      </c>
      <c r="B429" s="3">
        <v>148992.76</v>
      </c>
    </row>
    <row r="430" spans="1:2" x14ac:dyDescent="0.3">
      <c r="A430" s="7" t="s">
        <v>579</v>
      </c>
      <c r="B430" s="3">
        <v>159397.85999999999</v>
      </c>
    </row>
    <row r="431" spans="1:2" x14ac:dyDescent="0.3">
      <c r="A431" s="7" t="s">
        <v>280</v>
      </c>
      <c r="B431" s="3">
        <v>151580.79</v>
      </c>
    </row>
    <row r="432" spans="1:2" x14ac:dyDescent="0.3">
      <c r="A432" s="7" t="s">
        <v>147</v>
      </c>
      <c r="B432" s="3">
        <v>222897.58</v>
      </c>
    </row>
    <row r="433" spans="1:2" x14ac:dyDescent="0.3">
      <c r="A433" s="7" t="s">
        <v>515</v>
      </c>
      <c r="B433" s="3">
        <v>117704.32000000001</v>
      </c>
    </row>
    <row r="434" spans="1:2" x14ac:dyDescent="0.3">
      <c r="A434" s="7" t="s">
        <v>107</v>
      </c>
      <c r="B434" s="3">
        <v>251840.40000000002</v>
      </c>
    </row>
    <row r="435" spans="1:2" x14ac:dyDescent="0.3">
      <c r="A435" s="7" t="s">
        <v>150</v>
      </c>
      <c r="B435" s="3">
        <v>11332.84</v>
      </c>
    </row>
    <row r="436" spans="1:2" x14ac:dyDescent="0.3">
      <c r="A436" s="7" t="s">
        <v>482</v>
      </c>
      <c r="B436" s="3">
        <v>165574.78</v>
      </c>
    </row>
    <row r="437" spans="1:2" x14ac:dyDescent="0.3">
      <c r="A437" s="7" t="s">
        <v>310</v>
      </c>
      <c r="B437" s="3">
        <v>190241.02</v>
      </c>
    </row>
    <row r="438" spans="1:2" x14ac:dyDescent="0.3">
      <c r="A438" s="7" t="s">
        <v>576</v>
      </c>
      <c r="B438" s="3">
        <v>23971.51</v>
      </c>
    </row>
    <row r="439" spans="1:2" x14ac:dyDescent="0.3">
      <c r="A439" s="7" t="s">
        <v>113</v>
      </c>
      <c r="B439" s="3">
        <v>340145.95999999996</v>
      </c>
    </row>
    <row r="440" spans="1:2" x14ac:dyDescent="0.3">
      <c r="A440" s="7" t="s">
        <v>259</v>
      </c>
      <c r="B440" s="3">
        <v>50383.54</v>
      </c>
    </row>
    <row r="441" spans="1:2" x14ac:dyDescent="0.3">
      <c r="A441" s="7" t="s">
        <v>104</v>
      </c>
      <c r="B441" s="3">
        <v>257541.36</v>
      </c>
    </row>
    <row r="442" spans="1:2" x14ac:dyDescent="0.3">
      <c r="A442" s="7" t="s">
        <v>325</v>
      </c>
      <c r="B442" s="3">
        <v>46793.5</v>
      </c>
    </row>
    <row r="443" spans="1:2" x14ac:dyDescent="0.3">
      <c r="A443" s="7" t="s">
        <v>59</v>
      </c>
      <c r="B443" s="3">
        <v>243849.8</v>
      </c>
    </row>
    <row r="444" spans="1:2" x14ac:dyDescent="0.3">
      <c r="A444" s="7" t="s">
        <v>227</v>
      </c>
      <c r="B444" s="3">
        <v>328746</v>
      </c>
    </row>
    <row r="445" spans="1:2" x14ac:dyDescent="0.3">
      <c r="A445" s="7" t="s">
        <v>486</v>
      </c>
      <c r="B445" s="3">
        <v>18348.509999999998</v>
      </c>
    </row>
    <row r="446" spans="1:2" x14ac:dyDescent="0.3">
      <c r="A446" s="7" t="s">
        <v>483</v>
      </c>
      <c r="B446" s="3">
        <v>75885.94</v>
      </c>
    </row>
    <row r="447" spans="1:2" x14ac:dyDescent="0.3">
      <c r="A447" s="7" t="s">
        <v>335</v>
      </c>
      <c r="B447" s="3">
        <v>40021.81</v>
      </c>
    </row>
    <row r="448" spans="1:2" x14ac:dyDescent="0.3">
      <c r="A448" s="7" t="s">
        <v>257</v>
      </c>
      <c r="B448" s="3">
        <v>169552.85</v>
      </c>
    </row>
    <row r="449" spans="1:2" x14ac:dyDescent="0.3">
      <c r="A449" s="7" t="s">
        <v>431</v>
      </c>
      <c r="B449" s="3">
        <v>100385.54</v>
      </c>
    </row>
    <row r="450" spans="1:2" x14ac:dyDescent="0.3">
      <c r="A450" s="7" t="s">
        <v>119</v>
      </c>
      <c r="B450" s="3">
        <v>211071.84</v>
      </c>
    </row>
    <row r="451" spans="1:2" x14ac:dyDescent="0.3">
      <c r="A451" s="7" t="s">
        <v>114</v>
      </c>
      <c r="B451" s="3">
        <v>176595.22</v>
      </c>
    </row>
    <row r="452" spans="1:2" x14ac:dyDescent="0.3">
      <c r="A452" s="7" t="s">
        <v>511</v>
      </c>
      <c r="B452" s="3">
        <v>157386.23000000001</v>
      </c>
    </row>
    <row r="453" spans="1:2" x14ac:dyDescent="0.3">
      <c r="A453" s="7" t="s">
        <v>145</v>
      </c>
      <c r="B453" s="3">
        <v>188995.91</v>
      </c>
    </row>
    <row r="454" spans="1:2" x14ac:dyDescent="0.3">
      <c r="A454" s="7" t="s">
        <v>286</v>
      </c>
      <c r="B454" s="3">
        <v>239463.81</v>
      </c>
    </row>
    <row r="455" spans="1:2" x14ac:dyDescent="0.3">
      <c r="A455" s="7" t="s">
        <v>85</v>
      </c>
      <c r="B455" s="3">
        <v>286566.65000000002</v>
      </c>
    </row>
    <row r="456" spans="1:2" x14ac:dyDescent="0.3">
      <c r="A456" s="7" t="s">
        <v>169</v>
      </c>
      <c r="B456" s="3">
        <v>328938.02</v>
      </c>
    </row>
    <row r="457" spans="1:2" x14ac:dyDescent="0.3">
      <c r="A457" s="7" t="s">
        <v>230</v>
      </c>
      <c r="B457" s="3">
        <v>16363.23</v>
      </c>
    </row>
    <row r="458" spans="1:2" x14ac:dyDescent="0.3">
      <c r="A458" s="7" t="s">
        <v>525</v>
      </c>
      <c r="B458" s="3">
        <v>3674.85</v>
      </c>
    </row>
    <row r="459" spans="1:2" x14ac:dyDescent="0.3">
      <c r="A459" s="7" t="s">
        <v>31</v>
      </c>
      <c r="B459" s="3">
        <v>80262.759999999995</v>
      </c>
    </row>
    <row r="460" spans="1:2" x14ac:dyDescent="0.3">
      <c r="A460" s="7" t="s">
        <v>98</v>
      </c>
      <c r="B460" s="3">
        <v>65969.91</v>
      </c>
    </row>
    <row r="461" spans="1:2" x14ac:dyDescent="0.3">
      <c r="A461" s="7" t="s">
        <v>434</v>
      </c>
      <c r="B461" s="3">
        <v>251024.3</v>
      </c>
    </row>
    <row r="462" spans="1:2" x14ac:dyDescent="0.3">
      <c r="A462" s="7" t="s">
        <v>474</v>
      </c>
      <c r="B462" s="3">
        <v>55800.41</v>
      </c>
    </row>
    <row r="463" spans="1:2" x14ac:dyDescent="0.3">
      <c r="A463" s="7" t="s">
        <v>237</v>
      </c>
      <c r="B463" s="3">
        <v>78248.37000000001</v>
      </c>
    </row>
    <row r="464" spans="1:2" x14ac:dyDescent="0.3">
      <c r="A464" s="7" t="s">
        <v>478</v>
      </c>
      <c r="B464" s="3">
        <v>10315.32</v>
      </c>
    </row>
    <row r="465" spans="1:2" x14ac:dyDescent="0.3">
      <c r="A465" s="7" t="s">
        <v>291</v>
      </c>
      <c r="B465" s="3">
        <v>267690.07999999996</v>
      </c>
    </row>
    <row r="466" spans="1:2" x14ac:dyDescent="0.3">
      <c r="A466" s="7" t="s">
        <v>313</v>
      </c>
      <c r="B466" s="3">
        <v>117162.67</v>
      </c>
    </row>
    <row r="467" spans="1:2" x14ac:dyDescent="0.3">
      <c r="A467" s="7" t="s">
        <v>290</v>
      </c>
      <c r="B467" s="3">
        <v>449858.06</v>
      </c>
    </row>
    <row r="468" spans="1:2" x14ac:dyDescent="0.3">
      <c r="A468" s="7" t="s">
        <v>203</v>
      </c>
      <c r="B468" s="3">
        <v>174450.77000000002</v>
      </c>
    </row>
    <row r="469" spans="1:2" x14ac:dyDescent="0.3">
      <c r="A469" s="7" t="s">
        <v>261</v>
      </c>
      <c r="B469" s="3">
        <v>246809.09</v>
      </c>
    </row>
    <row r="470" spans="1:2" x14ac:dyDescent="0.3">
      <c r="A470" s="7" t="s">
        <v>118</v>
      </c>
      <c r="B470" s="3">
        <v>67153.17</v>
      </c>
    </row>
    <row r="471" spans="1:2" x14ac:dyDescent="0.3">
      <c r="A471" s="7" t="s">
        <v>184</v>
      </c>
      <c r="B471" s="3">
        <v>142378.33000000002</v>
      </c>
    </row>
    <row r="472" spans="1:2" x14ac:dyDescent="0.3">
      <c r="A472" s="7" t="s">
        <v>340</v>
      </c>
      <c r="B472" s="3">
        <v>316395.37</v>
      </c>
    </row>
    <row r="473" spans="1:2" x14ac:dyDescent="0.3">
      <c r="A473" s="7" t="s">
        <v>446</v>
      </c>
      <c r="B473" s="3">
        <v>63653.17</v>
      </c>
    </row>
    <row r="474" spans="1:2" x14ac:dyDescent="0.3">
      <c r="A474" s="7" t="s">
        <v>151</v>
      </c>
      <c r="B474" s="3">
        <v>45991.049999999996</v>
      </c>
    </row>
    <row r="475" spans="1:2" x14ac:dyDescent="0.3">
      <c r="A475" s="7" t="s">
        <v>176</v>
      </c>
      <c r="B475" s="3">
        <v>262556.89</v>
      </c>
    </row>
    <row r="476" spans="1:2" x14ac:dyDescent="0.3">
      <c r="A476" s="7" t="s">
        <v>404</v>
      </c>
      <c r="B476" s="3">
        <v>145304.85999999999</v>
      </c>
    </row>
    <row r="477" spans="1:2" x14ac:dyDescent="0.3">
      <c r="A477" s="7" t="s">
        <v>22</v>
      </c>
      <c r="B477" s="3">
        <v>489896.4</v>
      </c>
    </row>
    <row r="478" spans="1:2" x14ac:dyDescent="0.3">
      <c r="A478" s="7" t="s">
        <v>268</v>
      </c>
      <c r="B478" s="3">
        <v>75122.63</v>
      </c>
    </row>
    <row r="479" spans="1:2" x14ac:dyDescent="0.3">
      <c r="A479" s="7" t="s">
        <v>56</v>
      </c>
      <c r="B479" s="3">
        <v>60766.5</v>
      </c>
    </row>
    <row r="480" spans="1:2" x14ac:dyDescent="0.3">
      <c r="A480" s="7" t="s">
        <v>46</v>
      </c>
      <c r="B480" s="3">
        <v>146772.08000000002</v>
      </c>
    </row>
    <row r="481" spans="1:2" x14ac:dyDescent="0.3">
      <c r="A481" s="7" t="s">
        <v>520</v>
      </c>
      <c r="B481" s="3">
        <v>206813.8</v>
      </c>
    </row>
    <row r="482" spans="1:2" x14ac:dyDescent="0.3">
      <c r="A482" s="7" t="s">
        <v>66</v>
      </c>
      <c r="B482" s="3">
        <v>118950.3</v>
      </c>
    </row>
    <row r="483" spans="1:2" x14ac:dyDescent="0.3">
      <c r="A483" s="7" t="s">
        <v>521</v>
      </c>
      <c r="B483" s="3">
        <v>54961.34</v>
      </c>
    </row>
    <row r="484" spans="1:2" x14ac:dyDescent="0.3">
      <c r="A484" s="7" t="s">
        <v>461</v>
      </c>
      <c r="B484" s="3">
        <v>130335.66</v>
      </c>
    </row>
    <row r="485" spans="1:2" x14ac:dyDescent="0.3">
      <c r="A485" s="7" t="s">
        <v>40</v>
      </c>
      <c r="B485" s="3">
        <v>275019.34999999998</v>
      </c>
    </row>
    <row r="486" spans="1:2" x14ac:dyDescent="0.3">
      <c r="A486" s="7" t="s">
        <v>223</v>
      </c>
      <c r="B486" s="3">
        <v>146064.46</v>
      </c>
    </row>
    <row r="487" spans="1:2" x14ac:dyDescent="0.3">
      <c r="A487" s="7" t="s">
        <v>78</v>
      </c>
      <c r="B487" s="3">
        <v>181920.24999999997</v>
      </c>
    </row>
    <row r="488" spans="1:2" x14ac:dyDescent="0.3">
      <c r="A488" s="7" t="s">
        <v>25</v>
      </c>
      <c r="B488" s="3">
        <v>49861.47</v>
      </c>
    </row>
    <row r="489" spans="1:2" x14ac:dyDescent="0.3">
      <c r="A489" s="7" t="s">
        <v>100</v>
      </c>
      <c r="B489" s="3">
        <v>204307.55</v>
      </c>
    </row>
    <row r="490" spans="1:2" x14ac:dyDescent="0.3">
      <c r="A490" s="7" t="s">
        <v>552</v>
      </c>
      <c r="B490" s="3">
        <v>141326.64000000001</v>
      </c>
    </row>
    <row r="491" spans="1:2" x14ac:dyDescent="0.3">
      <c r="A491" s="7" t="s">
        <v>45</v>
      </c>
      <c r="B491" s="3">
        <v>76180.989999999991</v>
      </c>
    </row>
    <row r="492" spans="1:2" x14ac:dyDescent="0.3">
      <c r="A492" s="7" t="s">
        <v>554</v>
      </c>
      <c r="B492" s="3">
        <v>19412.099999999999</v>
      </c>
    </row>
    <row r="493" spans="1:2" x14ac:dyDescent="0.3">
      <c r="A493" s="7" t="s">
        <v>267</v>
      </c>
      <c r="B493" s="3">
        <v>333289.38</v>
      </c>
    </row>
    <row r="494" spans="1:2" x14ac:dyDescent="0.3">
      <c r="A494" s="7" t="s">
        <v>462</v>
      </c>
      <c r="B494" s="3">
        <v>158303.64000000001</v>
      </c>
    </row>
    <row r="495" spans="1:2" x14ac:dyDescent="0.3">
      <c r="A495" s="7" t="s">
        <v>452</v>
      </c>
      <c r="B495" s="3">
        <v>179289.01</v>
      </c>
    </row>
    <row r="496" spans="1:2" x14ac:dyDescent="0.3">
      <c r="A496" s="7" t="s">
        <v>156</v>
      </c>
      <c r="B496" s="3">
        <v>144734.68</v>
      </c>
    </row>
    <row r="497" spans="1:2" x14ac:dyDescent="0.3">
      <c r="A497" s="7" t="s">
        <v>266</v>
      </c>
      <c r="B497" s="3">
        <v>350246.27</v>
      </c>
    </row>
    <row r="498" spans="1:2" x14ac:dyDescent="0.3">
      <c r="A498" s="7" t="s">
        <v>365</v>
      </c>
      <c r="B498" s="3">
        <v>212165.53999999998</v>
      </c>
    </row>
    <row r="499" spans="1:2" x14ac:dyDescent="0.3">
      <c r="A499" s="7" t="s">
        <v>43</v>
      </c>
      <c r="B499" s="3">
        <v>228329.90000000002</v>
      </c>
    </row>
    <row r="500" spans="1:2" x14ac:dyDescent="0.3">
      <c r="A500" s="7" t="s">
        <v>127</v>
      </c>
      <c r="B500" s="3">
        <v>83224.52</v>
      </c>
    </row>
    <row r="501" spans="1:2" x14ac:dyDescent="0.3">
      <c r="A501" s="7" t="s">
        <v>158</v>
      </c>
      <c r="B501" s="3">
        <v>312813.29000000004</v>
      </c>
    </row>
    <row r="502" spans="1:2" x14ac:dyDescent="0.3">
      <c r="A502" s="7" t="s">
        <v>354</v>
      </c>
      <c r="B502" s="3">
        <v>92072.46</v>
      </c>
    </row>
    <row r="503" spans="1:2" x14ac:dyDescent="0.3">
      <c r="A503" s="7" t="s">
        <v>117</v>
      </c>
      <c r="B503" s="3">
        <v>368295.69</v>
      </c>
    </row>
    <row r="504" spans="1:2" x14ac:dyDescent="0.3">
      <c r="A504" s="7" t="s">
        <v>155</v>
      </c>
      <c r="B504" s="3">
        <v>78697.960000000006</v>
      </c>
    </row>
    <row r="505" spans="1:2" x14ac:dyDescent="0.3">
      <c r="A505" s="7" t="s">
        <v>289</v>
      </c>
      <c r="B505" s="3">
        <v>179260.58000000002</v>
      </c>
    </row>
    <row r="506" spans="1:2" x14ac:dyDescent="0.3">
      <c r="A506" s="7" t="s">
        <v>87</v>
      </c>
      <c r="B506" s="3">
        <v>332514.90000000002</v>
      </c>
    </row>
    <row r="507" spans="1:2" x14ac:dyDescent="0.3">
      <c r="A507" s="7" t="s">
        <v>269</v>
      </c>
      <c r="B507" s="3">
        <v>197613.8</v>
      </c>
    </row>
    <row r="508" spans="1:2" x14ac:dyDescent="0.3">
      <c r="A508" s="7" t="s">
        <v>359</v>
      </c>
      <c r="B508" s="3">
        <v>18298</v>
      </c>
    </row>
    <row r="509" spans="1:2" x14ac:dyDescent="0.3">
      <c r="A509" s="7" t="s">
        <v>316</v>
      </c>
      <c r="B509" s="3">
        <v>136918.74</v>
      </c>
    </row>
    <row r="510" spans="1:2" x14ac:dyDescent="0.3">
      <c r="A510" s="7" t="s">
        <v>204</v>
      </c>
      <c r="B510" s="3">
        <v>78989.679999999993</v>
      </c>
    </row>
    <row r="511" spans="1:2" x14ac:dyDescent="0.3">
      <c r="A511" s="7" t="s">
        <v>281</v>
      </c>
      <c r="B511" s="3">
        <v>266200.20999999996</v>
      </c>
    </row>
    <row r="512" spans="1:2" x14ac:dyDescent="0.3">
      <c r="A512" s="7" t="s">
        <v>489</v>
      </c>
      <c r="B512" s="3">
        <v>259015.27</v>
      </c>
    </row>
    <row r="513" spans="1:2" x14ac:dyDescent="0.3">
      <c r="A513" s="7" t="s">
        <v>292</v>
      </c>
      <c r="B513" s="3">
        <v>200764.58000000002</v>
      </c>
    </row>
    <row r="514" spans="1:2" x14ac:dyDescent="0.3">
      <c r="A514" s="7" t="s">
        <v>93</v>
      </c>
      <c r="B514" s="3">
        <v>335768.39</v>
      </c>
    </row>
    <row r="515" spans="1:2" x14ac:dyDescent="0.3">
      <c r="A515" s="7" t="s">
        <v>279</v>
      </c>
      <c r="B515" s="3">
        <v>201802.99</v>
      </c>
    </row>
    <row r="516" spans="1:2" x14ac:dyDescent="0.3">
      <c r="A516" s="7" t="s">
        <v>503</v>
      </c>
      <c r="B516" s="3">
        <v>33074.199999999997</v>
      </c>
    </row>
    <row r="517" spans="1:2" x14ac:dyDescent="0.3">
      <c r="A517" s="7" t="s">
        <v>351</v>
      </c>
      <c r="B517" s="3">
        <v>174838.58000000002</v>
      </c>
    </row>
    <row r="518" spans="1:2" x14ac:dyDescent="0.3">
      <c r="A518" s="7" t="s">
        <v>115</v>
      </c>
      <c r="B518" s="3">
        <v>316680.40000000002</v>
      </c>
    </row>
    <row r="519" spans="1:2" x14ac:dyDescent="0.3">
      <c r="A519" s="7" t="s">
        <v>389</v>
      </c>
      <c r="B519" s="3">
        <v>435663.62</v>
      </c>
    </row>
    <row r="520" spans="1:2" x14ac:dyDescent="0.3">
      <c r="A520" s="7" t="s">
        <v>393</v>
      </c>
      <c r="B520" s="3">
        <v>178717.71</v>
      </c>
    </row>
    <row r="521" spans="1:2" x14ac:dyDescent="0.3">
      <c r="A521" s="7" t="s">
        <v>200</v>
      </c>
      <c r="B521" s="3">
        <v>485294.47</v>
      </c>
    </row>
    <row r="522" spans="1:2" x14ac:dyDescent="0.3">
      <c r="A522" s="7" t="s">
        <v>96</v>
      </c>
      <c r="B522" s="3">
        <v>297528.27</v>
      </c>
    </row>
    <row r="523" spans="1:2" x14ac:dyDescent="0.3">
      <c r="A523" s="7" t="s">
        <v>529</v>
      </c>
      <c r="B523" s="3">
        <v>55940.33</v>
      </c>
    </row>
    <row r="524" spans="1:2" x14ac:dyDescent="0.3">
      <c r="A524" s="7" t="s">
        <v>490</v>
      </c>
      <c r="B524" s="3">
        <v>82383.12</v>
      </c>
    </row>
    <row r="525" spans="1:2" x14ac:dyDescent="0.3">
      <c r="A525" s="7" t="s">
        <v>67</v>
      </c>
      <c r="B525" s="3">
        <v>155415.35</v>
      </c>
    </row>
    <row r="526" spans="1:2" x14ac:dyDescent="0.3">
      <c r="A526" s="7" t="s">
        <v>110</v>
      </c>
      <c r="B526" s="3">
        <v>107650.87</v>
      </c>
    </row>
    <row r="527" spans="1:2" x14ac:dyDescent="0.3">
      <c r="A527" s="7" t="s">
        <v>443</v>
      </c>
      <c r="B527" s="3">
        <v>98337.53</v>
      </c>
    </row>
    <row r="528" spans="1:2" x14ac:dyDescent="0.3">
      <c r="A528" s="7" t="s">
        <v>479</v>
      </c>
      <c r="B528" s="3">
        <v>134835.96</v>
      </c>
    </row>
    <row r="529" spans="1:2" x14ac:dyDescent="0.3">
      <c r="A529" s="7" t="s">
        <v>356</v>
      </c>
      <c r="B529" s="3">
        <v>153924.46999999997</v>
      </c>
    </row>
    <row r="530" spans="1:2" x14ac:dyDescent="0.3">
      <c r="A530" s="7" t="s">
        <v>329</v>
      </c>
      <c r="B530" s="3">
        <v>202410.47</v>
      </c>
    </row>
    <row r="531" spans="1:2" x14ac:dyDescent="0.3">
      <c r="A531" s="7" t="s">
        <v>232</v>
      </c>
      <c r="B531" s="3">
        <v>121916.27</v>
      </c>
    </row>
    <row r="532" spans="1:2" x14ac:dyDescent="0.3">
      <c r="A532" s="7" t="s">
        <v>373</v>
      </c>
      <c r="B532" s="3">
        <v>81195.53</v>
      </c>
    </row>
    <row r="533" spans="1:2" x14ac:dyDescent="0.3">
      <c r="A533" s="7" t="s">
        <v>481</v>
      </c>
      <c r="B533" s="3">
        <v>78197.67</v>
      </c>
    </row>
    <row r="534" spans="1:2" x14ac:dyDescent="0.3">
      <c r="A534" s="7" t="s">
        <v>371</v>
      </c>
      <c r="B534" s="3">
        <v>97899.95</v>
      </c>
    </row>
    <row r="535" spans="1:2" x14ac:dyDescent="0.3">
      <c r="A535" s="7" t="s">
        <v>345</v>
      </c>
      <c r="B535" s="3">
        <v>203346.71</v>
      </c>
    </row>
    <row r="536" spans="1:2" x14ac:dyDescent="0.3">
      <c r="A536" s="7" t="s">
        <v>379</v>
      </c>
      <c r="B536" s="3">
        <v>74854.820000000007</v>
      </c>
    </row>
    <row r="537" spans="1:2" x14ac:dyDescent="0.3">
      <c r="A537" s="7" t="s">
        <v>571</v>
      </c>
      <c r="B537" s="3">
        <v>95910.37</v>
      </c>
    </row>
    <row r="538" spans="1:2" x14ac:dyDescent="0.3">
      <c r="A538" s="7" t="s">
        <v>182</v>
      </c>
      <c r="B538" s="3">
        <v>215766.21</v>
      </c>
    </row>
    <row r="539" spans="1:2" x14ac:dyDescent="0.3">
      <c r="A539" s="7" t="s">
        <v>449</v>
      </c>
      <c r="B539" s="3">
        <v>22251.84</v>
      </c>
    </row>
    <row r="540" spans="1:2" x14ac:dyDescent="0.3">
      <c r="A540" s="7" t="s">
        <v>504</v>
      </c>
      <c r="B540" s="3">
        <v>147659.53</v>
      </c>
    </row>
    <row r="541" spans="1:2" x14ac:dyDescent="0.3">
      <c r="A541" s="7" t="s">
        <v>514</v>
      </c>
      <c r="B541" s="3">
        <v>33609.96</v>
      </c>
    </row>
    <row r="542" spans="1:2" x14ac:dyDescent="0.3">
      <c r="A542" s="7" t="s">
        <v>74</v>
      </c>
      <c r="B542" s="3">
        <v>158636.1</v>
      </c>
    </row>
    <row r="543" spans="1:2" x14ac:dyDescent="0.3">
      <c r="A543" s="7" t="s">
        <v>219</v>
      </c>
      <c r="B543" s="3">
        <v>365747.77</v>
      </c>
    </row>
    <row r="544" spans="1:2" x14ac:dyDescent="0.3">
      <c r="A544" s="7" t="s">
        <v>350</v>
      </c>
      <c r="B544" s="3">
        <v>249184.55</v>
      </c>
    </row>
    <row r="545" spans="1:2" x14ac:dyDescent="0.3">
      <c r="A545" s="7" t="s">
        <v>186</v>
      </c>
      <c r="B545" s="3">
        <v>371185.94</v>
      </c>
    </row>
    <row r="546" spans="1:2" x14ac:dyDescent="0.3">
      <c r="A546" s="7" t="s">
        <v>427</v>
      </c>
      <c r="B546" s="3">
        <v>217979.5</v>
      </c>
    </row>
    <row r="547" spans="1:2" x14ac:dyDescent="0.3">
      <c r="A547" s="7" t="s">
        <v>493</v>
      </c>
      <c r="B547" s="3">
        <v>146079</v>
      </c>
    </row>
    <row r="548" spans="1:2" x14ac:dyDescent="0.3">
      <c r="A548" s="7" t="s">
        <v>480</v>
      </c>
      <c r="B548" s="3">
        <v>114593.45000000001</v>
      </c>
    </row>
    <row r="549" spans="1:2" x14ac:dyDescent="0.3">
      <c r="A549" s="7" t="s">
        <v>177</v>
      </c>
      <c r="B549" s="3">
        <v>65884.160000000003</v>
      </c>
    </row>
    <row r="550" spans="1:2" x14ac:dyDescent="0.3">
      <c r="A550" s="7" t="s">
        <v>187</v>
      </c>
      <c r="B550" s="3">
        <v>117016.41</v>
      </c>
    </row>
    <row r="551" spans="1:2" x14ac:dyDescent="0.3">
      <c r="A551" s="7" t="s">
        <v>77</v>
      </c>
      <c r="B551" s="3">
        <v>170726.87</v>
      </c>
    </row>
    <row r="552" spans="1:2" x14ac:dyDescent="0.3">
      <c r="A552" s="7" t="s">
        <v>475</v>
      </c>
      <c r="B552" s="3">
        <v>144012.65</v>
      </c>
    </row>
    <row r="553" spans="1:2" x14ac:dyDescent="0.3">
      <c r="A553" s="7" t="s">
        <v>275</v>
      </c>
      <c r="B553" s="3">
        <v>100464.08</v>
      </c>
    </row>
    <row r="554" spans="1:2" x14ac:dyDescent="0.3">
      <c r="A554" s="7" t="s">
        <v>447</v>
      </c>
      <c r="B554" s="3">
        <v>123115.42</v>
      </c>
    </row>
    <row r="555" spans="1:2" x14ac:dyDescent="0.3">
      <c r="A555" s="7" t="s">
        <v>527</v>
      </c>
      <c r="B555" s="3">
        <v>237556.32</v>
      </c>
    </row>
    <row r="556" spans="1:2" x14ac:dyDescent="0.3">
      <c r="A556" s="7" t="s">
        <v>12</v>
      </c>
      <c r="B556" s="3">
        <v>156800.81</v>
      </c>
    </row>
    <row r="557" spans="1:2" x14ac:dyDescent="0.3">
      <c r="A557" s="7" t="s">
        <v>317</v>
      </c>
      <c r="B557" s="3">
        <v>43815.28</v>
      </c>
    </row>
    <row r="558" spans="1:2" x14ac:dyDescent="0.3">
      <c r="A558" s="7" t="s">
        <v>321</v>
      </c>
      <c r="B558" s="3">
        <v>103249.75</v>
      </c>
    </row>
    <row r="559" spans="1:2" x14ac:dyDescent="0.3">
      <c r="A559" s="7" t="s">
        <v>560</v>
      </c>
      <c r="B559" s="3">
        <v>125295.61</v>
      </c>
    </row>
    <row r="560" spans="1:2" x14ac:dyDescent="0.3">
      <c r="A560" s="7" t="s">
        <v>149</v>
      </c>
      <c r="B560" s="3">
        <v>68184.42</v>
      </c>
    </row>
    <row r="561" spans="1:2" x14ac:dyDescent="0.3">
      <c r="A561" s="7" t="s">
        <v>530</v>
      </c>
      <c r="B561" s="3">
        <v>177795.76</v>
      </c>
    </row>
    <row r="562" spans="1:2" x14ac:dyDescent="0.3">
      <c r="A562" s="7" t="s">
        <v>35</v>
      </c>
      <c r="B562" s="3">
        <v>204984.03999999998</v>
      </c>
    </row>
    <row r="563" spans="1:2" x14ac:dyDescent="0.3">
      <c r="A563" s="7" t="s">
        <v>467</v>
      </c>
      <c r="B563" s="3">
        <v>151351.24</v>
      </c>
    </row>
    <row r="564" spans="1:2" x14ac:dyDescent="0.3">
      <c r="A564" s="7" t="s">
        <v>123</v>
      </c>
      <c r="B564" s="3">
        <v>238370.31</v>
      </c>
    </row>
    <row r="565" spans="1:2" x14ac:dyDescent="0.3">
      <c r="A565" s="7" t="s">
        <v>161</v>
      </c>
      <c r="B565" s="3">
        <v>171790.81</v>
      </c>
    </row>
    <row r="566" spans="1:2" x14ac:dyDescent="0.3">
      <c r="A566" s="7" t="s">
        <v>418</v>
      </c>
      <c r="B566" s="3">
        <v>87157.51999999999</v>
      </c>
    </row>
    <row r="567" spans="1:2" x14ac:dyDescent="0.3">
      <c r="A567" s="7" t="s">
        <v>326</v>
      </c>
      <c r="B567" s="3">
        <v>6063.84</v>
      </c>
    </row>
    <row r="568" spans="1:2" x14ac:dyDescent="0.3">
      <c r="A568" s="7" t="s">
        <v>209</v>
      </c>
      <c r="B568" s="3">
        <v>76435.899999999994</v>
      </c>
    </row>
    <row r="569" spans="1:2" x14ac:dyDescent="0.3">
      <c r="A569" s="7" t="s">
        <v>231</v>
      </c>
      <c r="B569" s="3">
        <v>221277.09999999998</v>
      </c>
    </row>
    <row r="570" spans="1:2" x14ac:dyDescent="0.3">
      <c r="A570" s="7" t="s">
        <v>198</v>
      </c>
      <c r="B570" s="3">
        <v>386572.02</v>
      </c>
    </row>
    <row r="571" spans="1:2" x14ac:dyDescent="0.3">
      <c r="A571" s="7" t="s">
        <v>396</v>
      </c>
      <c r="B571" s="3">
        <v>58572.55</v>
      </c>
    </row>
    <row r="572" spans="1:2" x14ac:dyDescent="0.3">
      <c r="A572" s="7" t="s">
        <v>124</v>
      </c>
      <c r="B572" s="3">
        <v>144842.92000000001</v>
      </c>
    </row>
    <row r="573" spans="1:2" x14ac:dyDescent="0.3">
      <c r="A573" s="7" t="s">
        <v>485</v>
      </c>
      <c r="B573" s="3">
        <v>33770.89</v>
      </c>
    </row>
    <row r="574" spans="1:2" x14ac:dyDescent="0.3">
      <c r="A574" s="7" t="s">
        <v>631</v>
      </c>
      <c r="B574" s="3">
        <v>92043545.629999936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27B6-7D57-4302-ACD0-EF13963410C5}">
  <dimension ref="A1:C1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.33203125" bestFit="1" customWidth="1"/>
    <col min="3" max="3" width="10.6640625" bestFit="1" customWidth="1"/>
  </cols>
  <sheetData>
    <row r="1" spans="1:3" x14ac:dyDescent="0.3">
      <c r="A1" s="6" t="s">
        <v>2</v>
      </c>
      <c r="B1" s="7">
        <v>30</v>
      </c>
    </row>
    <row r="3" spans="1:3" x14ac:dyDescent="0.3">
      <c r="A3" s="6" t="s">
        <v>630</v>
      </c>
      <c r="B3" t="s">
        <v>633</v>
      </c>
      <c r="C3" t="s">
        <v>629</v>
      </c>
    </row>
    <row r="4" spans="1:3" x14ac:dyDescent="0.3">
      <c r="A4" s="7" t="s">
        <v>121</v>
      </c>
      <c r="B4" s="5">
        <v>5</v>
      </c>
      <c r="C4" s="5">
        <v>30</v>
      </c>
    </row>
    <row r="5" spans="1:3" x14ac:dyDescent="0.3">
      <c r="A5" s="7" t="s">
        <v>239</v>
      </c>
      <c r="B5" s="5">
        <v>10</v>
      </c>
      <c r="C5" s="5">
        <v>30</v>
      </c>
    </row>
    <row r="6" spans="1:3" x14ac:dyDescent="0.3">
      <c r="A6" s="7" t="s">
        <v>496</v>
      </c>
      <c r="B6" s="5">
        <v>7</v>
      </c>
      <c r="C6" s="5">
        <v>30</v>
      </c>
    </row>
    <row r="7" spans="1:3" x14ac:dyDescent="0.3">
      <c r="A7" s="7" t="s">
        <v>400</v>
      </c>
      <c r="B7" s="5">
        <v>3</v>
      </c>
      <c r="C7" s="5">
        <v>30</v>
      </c>
    </row>
    <row r="8" spans="1:3" x14ac:dyDescent="0.3">
      <c r="A8" s="7" t="s">
        <v>250</v>
      </c>
      <c r="B8" s="5">
        <v>9</v>
      </c>
      <c r="C8" s="5">
        <v>30</v>
      </c>
    </row>
    <row r="9" spans="1:3" x14ac:dyDescent="0.3">
      <c r="A9" s="7" t="s">
        <v>434</v>
      </c>
      <c r="B9" s="5">
        <v>2</v>
      </c>
      <c r="C9" s="5">
        <v>30</v>
      </c>
    </row>
    <row r="10" spans="1:3" x14ac:dyDescent="0.3">
      <c r="A10" s="7" t="s">
        <v>354</v>
      </c>
      <c r="B10" s="5">
        <v>3</v>
      </c>
      <c r="C10" s="5">
        <v>30</v>
      </c>
    </row>
    <row r="11" spans="1:3" x14ac:dyDescent="0.3">
      <c r="A11" s="7" t="s">
        <v>231</v>
      </c>
      <c r="B11" s="5">
        <v>1</v>
      </c>
      <c r="C11" s="5">
        <v>30</v>
      </c>
    </row>
    <row r="12" spans="1:3" x14ac:dyDescent="0.3">
      <c r="A12" s="7" t="s">
        <v>631</v>
      </c>
      <c r="B12" s="5">
        <v>40</v>
      </c>
      <c r="C12" s="5">
        <v>240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63" workbookViewId="0">
      <pane ySplit="1" topLeftCell="A2" activePane="bottomLeft" state="frozen"/>
      <selection pane="bottomLeft" activeCell="N960" sqref="N960"/>
    </sheetView>
  </sheetViews>
  <sheetFormatPr defaultRowHeight="14.4" x14ac:dyDescent="0.3"/>
  <cols>
    <col min="1" max="1" width="12" customWidth="1"/>
    <col min="2" max="2" width="17" customWidth="1"/>
    <col min="3" max="4" width="12" customWidth="1"/>
    <col min="5" max="5" width="13" customWidth="1"/>
    <col min="6" max="7" width="21" customWidth="1"/>
    <col min="8" max="8" width="12" customWidth="1"/>
    <col min="9" max="9" width="15" customWidth="1"/>
    <col min="10" max="10" width="17.6640625" customWidth="1"/>
    <col min="11" max="11" width="18.33203125" customWidth="1"/>
    <col min="12" max="12" width="15" customWidth="1"/>
    <col min="13" max="13" width="26.21875" customWidth="1"/>
    <col min="14" max="14" width="13.33203125" customWidth="1"/>
  </cols>
  <sheetData>
    <row r="1" spans="1:14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623</v>
      </c>
      <c r="K1" s="4" t="s">
        <v>624</v>
      </c>
      <c r="L1" s="4" t="s">
        <v>625</v>
      </c>
      <c r="M1" s="4" t="s">
        <v>626</v>
      </c>
      <c r="N1" s="4" t="s">
        <v>627</v>
      </c>
    </row>
    <row r="2" spans="1:14" x14ac:dyDescent="0.3">
      <c r="A2">
        <v>1</v>
      </c>
      <c r="B2" t="s">
        <v>9</v>
      </c>
      <c r="C2">
        <v>95</v>
      </c>
      <c r="D2" t="s">
        <v>10</v>
      </c>
      <c r="E2">
        <v>4</v>
      </c>
      <c r="F2" s="1">
        <v>45019</v>
      </c>
      <c r="G2" s="1">
        <v>45023</v>
      </c>
      <c r="H2">
        <v>3</v>
      </c>
      <c r="I2" s="3">
        <v>122614.16</v>
      </c>
      <c r="J2" t="str">
        <f>VLOOKUP(H2,Diagnosis!$A:$B,2,FALSE)</f>
        <v>Asthma</v>
      </c>
      <c r="K2" t="str">
        <f>VLOOKUP(H2,Outcome!A$2:$B$7,2,FALSE)</f>
        <v>Ongoing Treatment</v>
      </c>
      <c r="L2">
        <f>DATEDIF(F2,G2,"d")</f>
        <v>4</v>
      </c>
      <c r="M2" t="str">
        <f>IF(Labs!E$3&gt;120,"High","Normal")</f>
        <v>High</v>
      </c>
      <c r="N2" t="str">
        <f>IF(OR(C2&gt;65,H2&lt;&gt;1),"High Risk","low risk")</f>
        <v>High Risk</v>
      </c>
    </row>
    <row r="3" spans="1:14" x14ac:dyDescent="0.3">
      <c r="A3">
        <v>2</v>
      </c>
      <c r="B3" t="s">
        <v>11</v>
      </c>
      <c r="C3">
        <v>76</v>
      </c>
      <c r="D3" t="s">
        <v>10</v>
      </c>
      <c r="E3">
        <v>1</v>
      </c>
      <c r="F3" s="1">
        <v>44623</v>
      </c>
      <c r="G3" s="1">
        <v>44625</v>
      </c>
      <c r="H3">
        <v>1</v>
      </c>
      <c r="I3" s="3">
        <v>92200.56</v>
      </c>
      <c r="J3" t="str">
        <f>VLOOKUP(H3,Diagnosis!$A:$B,2,FALSE)</f>
        <v>Diabetes</v>
      </c>
      <c r="K3" t="str">
        <f>VLOOKUP(H3,Outcome!A$2:$B$7,2,FALSE)</f>
        <v>Recovered</v>
      </c>
      <c r="L3">
        <f t="shared" ref="L3:L66" si="0">DATEDIF(F3,G3,"d")</f>
        <v>2</v>
      </c>
      <c r="M3" t="str">
        <f>IF(Labs!E$3&gt;120,"High","Normal")</f>
        <v>High</v>
      </c>
      <c r="N3" t="str">
        <f>IF(OR(C3&gt;65,H3&lt;&gt;1),"High Risk","low risk")</f>
        <v>High Risk</v>
      </c>
    </row>
    <row r="4" spans="1:14" x14ac:dyDescent="0.3">
      <c r="A4">
        <v>3</v>
      </c>
      <c r="B4" t="s">
        <v>12</v>
      </c>
      <c r="C4">
        <v>26</v>
      </c>
      <c r="D4" t="s">
        <v>10</v>
      </c>
      <c r="E4">
        <v>4</v>
      </c>
      <c r="F4" s="1">
        <v>45481</v>
      </c>
      <c r="G4" s="1">
        <v>45499</v>
      </c>
      <c r="H4">
        <v>1</v>
      </c>
      <c r="I4" s="3">
        <v>156800.81</v>
      </c>
      <c r="J4" t="str">
        <f>VLOOKUP(H4,Diagnosis!$A:$B,2,FALSE)</f>
        <v>Diabetes</v>
      </c>
      <c r="K4" t="str">
        <f>VLOOKUP(H4,Outcome!A$2:$B$7,2,FALSE)</f>
        <v>Recovered</v>
      </c>
      <c r="L4">
        <f t="shared" si="0"/>
        <v>18</v>
      </c>
      <c r="M4" t="str">
        <f>IF(Labs!E4&gt;120,"High","Normal")</f>
        <v>High</v>
      </c>
      <c r="N4" t="str">
        <f t="shared" ref="N4:N67" si="1">IF(OR(C4&gt;65,H4&lt;&gt;1),"High Risk","low risk")</f>
        <v>low risk</v>
      </c>
    </row>
    <row r="5" spans="1:14" x14ac:dyDescent="0.3">
      <c r="A5">
        <v>4</v>
      </c>
      <c r="B5" t="s">
        <v>13</v>
      </c>
      <c r="C5">
        <v>44</v>
      </c>
      <c r="D5" t="s">
        <v>10</v>
      </c>
      <c r="E5">
        <v>3</v>
      </c>
      <c r="F5" s="1">
        <v>45002</v>
      </c>
      <c r="G5" s="1">
        <v>45032</v>
      </c>
      <c r="H5">
        <v>3</v>
      </c>
      <c r="I5" s="3">
        <v>20642.32</v>
      </c>
      <c r="J5" t="str">
        <f>VLOOKUP(H5,Diagnosis!$A:$B,2,FALSE)</f>
        <v>Asthma</v>
      </c>
      <c r="K5" t="str">
        <f>VLOOKUP(H5,Outcome!A$2:$B$7,2,FALSE)</f>
        <v>Ongoing Treatment</v>
      </c>
      <c r="L5">
        <f t="shared" si="0"/>
        <v>30</v>
      </c>
      <c r="M5" t="str">
        <f>IF(Labs!E5&gt;120,"High","Normal")</f>
        <v>High</v>
      </c>
      <c r="N5" t="str">
        <f t="shared" si="1"/>
        <v>High Risk</v>
      </c>
    </row>
    <row r="6" spans="1:14" x14ac:dyDescent="0.3">
      <c r="A6">
        <v>5</v>
      </c>
      <c r="B6" t="s">
        <v>14</v>
      </c>
      <c r="C6">
        <v>46</v>
      </c>
      <c r="D6" t="s">
        <v>10</v>
      </c>
      <c r="E6">
        <v>10</v>
      </c>
      <c r="F6" s="1">
        <v>45103</v>
      </c>
      <c r="G6" s="1">
        <v>45128</v>
      </c>
      <c r="H6">
        <v>1</v>
      </c>
      <c r="I6" s="3">
        <v>84047.92</v>
      </c>
      <c r="J6" t="str">
        <f>VLOOKUP(H6,Diagnosis!$A:$B,2,FALSE)</f>
        <v>Diabetes</v>
      </c>
      <c r="K6" t="str">
        <f>VLOOKUP(H6,Outcome!A$2:$B$7,2,FALSE)</f>
        <v>Recovered</v>
      </c>
      <c r="L6">
        <f t="shared" si="0"/>
        <v>25</v>
      </c>
      <c r="M6" t="str">
        <f>IF(Labs!E6&gt;120,"High","Normal")</f>
        <v>High</v>
      </c>
      <c r="N6" t="str">
        <f t="shared" si="1"/>
        <v>low risk</v>
      </c>
    </row>
    <row r="7" spans="1:14" x14ac:dyDescent="0.3">
      <c r="A7">
        <v>6</v>
      </c>
      <c r="B7" t="s">
        <v>15</v>
      </c>
      <c r="C7">
        <v>11</v>
      </c>
      <c r="D7" t="s">
        <v>10</v>
      </c>
      <c r="E7">
        <v>10</v>
      </c>
      <c r="F7" s="1">
        <v>45302</v>
      </c>
      <c r="G7" s="1">
        <v>45320</v>
      </c>
      <c r="H7">
        <v>1</v>
      </c>
      <c r="I7" s="3">
        <v>14846.04</v>
      </c>
      <c r="J7" t="str">
        <f>VLOOKUP(H7,Diagnosis!$A:$B,2,FALSE)</f>
        <v>Diabetes</v>
      </c>
      <c r="K7" t="str">
        <f>VLOOKUP(H7,Outcome!A$2:$B$7,2,FALSE)</f>
        <v>Recovered</v>
      </c>
      <c r="L7">
        <f t="shared" si="0"/>
        <v>18</v>
      </c>
      <c r="M7" t="str">
        <f>IF(Labs!E7&gt;120,"High","Normal")</f>
        <v>High</v>
      </c>
      <c r="N7" t="str">
        <f t="shared" si="1"/>
        <v>low risk</v>
      </c>
    </row>
    <row r="8" spans="1:14" x14ac:dyDescent="0.3">
      <c r="A8">
        <v>7</v>
      </c>
      <c r="B8" t="s">
        <v>16</v>
      </c>
      <c r="C8">
        <v>11</v>
      </c>
      <c r="D8" t="s">
        <v>17</v>
      </c>
      <c r="E8">
        <v>2</v>
      </c>
      <c r="F8" s="1">
        <v>45340</v>
      </c>
      <c r="G8" s="1">
        <v>45348</v>
      </c>
      <c r="H8">
        <v>2</v>
      </c>
      <c r="I8" s="3">
        <v>150554.6</v>
      </c>
      <c r="J8" t="str">
        <f>VLOOKUP(H8,Diagnosis!$A:$B,2,FALSE)</f>
        <v>Hypertension</v>
      </c>
      <c r="K8" t="str">
        <f>VLOOKUP(H8,Outcome!A$2:$B$7,2,FALSE)</f>
        <v>Improved</v>
      </c>
      <c r="L8">
        <f t="shared" si="0"/>
        <v>8</v>
      </c>
      <c r="M8" t="str">
        <f>IF(Labs!E8&gt;120,"High","Normal")</f>
        <v>High</v>
      </c>
      <c r="N8" t="str">
        <f t="shared" si="1"/>
        <v>High Risk</v>
      </c>
    </row>
    <row r="9" spans="1:14" x14ac:dyDescent="0.3">
      <c r="A9">
        <v>8</v>
      </c>
      <c r="B9" t="s">
        <v>18</v>
      </c>
      <c r="C9">
        <v>46</v>
      </c>
      <c r="D9" t="s">
        <v>17</v>
      </c>
      <c r="E9">
        <v>5</v>
      </c>
      <c r="F9" s="1">
        <v>45999</v>
      </c>
      <c r="G9" s="1">
        <v>46028</v>
      </c>
      <c r="H9">
        <v>3</v>
      </c>
      <c r="I9" s="3">
        <v>15173.95</v>
      </c>
      <c r="J9" t="str">
        <f>VLOOKUP(H9,Diagnosis!$A:$B,2,FALSE)</f>
        <v>Asthma</v>
      </c>
      <c r="K9" t="str">
        <f>VLOOKUP(H9,Outcome!A$2:$B$7,2,FALSE)</f>
        <v>Ongoing Treatment</v>
      </c>
      <c r="L9">
        <f t="shared" si="0"/>
        <v>29</v>
      </c>
      <c r="M9" t="str">
        <f>IF(Labs!E9&gt;120,"High","Normal")</f>
        <v>High</v>
      </c>
      <c r="N9" t="str">
        <f t="shared" si="1"/>
        <v>High Risk</v>
      </c>
    </row>
    <row r="10" spans="1:14" x14ac:dyDescent="0.3">
      <c r="A10">
        <v>9</v>
      </c>
      <c r="B10" t="s">
        <v>19</v>
      </c>
      <c r="C10">
        <v>94</v>
      </c>
      <c r="D10" t="s">
        <v>17</v>
      </c>
      <c r="E10">
        <v>3</v>
      </c>
      <c r="F10" s="1">
        <v>45508</v>
      </c>
      <c r="G10" s="1">
        <v>45520</v>
      </c>
      <c r="H10">
        <v>1</v>
      </c>
      <c r="I10" s="3">
        <v>166756.93</v>
      </c>
      <c r="J10" t="str">
        <f>VLOOKUP(H10,Diagnosis!$A:$B,2,FALSE)</f>
        <v>Diabetes</v>
      </c>
      <c r="K10" t="str">
        <f>VLOOKUP(H10,Outcome!A$2:$B$7,2,FALSE)</f>
        <v>Recovered</v>
      </c>
      <c r="L10">
        <f t="shared" si="0"/>
        <v>12</v>
      </c>
      <c r="M10" t="str">
        <f>IF(Labs!E10&gt;120,"High","Normal")</f>
        <v>High</v>
      </c>
      <c r="N10" t="str">
        <f t="shared" si="1"/>
        <v>High Risk</v>
      </c>
    </row>
    <row r="11" spans="1:14" x14ac:dyDescent="0.3">
      <c r="A11">
        <v>10</v>
      </c>
      <c r="B11" t="s">
        <v>20</v>
      </c>
      <c r="C11">
        <v>88</v>
      </c>
      <c r="D11" t="s">
        <v>10</v>
      </c>
      <c r="E11">
        <v>1</v>
      </c>
      <c r="F11" s="1">
        <v>45031</v>
      </c>
      <c r="G11" s="1">
        <v>45057</v>
      </c>
      <c r="H11">
        <v>1</v>
      </c>
      <c r="I11" s="3">
        <v>58492.92</v>
      </c>
      <c r="J11" t="str">
        <f>VLOOKUP(H11,Diagnosis!$A:$B,2,FALSE)</f>
        <v>Diabetes</v>
      </c>
      <c r="K11" t="str">
        <f>VLOOKUP(H11,Outcome!A$2:$B$7,2,FALSE)</f>
        <v>Recovered</v>
      </c>
      <c r="L11">
        <f t="shared" si="0"/>
        <v>26</v>
      </c>
      <c r="M11" t="str">
        <f>IF(Labs!E11&gt;120,"High","Normal")</f>
        <v>High</v>
      </c>
      <c r="N11" t="str">
        <f t="shared" si="1"/>
        <v>High Risk</v>
      </c>
    </row>
    <row r="12" spans="1:14" x14ac:dyDescent="0.3">
      <c r="A12">
        <v>11</v>
      </c>
      <c r="B12" t="s">
        <v>21</v>
      </c>
      <c r="C12">
        <v>28</v>
      </c>
      <c r="D12" t="s">
        <v>10</v>
      </c>
      <c r="E12">
        <v>4</v>
      </c>
      <c r="F12" s="1">
        <v>45904</v>
      </c>
      <c r="G12" s="1">
        <v>45919</v>
      </c>
      <c r="H12">
        <v>2</v>
      </c>
      <c r="I12" s="3">
        <v>164832.20000000001</v>
      </c>
      <c r="J12" t="str">
        <f>VLOOKUP(H12,Diagnosis!$A:$B,2,FALSE)</f>
        <v>Hypertension</v>
      </c>
      <c r="K12" t="str">
        <f>VLOOKUP(H12,Outcome!A$2:$B$7,2,FALSE)</f>
        <v>Improved</v>
      </c>
      <c r="L12">
        <f t="shared" si="0"/>
        <v>15</v>
      </c>
      <c r="M12" t="str">
        <f>IF(Labs!E12&gt;120,"High","Normal")</f>
        <v>High</v>
      </c>
      <c r="N12" t="str">
        <f t="shared" si="1"/>
        <v>High Risk</v>
      </c>
    </row>
    <row r="13" spans="1:14" x14ac:dyDescent="0.3">
      <c r="A13">
        <v>12</v>
      </c>
      <c r="B13" t="s">
        <v>22</v>
      </c>
      <c r="C13">
        <v>34</v>
      </c>
      <c r="D13" t="s">
        <v>17</v>
      </c>
      <c r="E13">
        <v>4</v>
      </c>
      <c r="F13" s="1">
        <v>46087</v>
      </c>
      <c r="G13" s="1">
        <v>46104</v>
      </c>
      <c r="H13">
        <v>2</v>
      </c>
      <c r="I13" s="3">
        <v>135094.95000000001</v>
      </c>
      <c r="J13" t="str">
        <f>VLOOKUP(H13,Diagnosis!$A:$B,2,FALSE)</f>
        <v>Hypertension</v>
      </c>
      <c r="K13" t="str">
        <f>VLOOKUP(H13,Outcome!A$2:$B$7,2,FALSE)</f>
        <v>Improved</v>
      </c>
      <c r="L13">
        <f t="shared" si="0"/>
        <v>17</v>
      </c>
      <c r="M13" t="str">
        <f>IF(Labs!E13&gt;120,"High","Normal")</f>
        <v>High</v>
      </c>
      <c r="N13" t="str">
        <f t="shared" si="1"/>
        <v>High Risk</v>
      </c>
    </row>
    <row r="14" spans="1:14" x14ac:dyDescent="0.3">
      <c r="A14">
        <v>13</v>
      </c>
      <c r="B14" t="s">
        <v>23</v>
      </c>
      <c r="C14">
        <v>52</v>
      </c>
      <c r="D14" t="s">
        <v>10</v>
      </c>
      <c r="E14">
        <v>4</v>
      </c>
      <c r="F14" s="1">
        <v>44845</v>
      </c>
      <c r="G14" s="1">
        <v>44861</v>
      </c>
      <c r="H14">
        <v>2</v>
      </c>
      <c r="I14" s="3">
        <v>136651.32999999999</v>
      </c>
      <c r="J14" t="str">
        <f>VLOOKUP(H14,Diagnosis!$A:$B,2,FALSE)</f>
        <v>Hypertension</v>
      </c>
      <c r="K14" t="str">
        <f>VLOOKUP(H14,Outcome!A$2:$B$7,2,FALSE)</f>
        <v>Improved</v>
      </c>
      <c r="L14">
        <f t="shared" si="0"/>
        <v>16</v>
      </c>
      <c r="M14" t="str">
        <f>IF(Labs!E14&gt;120,"High","Normal")</f>
        <v>High</v>
      </c>
      <c r="N14" t="str">
        <f t="shared" si="1"/>
        <v>High Risk</v>
      </c>
    </row>
    <row r="15" spans="1:14" x14ac:dyDescent="0.3">
      <c r="A15">
        <v>14</v>
      </c>
      <c r="B15" t="s">
        <v>24</v>
      </c>
      <c r="C15">
        <v>81</v>
      </c>
      <c r="D15" t="s">
        <v>17</v>
      </c>
      <c r="E15">
        <v>7</v>
      </c>
      <c r="F15" s="1">
        <v>45783</v>
      </c>
      <c r="G15" s="1">
        <v>45785</v>
      </c>
      <c r="H15">
        <v>2</v>
      </c>
      <c r="I15" s="3">
        <v>108270.2</v>
      </c>
      <c r="J15" t="str">
        <f>VLOOKUP(H15,Diagnosis!$A:$B,2,FALSE)</f>
        <v>Hypertension</v>
      </c>
      <c r="K15" t="str">
        <f>VLOOKUP(H15,Outcome!A$2:$B$7,2,FALSE)</f>
        <v>Improved</v>
      </c>
      <c r="L15">
        <f t="shared" si="0"/>
        <v>2</v>
      </c>
      <c r="M15" t="str">
        <f>IF(Labs!E15&gt;120,"High","Normal")</f>
        <v>High</v>
      </c>
      <c r="N15" t="str">
        <f t="shared" si="1"/>
        <v>High Risk</v>
      </c>
    </row>
    <row r="16" spans="1:14" x14ac:dyDescent="0.3">
      <c r="A16">
        <v>15</v>
      </c>
      <c r="B16" t="s">
        <v>25</v>
      </c>
      <c r="C16">
        <v>33</v>
      </c>
      <c r="D16" t="s">
        <v>17</v>
      </c>
      <c r="E16">
        <v>2</v>
      </c>
      <c r="F16" s="1">
        <v>45958</v>
      </c>
      <c r="G16" s="1">
        <v>45986</v>
      </c>
      <c r="H16">
        <v>2</v>
      </c>
      <c r="I16" s="3">
        <v>49861.47</v>
      </c>
      <c r="J16" t="str">
        <f>VLOOKUP(H16,Diagnosis!$A:$B,2,FALSE)</f>
        <v>Hypertension</v>
      </c>
      <c r="K16" t="str">
        <f>VLOOKUP(H16,Outcome!A$2:$B$7,2,FALSE)</f>
        <v>Improved</v>
      </c>
      <c r="L16">
        <f t="shared" si="0"/>
        <v>28</v>
      </c>
      <c r="M16" t="str">
        <f>IF(Labs!E16&gt;120,"High","Normal")</f>
        <v>High</v>
      </c>
      <c r="N16" t="str">
        <f t="shared" si="1"/>
        <v>High Risk</v>
      </c>
    </row>
    <row r="17" spans="1:14" x14ac:dyDescent="0.3">
      <c r="A17">
        <v>16</v>
      </c>
      <c r="B17" t="s">
        <v>26</v>
      </c>
      <c r="C17">
        <v>38</v>
      </c>
      <c r="D17" t="s">
        <v>10</v>
      </c>
      <c r="E17">
        <v>3</v>
      </c>
      <c r="F17" s="1">
        <v>45491</v>
      </c>
      <c r="G17" s="1">
        <v>45491</v>
      </c>
      <c r="H17">
        <v>6</v>
      </c>
      <c r="I17" s="3">
        <v>157963.9</v>
      </c>
      <c r="J17" t="str">
        <f>VLOOKUP(H17,Diagnosis!$A:$B,2,FALSE)</f>
        <v>Kidney Disease</v>
      </c>
      <c r="K17" t="str">
        <f>VLOOKUP(H17,Outcome!A$2:$B$7,2,FALSE)</f>
        <v>Deceased</v>
      </c>
      <c r="L17">
        <f t="shared" si="0"/>
        <v>0</v>
      </c>
      <c r="M17" t="str">
        <f>IF(Labs!E17&gt;120,"High","Normal")</f>
        <v>High</v>
      </c>
      <c r="N17" t="str">
        <f t="shared" si="1"/>
        <v>High Risk</v>
      </c>
    </row>
    <row r="18" spans="1:14" x14ac:dyDescent="0.3">
      <c r="A18">
        <v>17</v>
      </c>
      <c r="B18" t="s">
        <v>27</v>
      </c>
      <c r="C18">
        <v>23</v>
      </c>
      <c r="D18" t="s">
        <v>17</v>
      </c>
      <c r="E18">
        <v>5</v>
      </c>
      <c r="F18" s="1">
        <v>46285</v>
      </c>
      <c r="G18" s="1">
        <v>46305</v>
      </c>
      <c r="H18">
        <v>2</v>
      </c>
      <c r="I18" s="3">
        <v>37806.720000000001</v>
      </c>
      <c r="J18" t="str">
        <f>VLOOKUP(H18,Diagnosis!$A:$B,2,FALSE)</f>
        <v>Hypertension</v>
      </c>
      <c r="K18" t="str">
        <f>VLOOKUP(H18,Outcome!A$2:$B$7,2,FALSE)</f>
        <v>Improved</v>
      </c>
      <c r="L18">
        <f t="shared" si="0"/>
        <v>20</v>
      </c>
      <c r="M18" t="str">
        <f>IF(Labs!E18&gt;120,"High","Normal")</f>
        <v>High</v>
      </c>
      <c r="N18" t="str">
        <f t="shared" si="1"/>
        <v>High Risk</v>
      </c>
    </row>
    <row r="19" spans="1:14" x14ac:dyDescent="0.3">
      <c r="A19">
        <v>18</v>
      </c>
      <c r="B19" t="s">
        <v>28</v>
      </c>
      <c r="C19">
        <v>70</v>
      </c>
      <c r="D19" t="s">
        <v>17</v>
      </c>
      <c r="E19">
        <v>10</v>
      </c>
      <c r="F19" s="1">
        <v>45225</v>
      </c>
      <c r="G19" s="1">
        <v>45240</v>
      </c>
      <c r="H19">
        <v>1</v>
      </c>
      <c r="I19" s="3">
        <v>167415</v>
      </c>
      <c r="J19" t="str">
        <f>VLOOKUP(H19,Diagnosis!$A:$B,2,FALSE)</f>
        <v>Diabetes</v>
      </c>
      <c r="K19" t="str">
        <f>VLOOKUP(H19,Outcome!A$2:$B$7,2,FALSE)</f>
        <v>Recovered</v>
      </c>
      <c r="L19">
        <f t="shared" si="0"/>
        <v>15</v>
      </c>
      <c r="M19" t="str">
        <f>IF(Labs!E19&gt;120,"High","Normal")</f>
        <v>High</v>
      </c>
      <c r="N19" t="str">
        <f t="shared" si="1"/>
        <v>High Risk</v>
      </c>
    </row>
    <row r="20" spans="1:14" x14ac:dyDescent="0.3">
      <c r="A20">
        <v>19</v>
      </c>
      <c r="B20" t="s">
        <v>29</v>
      </c>
      <c r="C20">
        <v>8</v>
      </c>
      <c r="D20" t="s">
        <v>17</v>
      </c>
      <c r="E20">
        <v>10</v>
      </c>
      <c r="F20" s="1">
        <v>44723</v>
      </c>
      <c r="G20" s="1">
        <v>44725</v>
      </c>
      <c r="H20">
        <v>3</v>
      </c>
      <c r="I20" s="3">
        <v>147344.13</v>
      </c>
      <c r="J20" t="str">
        <f>VLOOKUP(H20,Diagnosis!$A:$B,2,FALSE)</f>
        <v>Asthma</v>
      </c>
      <c r="K20" t="str">
        <f>VLOOKUP(H20,Outcome!A$2:$B$7,2,FALSE)</f>
        <v>Ongoing Treatment</v>
      </c>
      <c r="L20">
        <f t="shared" si="0"/>
        <v>2</v>
      </c>
      <c r="M20" t="str">
        <f>IF(Labs!E20&gt;120,"High","Normal")</f>
        <v>High</v>
      </c>
      <c r="N20" t="str">
        <f t="shared" si="1"/>
        <v>High Risk</v>
      </c>
    </row>
    <row r="21" spans="1:14" x14ac:dyDescent="0.3">
      <c r="A21">
        <v>20</v>
      </c>
      <c r="B21" t="s">
        <v>30</v>
      </c>
      <c r="C21">
        <v>17</v>
      </c>
      <c r="D21" t="s">
        <v>10</v>
      </c>
      <c r="E21">
        <v>9</v>
      </c>
      <c r="F21" s="1">
        <v>44900</v>
      </c>
      <c r="G21" s="1">
        <v>44908</v>
      </c>
      <c r="H21">
        <v>2</v>
      </c>
      <c r="I21" s="3">
        <v>110170.42</v>
      </c>
      <c r="J21" t="str">
        <f>VLOOKUP(H21,Diagnosis!$A:$B,2,FALSE)</f>
        <v>Hypertension</v>
      </c>
      <c r="K21" t="str">
        <f>VLOOKUP(H21,Outcome!A$2:$B$7,2,FALSE)</f>
        <v>Improved</v>
      </c>
      <c r="L21">
        <f t="shared" si="0"/>
        <v>8</v>
      </c>
      <c r="M21" t="str">
        <f>IF(Labs!E21&gt;120,"High","Normal")</f>
        <v>High</v>
      </c>
      <c r="N21" t="str">
        <f t="shared" si="1"/>
        <v>High Risk</v>
      </c>
    </row>
    <row r="22" spans="1:14" x14ac:dyDescent="0.3">
      <c r="A22">
        <v>21</v>
      </c>
      <c r="B22" t="s">
        <v>31</v>
      </c>
      <c r="C22">
        <v>94</v>
      </c>
      <c r="D22" t="s">
        <v>17</v>
      </c>
      <c r="E22">
        <v>5</v>
      </c>
      <c r="F22" s="1">
        <v>45379</v>
      </c>
      <c r="G22" s="1">
        <v>45400</v>
      </c>
      <c r="H22">
        <v>2</v>
      </c>
      <c r="I22" s="3">
        <v>80262.759999999995</v>
      </c>
      <c r="J22" t="str">
        <f>VLOOKUP(H22,Diagnosis!$A:$B,2,FALSE)</f>
        <v>Hypertension</v>
      </c>
      <c r="K22" t="str">
        <f>VLOOKUP(H22,Outcome!A$2:$B$7,2,FALSE)</f>
        <v>Improved</v>
      </c>
      <c r="L22">
        <f t="shared" si="0"/>
        <v>21</v>
      </c>
      <c r="M22" t="str">
        <f>IF(Labs!E22&gt;120,"High","Normal")</f>
        <v>High</v>
      </c>
      <c r="N22" t="str">
        <f t="shared" si="1"/>
        <v>High Risk</v>
      </c>
    </row>
    <row r="23" spans="1:14" x14ac:dyDescent="0.3">
      <c r="A23">
        <v>22</v>
      </c>
      <c r="B23" t="s">
        <v>32</v>
      </c>
      <c r="C23">
        <v>16</v>
      </c>
      <c r="D23" t="s">
        <v>17</v>
      </c>
      <c r="E23">
        <v>4</v>
      </c>
      <c r="F23" s="1">
        <v>44693</v>
      </c>
      <c r="G23" s="1">
        <v>44703</v>
      </c>
      <c r="H23">
        <v>1</v>
      </c>
      <c r="I23" s="3">
        <v>100821.07</v>
      </c>
      <c r="J23" t="str">
        <f>VLOOKUP(H23,Diagnosis!$A:$B,2,FALSE)</f>
        <v>Diabetes</v>
      </c>
      <c r="K23" t="str">
        <f>VLOOKUP(H23,Outcome!A$2:$B$7,2,FALSE)</f>
        <v>Recovered</v>
      </c>
      <c r="L23">
        <f t="shared" si="0"/>
        <v>10</v>
      </c>
      <c r="M23" t="str">
        <f>IF(Labs!E23&gt;120,"High","Normal")</f>
        <v>High</v>
      </c>
      <c r="N23" t="str">
        <f t="shared" si="1"/>
        <v>low risk</v>
      </c>
    </row>
    <row r="24" spans="1:14" x14ac:dyDescent="0.3">
      <c r="A24">
        <v>23</v>
      </c>
      <c r="B24" t="s">
        <v>33</v>
      </c>
      <c r="C24">
        <v>1</v>
      </c>
      <c r="D24" t="s">
        <v>17</v>
      </c>
      <c r="E24">
        <v>1</v>
      </c>
      <c r="F24" s="1">
        <v>45030</v>
      </c>
      <c r="G24" s="1">
        <v>45032</v>
      </c>
      <c r="H24">
        <v>5</v>
      </c>
      <c r="I24" s="3">
        <v>155085.28</v>
      </c>
      <c r="J24" t="str">
        <f>VLOOKUP(H24,Diagnosis!$A:$B,2,FALSE)</f>
        <v>Heart Disease</v>
      </c>
      <c r="K24" t="str">
        <f>VLOOKUP(H24,Outcome!A$2:$B$7,2,FALSE)</f>
        <v>Readmitted</v>
      </c>
      <c r="L24">
        <f t="shared" si="0"/>
        <v>2</v>
      </c>
      <c r="M24" t="str">
        <f>IF(Labs!E24&gt;120,"High","Normal")</f>
        <v>High</v>
      </c>
      <c r="N24" t="str">
        <f t="shared" si="1"/>
        <v>High Risk</v>
      </c>
    </row>
    <row r="25" spans="1:14" x14ac:dyDescent="0.3">
      <c r="A25">
        <v>24</v>
      </c>
      <c r="B25" t="s">
        <v>34</v>
      </c>
      <c r="C25">
        <v>31</v>
      </c>
      <c r="D25" t="s">
        <v>10</v>
      </c>
      <c r="E25">
        <v>8</v>
      </c>
      <c r="F25" s="1">
        <v>45000</v>
      </c>
      <c r="G25" s="1">
        <v>45017</v>
      </c>
      <c r="H25">
        <v>1</v>
      </c>
      <c r="I25" s="3">
        <v>168553.78</v>
      </c>
      <c r="J25" t="str">
        <f>VLOOKUP(H25,Diagnosis!$A:$B,2,FALSE)</f>
        <v>Diabetes</v>
      </c>
      <c r="K25" t="str">
        <f>VLOOKUP(H25,Outcome!A$2:$B$7,2,FALSE)</f>
        <v>Recovered</v>
      </c>
      <c r="L25">
        <f t="shared" si="0"/>
        <v>17</v>
      </c>
      <c r="M25" t="str">
        <f>IF(Labs!E25&gt;120,"High","Normal")</f>
        <v>High</v>
      </c>
      <c r="N25" t="str">
        <f t="shared" si="1"/>
        <v>low risk</v>
      </c>
    </row>
    <row r="26" spans="1:14" x14ac:dyDescent="0.3">
      <c r="A26">
        <v>25</v>
      </c>
      <c r="B26" t="s">
        <v>35</v>
      </c>
      <c r="C26">
        <v>61</v>
      </c>
      <c r="D26" t="s">
        <v>17</v>
      </c>
      <c r="E26">
        <v>8</v>
      </c>
      <c r="F26" s="1">
        <v>46215</v>
      </c>
      <c r="G26" s="1">
        <v>46228</v>
      </c>
      <c r="H26">
        <v>1</v>
      </c>
      <c r="I26" s="3">
        <v>19705.22</v>
      </c>
      <c r="J26" t="str">
        <f>VLOOKUP(H26,Diagnosis!$A:$B,2,FALSE)</f>
        <v>Diabetes</v>
      </c>
      <c r="K26" t="str">
        <f>VLOOKUP(H26,Outcome!A$2:$B$7,2,FALSE)</f>
        <v>Recovered</v>
      </c>
      <c r="L26">
        <f t="shared" si="0"/>
        <v>13</v>
      </c>
      <c r="M26" t="str">
        <f>IF(Labs!E26&gt;120,"High","Normal")</f>
        <v>High</v>
      </c>
      <c r="N26" t="str">
        <f t="shared" si="1"/>
        <v>low risk</v>
      </c>
    </row>
    <row r="27" spans="1:14" x14ac:dyDescent="0.3">
      <c r="A27">
        <v>26</v>
      </c>
      <c r="B27" t="s">
        <v>36</v>
      </c>
      <c r="C27">
        <v>55</v>
      </c>
      <c r="D27" t="s">
        <v>10</v>
      </c>
      <c r="E27">
        <v>8</v>
      </c>
      <c r="F27" s="1">
        <v>46055</v>
      </c>
      <c r="G27" s="1">
        <v>46056</v>
      </c>
      <c r="H27">
        <v>3</v>
      </c>
      <c r="I27" s="3">
        <v>177189.33</v>
      </c>
      <c r="J27" t="str">
        <f>VLOOKUP(H27,Diagnosis!$A:$B,2,FALSE)</f>
        <v>Asthma</v>
      </c>
      <c r="K27" t="str">
        <f>VLOOKUP(H27,Outcome!A$2:$B$7,2,FALSE)</f>
        <v>Ongoing Treatment</v>
      </c>
      <c r="L27">
        <f t="shared" si="0"/>
        <v>1</v>
      </c>
      <c r="M27" t="str">
        <f>IF(Labs!E27&gt;120,"High","Normal")</f>
        <v>High</v>
      </c>
      <c r="N27" t="str">
        <f t="shared" si="1"/>
        <v>High Risk</v>
      </c>
    </row>
    <row r="28" spans="1:14" x14ac:dyDescent="0.3">
      <c r="A28">
        <v>27</v>
      </c>
      <c r="B28" t="s">
        <v>37</v>
      </c>
      <c r="C28">
        <v>52</v>
      </c>
      <c r="D28" t="s">
        <v>10</v>
      </c>
      <c r="E28">
        <v>2</v>
      </c>
      <c r="F28" s="1">
        <v>45071</v>
      </c>
      <c r="G28" s="1">
        <v>45077</v>
      </c>
      <c r="H28">
        <v>1</v>
      </c>
      <c r="I28" s="3">
        <v>82128.899999999994</v>
      </c>
      <c r="J28" t="str">
        <f>VLOOKUP(H28,Diagnosis!$A:$B,2,FALSE)</f>
        <v>Diabetes</v>
      </c>
      <c r="K28" t="str">
        <f>VLOOKUP(H28,Outcome!A$2:$B$7,2,FALSE)</f>
        <v>Recovered</v>
      </c>
      <c r="L28">
        <f t="shared" si="0"/>
        <v>6</v>
      </c>
      <c r="M28" t="str">
        <f>IF(Labs!E28&gt;120,"High","Normal")</f>
        <v>High</v>
      </c>
      <c r="N28" t="str">
        <f t="shared" si="1"/>
        <v>low risk</v>
      </c>
    </row>
    <row r="29" spans="1:14" x14ac:dyDescent="0.3">
      <c r="A29">
        <v>28</v>
      </c>
      <c r="B29" t="s">
        <v>38</v>
      </c>
      <c r="C29">
        <v>36</v>
      </c>
      <c r="D29" t="s">
        <v>10</v>
      </c>
      <c r="E29">
        <v>4</v>
      </c>
      <c r="F29" s="1">
        <v>44716</v>
      </c>
      <c r="G29" s="1">
        <v>44730</v>
      </c>
      <c r="H29">
        <v>4</v>
      </c>
      <c r="I29" s="3">
        <v>154434.12</v>
      </c>
      <c r="J29" t="str">
        <f>VLOOKUP(H29,Diagnosis!$A:$B,2,FALSE)</f>
        <v>Pneumonia</v>
      </c>
      <c r="K29" t="str">
        <f>VLOOKUP(H29,Outcome!A$2:$B$7,2,FALSE)</f>
        <v>Referred</v>
      </c>
      <c r="L29">
        <f t="shared" si="0"/>
        <v>14</v>
      </c>
      <c r="M29" t="str">
        <f>IF(Labs!E29&gt;120,"High","Normal")</f>
        <v>High</v>
      </c>
      <c r="N29" t="str">
        <f t="shared" si="1"/>
        <v>High Risk</v>
      </c>
    </row>
    <row r="30" spans="1:14" x14ac:dyDescent="0.3">
      <c r="A30">
        <v>29</v>
      </c>
      <c r="B30" t="s">
        <v>37</v>
      </c>
      <c r="C30">
        <v>84</v>
      </c>
      <c r="D30" t="s">
        <v>17</v>
      </c>
      <c r="E30">
        <v>2</v>
      </c>
      <c r="F30" s="1">
        <v>46105</v>
      </c>
      <c r="G30" s="1">
        <v>46132</v>
      </c>
      <c r="H30">
        <v>1</v>
      </c>
      <c r="I30" s="3">
        <v>74638.5</v>
      </c>
      <c r="J30" t="str">
        <f>VLOOKUP(H30,Diagnosis!$A:$B,2,FALSE)</f>
        <v>Diabetes</v>
      </c>
      <c r="K30" t="str">
        <f>VLOOKUP(H30,Outcome!A$2:$B$7,2,FALSE)</f>
        <v>Recovered</v>
      </c>
      <c r="L30">
        <f t="shared" si="0"/>
        <v>27</v>
      </c>
      <c r="M30" t="str">
        <f>IF(Labs!E30&gt;120,"High","Normal")</f>
        <v>High</v>
      </c>
      <c r="N30" t="str">
        <f t="shared" si="1"/>
        <v>High Risk</v>
      </c>
    </row>
    <row r="31" spans="1:14" x14ac:dyDescent="0.3">
      <c r="A31">
        <v>30</v>
      </c>
      <c r="B31" t="s">
        <v>39</v>
      </c>
      <c r="C31">
        <v>52</v>
      </c>
      <c r="D31" t="s">
        <v>17</v>
      </c>
      <c r="E31">
        <v>3</v>
      </c>
      <c r="F31" s="1">
        <v>45338</v>
      </c>
      <c r="G31" s="1">
        <v>45338</v>
      </c>
      <c r="H31">
        <v>6</v>
      </c>
      <c r="I31" s="3">
        <v>49573.54</v>
      </c>
      <c r="J31" t="str">
        <f>VLOOKUP(H31,Diagnosis!$A:$B,2,FALSE)</f>
        <v>Kidney Disease</v>
      </c>
      <c r="K31" t="str">
        <f>VLOOKUP(H31,Outcome!A$2:$B$7,2,FALSE)</f>
        <v>Deceased</v>
      </c>
      <c r="L31">
        <f t="shared" si="0"/>
        <v>0</v>
      </c>
      <c r="M31" t="str">
        <f>IF(Labs!E31&gt;120,"High","Normal")</f>
        <v>High</v>
      </c>
      <c r="N31" t="str">
        <f t="shared" si="1"/>
        <v>High Risk</v>
      </c>
    </row>
    <row r="32" spans="1:14" x14ac:dyDescent="0.3">
      <c r="A32">
        <v>31</v>
      </c>
      <c r="B32" t="s">
        <v>40</v>
      </c>
      <c r="C32">
        <v>55</v>
      </c>
      <c r="D32" t="s">
        <v>10</v>
      </c>
      <c r="E32">
        <v>3</v>
      </c>
      <c r="F32" s="1">
        <v>44950</v>
      </c>
      <c r="G32" s="1">
        <v>44959</v>
      </c>
      <c r="H32">
        <v>1</v>
      </c>
      <c r="I32" s="3">
        <v>12880.78</v>
      </c>
      <c r="J32" t="str">
        <f>VLOOKUP(H32,Diagnosis!$A:$B,2,FALSE)</f>
        <v>Diabetes</v>
      </c>
      <c r="K32" t="str">
        <f>VLOOKUP(H32,Outcome!A$2:$B$7,2,FALSE)</f>
        <v>Recovered</v>
      </c>
      <c r="L32">
        <f t="shared" si="0"/>
        <v>9</v>
      </c>
      <c r="M32" t="str">
        <f>IF(Labs!E32&gt;120,"High","Normal")</f>
        <v>High</v>
      </c>
      <c r="N32" t="str">
        <f t="shared" si="1"/>
        <v>low risk</v>
      </c>
    </row>
    <row r="33" spans="1:14" x14ac:dyDescent="0.3">
      <c r="A33">
        <v>32</v>
      </c>
      <c r="B33" t="s">
        <v>41</v>
      </c>
      <c r="C33">
        <v>41</v>
      </c>
      <c r="D33" t="s">
        <v>17</v>
      </c>
      <c r="E33">
        <v>1</v>
      </c>
      <c r="F33" s="1">
        <v>45758</v>
      </c>
      <c r="G33" s="1">
        <v>45773</v>
      </c>
      <c r="H33">
        <v>2</v>
      </c>
      <c r="I33" s="3">
        <v>153857.78</v>
      </c>
      <c r="J33" t="str">
        <f>VLOOKUP(H33,Diagnosis!$A:$B,2,FALSE)</f>
        <v>Hypertension</v>
      </c>
      <c r="K33" t="str">
        <f>VLOOKUP(H33,Outcome!A$2:$B$7,2,FALSE)</f>
        <v>Improved</v>
      </c>
      <c r="L33">
        <f t="shared" si="0"/>
        <v>15</v>
      </c>
      <c r="M33" t="str">
        <f>IF(Labs!E33&gt;120,"High","Normal")</f>
        <v>High</v>
      </c>
      <c r="N33" t="str">
        <f t="shared" si="1"/>
        <v>High Risk</v>
      </c>
    </row>
    <row r="34" spans="1:14" x14ac:dyDescent="0.3">
      <c r="A34">
        <v>33</v>
      </c>
      <c r="B34" t="s">
        <v>42</v>
      </c>
      <c r="C34">
        <v>66</v>
      </c>
      <c r="D34" t="s">
        <v>17</v>
      </c>
      <c r="E34">
        <v>3</v>
      </c>
      <c r="F34" s="1">
        <v>44702</v>
      </c>
      <c r="G34" s="1">
        <v>44721</v>
      </c>
      <c r="H34">
        <v>1</v>
      </c>
      <c r="I34" s="3">
        <v>155472.91</v>
      </c>
      <c r="J34" t="str">
        <f>VLOOKUP(H34,Diagnosis!$A:$B,2,FALSE)</f>
        <v>Diabetes</v>
      </c>
      <c r="K34" t="str">
        <f>VLOOKUP(H34,Outcome!A$2:$B$7,2,FALSE)</f>
        <v>Recovered</v>
      </c>
      <c r="L34">
        <f t="shared" si="0"/>
        <v>19</v>
      </c>
      <c r="M34" t="str">
        <f>IF(Labs!E34&gt;120,"High","Normal")</f>
        <v>High</v>
      </c>
      <c r="N34" t="str">
        <f t="shared" si="1"/>
        <v>High Risk</v>
      </c>
    </row>
    <row r="35" spans="1:14" x14ac:dyDescent="0.3">
      <c r="A35">
        <v>34</v>
      </c>
      <c r="B35" t="s">
        <v>43</v>
      </c>
      <c r="C35">
        <v>73</v>
      </c>
      <c r="D35" t="s">
        <v>17</v>
      </c>
      <c r="E35">
        <v>10</v>
      </c>
      <c r="F35" s="1">
        <v>45779</v>
      </c>
      <c r="G35" s="1">
        <v>45780</v>
      </c>
      <c r="H35">
        <v>2</v>
      </c>
      <c r="I35" s="3">
        <v>76912.42</v>
      </c>
      <c r="J35" t="str">
        <f>VLOOKUP(H35,Diagnosis!$A:$B,2,FALSE)</f>
        <v>Hypertension</v>
      </c>
      <c r="K35" t="str">
        <f>VLOOKUP(H35,Outcome!A$2:$B$7,2,FALSE)</f>
        <v>Improved</v>
      </c>
      <c r="L35">
        <f t="shared" si="0"/>
        <v>1</v>
      </c>
      <c r="M35" t="str">
        <f>IF(Labs!E35&gt;120,"High","Normal")</f>
        <v>High</v>
      </c>
      <c r="N35" t="str">
        <f t="shared" si="1"/>
        <v>High Risk</v>
      </c>
    </row>
    <row r="36" spans="1:14" x14ac:dyDescent="0.3">
      <c r="A36">
        <v>35</v>
      </c>
      <c r="B36" t="s">
        <v>44</v>
      </c>
      <c r="C36">
        <v>67</v>
      </c>
      <c r="D36" t="s">
        <v>10</v>
      </c>
      <c r="E36">
        <v>5</v>
      </c>
      <c r="F36" s="1">
        <v>44980</v>
      </c>
      <c r="G36" s="1">
        <v>45001</v>
      </c>
      <c r="H36">
        <v>3</v>
      </c>
      <c r="I36" s="3">
        <v>44866.76</v>
      </c>
      <c r="J36" t="str">
        <f>VLOOKUP(H36,Diagnosis!$A:$B,2,FALSE)</f>
        <v>Asthma</v>
      </c>
      <c r="K36" t="str">
        <f>VLOOKUP(H36,Outcome!A$2:$B$7,2,FALSE)</f>
        <v>Ongoing Treatment</v>
      </c>
      <c r="L36">
        <f t="shared" si="0"/>
        <v>21</v>
      </c>
      <c r="M36" t="str">
        <f>IF(Labs!E36&gt;120,"High","Normal")</f>
        <v>High</v>
      </c>
      <c r="N36" t="str">
        <f t="shared" si="1"/>
        <v>High Risk</v>
      </c>
    </row>
    <row r="37" spans="1:14" x14ac:dyDescent="0.3">
      <c r="A37">
        <v>36</v>
      </c>
      <c r="B37" t="s">
        <v>45</v>
      </c>
      <c r="C37">
        <v>86</v>
      </c>
      <c r="D37" t="s">
        <v>10</v>
      </c>
      <c r="E37">
        <v>8</v>
      </c>
      <c r="F37" s="1">
        <v>45209</v>
      </c>
      <c r="G37" s="1">
        <v>45238</v>
      </c>
      <c r="H37">
        <v>3</v>
      </c>
      <c r="I37" s="3">
        <v>15376.4</v>
      </c>
      <c r="J37" t="str">
        <f>VLOOKUP(H37,Diagnosis!$A:$B,2,FALSE)</f>
        <v>Asthma</v>
      </c>
      <c r="K37" t="str">
        <f>VLOOKUP(H37,Outcome!A$2:$B$7,2,FALSE)</f>
        <v>Ongoing Treatment</v>
      </c>
      <c r="L37">
        <f t="shared" si="0"/>
        <v>29</v>
      </c>
      <c r="M37" t="str">
        <f>IF(Labs!E37&gt;120,"High","Normal")</f>
        <v>High</v>
      </c>
      <c r="N37" t="str">
        <f t="shared" si="1"/>
        <v>High Risk</v>
      </c>
    </row>
    <row r="38" spans="1:14" x14ac:dyDescent="0.3">
      <c r="A38">
        <v>37</v>
      </c>
      <c r="B38" t="s">
        <v>46</v>
      </c>
      <c r="C38">
        <v>73</v>
      </c>
      <c r="D38" t="s">
        <v>17</v>
      </c>
      <c r="E38">
        <v>2</v>
      </c>
      <c r="F38" s="1">
        <v>45663</v>
      </c>
      <c r="G38" s="1">
        <v>45669</v>
      </c>
      <c r="H38">
        <v>2</v>
      </c>
      <c r="I38" s="3">
        <v>26011.040000000001</v>
      </c>
      <c r="J38" t="str">
        <f>VLOOKUP(H38,Diagnosis!$A:$B,2,FALSE)</f>
        <v>Hypertension</v>
      </c>
      <c r="K38" t="str">
        <f>VLOOKUP(H38,Outcome!A$2:$B$7,2,FALSE)</f>
        <v>Improved</v>
      </c>
      <c r="L38">
        <f t="shared" si="0"/>
        <v>6</v>
      </c>
      <c r="M38" t="str">
        <f>IF(Labs!E38&gt;120,"High","Normal")</f>
        <v>High</v>
      </c>
      <c r="N38" t="str">
        <f t="shared" si="1"/>
        <v>High Risk</v>
      </c>
    </row>
    <row r="39" spans="1:14" x14ac:dyDescent="0.3">
      <c r="A39">
        <v>38</v>
      </c>
      <c r="B39" t="s">
        <v>47</v>
      </c>
      <c r="C39">
        <v>32</v>
      </c>
      <c r="D39" t="s">
        <v>10</v>
      </c>
      <c r="E39">
        <v>5</v>
      </c>
      <c r="F39" s="1">
        <v>44885</v>
      </c>
      <c r="G39" s="1">
        <v>44899</v>
      </c>
      <c r="H39">
        <v>4</v>
      </c>
      <c r="I39" s="3">
        <v>127378.34</v>
      </c>
      <c r="J39" t="str">
        <f>VLOOKUP(H39,Diagnosis!$A:$B,2,FALSE)</f>
        <v>Pneumonia</v>
      </c>
      <c r="K39" t="str">
        <f>VLOOKUP(H39,Outcome!A$2:$B$7,2,FALSE)</f>
        <v>Referred</v>
      </c>
      <c r="L39">
        <f t="shared" si="0"/>
        <v>14</v>
      </c>
      <c r="M39" t="str">
        <f>IF(Labs!E39&gt;120,"High","Normal")</f>
        <v>High</v>
      </c>
      <c r="N39" t="str">
        <f t="shared" si="1"/>
        <v>High Risk</v>
      </c>
    </row>
    <row r="40" spans="1:14" x14ac:dyDescent="0.3">
      <c r="A40">
        <v>39</v>
      </c>
      <c r="B40" t="s">
        <v>48</v>
      </c>
      <c r="C40">
        <v>2</v>
      </c>
      <c r="D40" t="s">
        <v>10</v>
      </c>
      <c r="E40">
        <v>2</v>
      </c>
      <c r="F40" s="1">
        <v>44837</v>
      </c>
      <c r="G40" s="1">
        <v>44845</v>
      </c>
      <c r="H40">
        <v>1</v>
      </c>
      <c r="I40" s="3">
        <v>21498.89</v>
      </c>
      <c r="J40" t="str">
        <f>VLOOKUP(H40,Diagnosis!$A:$B,2,FALSE)</f>
        <v>Diabetes</v>
      </c>
      <c r="K40" t="str">
        <f>VLOOKUP(H40,Outcome!A$2:$B$7,2,FALSE)</f>
        <v>Recovered</v>
      </c>
      <c r="L40">
        <f t="shared" si="0"/>
        <v>8</v>
      </c>
      <c r="M40" t="str">
        <f>IF(Labs!E40&gt;120,"High","Normal")</f>
        <v>High</v>
      </c>
      <c r="N40" t="str">
        <f t="shared" si="1"/>
        <v>low risk</v>
      </c>
    </row>
    <row r="41" spans="1:14" x14ac:dyDescent="0.3">
      <c r="A41">
        <v>40</v>
      </c>
      <c r="B41" t="s">
        <v>49</v>
      </c>
      <c r="C41">
        <v>35</v>
      </c>
      <c r="D41" t="s">
        <v>10</v>
      </c>
      <c r="E41">
        <v>10</v>
      </c>
      <c r="F41" s="1">
        <v>44993</v>
      </c>
      <c r="G41" s="1">
        <v>45015</v>
      </c>
      <c r="H41">
        <v>1</v>
      </c>
      <c r="I41" s="3">
        <v>124530.74</v>
      </c>
      <c r="J41" t="str">
        <f>VLOOKUP(H41,Diagnosis!$A:$B,2,FALSE)</f>
        <v>Diabetes</v>
      </c>
      <c r="K41" t="str">
        <f>VLOOKUP(H41,Outcome!A$2:$B$7,2,FALSE)</f>
        <v>Recovered</v>
      </c>
      <c r="L41">
        <f t="shared" si="0"/>
        <v>22</v>
      </c>
      <c r="M41" t="str">
        <f>IF(Labs!E41&gt;120,"High","Normal")</f>
        <v>High</v>
      </c>
      <c r="N41" t="str">
        <f t="shared" si="1"/>
        <v>low risk</v>
      </c>
    </row>
    <row r="42" spans="1:14" x14ac:dyDescent="0.3">
      <c r="A42">
        <v>41</v>
      </c>
      <c r="B42" t="s">
        <v>27</v>
      </c>
      <c r="C42">
        <v>63</v>
      </c>
      <c r="D42" t="s">
        <v>10</v>
      </c>
      <c r="E42">
        <v>1</v>
      </c>
      <c r="F42" s="1">
        <v>44751</v>
      </c>
      <c r="G42" s="1">
        <v>44771</v>
      </c>
      <c r="H42">
        <v>2</v>
      </c>
      <c r="I42" s="3">
        <v>51610.74</v>
      </c>
      <c r="J42" t="str">
        <f>VLOOKUP(H42,Diagnosis!$A:$B,2,FALSE)</f>
        <v>Hypertension</v>
      </c>
      <c r="K42" t="str">
        <f>VLOOKUP(H42,Outcome!A$2:$B$7,2,FALSE)</f>
        <v>Improved</v>
      </c>
      <c r="L42">
        <f t="shared" si="0"/>
        <v>20</v>
      </c>
      <c r="M42" t="str">
        <f>IF(Labs!E42&gt;120,"High","Normal")</f>
        <v>High</v>
      </c>
      <c r="N42" t="str">
        <f t="shared" si="1"/>
        <v>High Risk</v>
      </c>
    </row>
    <row r="43" spans="1:14" x14ac:dyDescent="0.3">
      <c r="A43">
        <v>42</v>
      </c>
      <c r="B43" t="s">
        <v>50</v>
      </c>
      <c r="C43">
        <v>17</v>
      </c>
      <c r="D43" t="s">
        <v>10</v>
      </c>
      <c r="E43">
        <v>3</v>
      </c>
      <c r="F43" s="1">
        <v>46080</v>
      </c>
      <c r="G43" s="1">
        <v>46094</v>
      </c>
      <c r="H43">
        <v>2</v>
      </c>
      <c r="I43" s="3">
        <v>78414.429999999993</v>
      </c>
      <c r="J43" t="str">
        <f>VLOOKUP(H43,Diagnosis!$A:$B,2,FALSE)</f>
        <v>Hypertension</v>
      </c>
      <c r="K43" t="str">
        <f>VLOOKUP(H43,Outcome!A$2:$B$7,2,FALSE)</f>
        <v>Improved</v>
      </c>
      <c r="L43">
        <f t="shared" si="0"/>
        <v>14</v>
      </c>
      <c r="M43" t="str">
        <f>IF(Labs!E43&gt;120,"High","Normal")</f>
        <v>High</v>
      </c>
      <c r="N43" t="str">
        <f t="shared" si="1"/>
        <v>High Risk</v>
      </c>
    </row>
    <row r="44" spans="1:14" x14ac:dyDescent="0.3">
      <c r="A44">
        <v>43</v>
      </c>
      <c r="B44" t="s">
        <v>51</v>
      </c>
      <c r="C44">
        <v>10</v>
      </c>
      <c r="D44" t="s">
        <v>17</v>
      </c>
      <c r="E44">
        <v>9</v>
      </c>
      <c r="F44" s="1">
        <v>44635</v>
      </c>
      <c r="G44" s="1">
        <v>44661</v>
      </c>
      <c r="H44">
        <v>2</v>
      </c>
      <c r="I44" s="3">
        <v>100573.2</v>
      </c>
      <c r="J44" t="str">
        <f>VLOOKUP(H44,Diagnosis!$A:$B,2,FALSE)</f>
        <v>Hypertension</v>
      </c>
      <c r="K44" t="str">
        <f>VLOOKUP(H44,Outcome!A$2:$B$7,2,FALSE)</f>
        <v>Improved</v>
      </c>
      <c r="L44">
        <f t="shared" si="0"/>
        <v>26</v>
      </c>
      <c r="M44" t="str">
        <f>IF(Labs!E44&gt;120,"High","Normal")</f>
        <v>High</v>
      </c>
      <c r="N44" t="str">
        <f t="shared" si="1"/>
        <v>High Risk</v>
      </c>
    </row>
    <row r="45" spans="1:14" x14ac:dyDescent="0.3">
      <c r="A45">
        <v>44</v>
      </c>
      <c r="B45" t="s">
        <v>52</v>
      </c>
      <c r="C45">
        <v>6</v>
      </c>
      <c r="D45" t="s">
        <v>10</v>
      </c>
      <c r="E45">
        <v>6</v>
      </c>
      <c r="F45" s="1">
        <v>46192</v>
      </c>
      <c r="G45" s="1">
        <v>46219</v>
      </c>
      <c r="H45">
        <v>1</v>
      </c>
      <c r="I45" s="3">
        <v>66011.14</v>
      </c>
      <c r="J45" t="str">
        <f>VLOOKUP(H45,Diagnosis!$A:$B,2,FALSE)</f>
        <v>Diabetes</v>
      </c>
      <c r="K45" t="str">
        <f>VLOOKUP(H45,Outcome!A$2:$B$7,2,FALSE)</f>
        <v>Recovered</v>
      </c>
      <c r="L45">
        <f t="shared" si="0"/>
        <v>27</v>
      </c>
      <c r="M45" t="str">
        <f>IF(Labs!E45&gt;120,"High","Normal")</f>
        <v>High</v>
      </c>
      <c r="N45" t="str">
        <f t="shared" si="1"/>
        <v>low risk</v>
      </c>
    </row>
    <row r="46" spans="1:14" x14ac:dyDescent="0.3">
      <c r="A46">
        <v>45</v>
      </c>
      <c r="B46" t="s">
        <v>53</v>
      </c>
      <c r="C46">
        <v>46</v>
      </c>
      <c r="D46" t="s">
        <v>10</v>
      </c>
      <c r="E46">
        <v>10</v>
      </c>
      <c r="F46" s="1">
        <v>46096</v>
      </c>
      <c r="G46" s="1">
        <v>46100</v>
      </c>
      <c r="H46">
        <v>5</v>
      </c>
      <c r="I46" s="3">
        <v>44520.88</v>
      </c>
      <c r="J46" t="str">
        <f>VLOOKUP(H46,Diagnosis!$A:$B,2,FALSE)</f>
        <v>Heart Disease</v>
      </c>
      <c r="K46" t="str">
        <f>VLOOKUP(H46,Outcome!A$2:$B$7,2,FALSE)</f>
        <v>Readmitted</v>
      </c>
      <c r="L46">
        <f t="shared" si="0"/>
        <v>4</v>
      </c>
      <c r="M46" t="str">
        <f>IF(Labs!E46&gt;120,"High","Normal")</f>
        <v>High</v>
      </c>
      <c r="N46" t="str">
        <f t="shared" si="1"/>
        <v>High Risk</v>
      </c>
    </row>
    <row r="47" spans="1:14" x14ac:dyDescent="0.3">
      <c r="A47">
        <v>46</v>
      </c>
      <c r="B47" t="s">
        <v>54</v>
      </c>
      <c r="C47">
        <v>53</v>
      </c>
      <c r="D47" t="s">
        <v>17</v>
      </c>
      <c r="E47">
        <v>3</v>
      </c>
      <c r="F47" s="1">
        <v>46070</v>
      </c>
      <c r="G47" s="1">
        <v>46099</v>
      </c>
      <c r="H47">
        <v>1</v>
      </c>
      <c r="I47" s="3">
        <v>167719.82</v>
      </c>
      <c r="J47" t="str">
        <f>VLOOKUP(H47,Diagnosis!$A:$B,2,FALSE)</f>
        <v>Diabetes</v>
      </c>
      <c r="K47" t="str">
        <f>VLOOKUP(H47,Outcome!A$2:$B$7,2,FALSE)</f>
        <v>Recovered</v>
      </c>
      <c r="L47">
        <f t="shared" si="0"/>
        <v>29</v>
      </c>
      <c r="M47" t="str">
        <f>IF(Labs!E47&gt;120,"High","Normal")</f>
        <v>High</v>
      </c>
      <c r="N47" t="str">
        <f t="shared" si="1"/>
        <v>low risk</v>
      </c>
    </row>
    <row r="48" spans="1:14" x14ac:dyDescent="0.3">
      <c r="A48">
        <v>47</v>
      </c>
      <c r="B48" t="s">
        <v>55</v>
      </c>
      <c r="C48">
        <v>21</v>
      </c>
      <c r="D48" t="s">
        <v>17</v>
      </c>
      <c r="E48">
        <v>7</v>
      </c>
      <c r="F48" s="1">
        <v>44641</v>
      </c>
      <c r="G48" s="1">
        <v>44668</v>
      </c>
      <c r="H48">
        <v>2</v>
      </c>
      <c r="I48" s="3">
        <v>37924.18</v>
      </c>
      <c r="J48" t="str">
        <f>VLOOKUP(H48,Diagnosis!$A:$B,2,FALSE)</f>
        <v>Hypertension</v>
      </c>
      <c r="K48" t="str">
        <f>VLOOKUP(H48,Outcome!A$2:$B$7,2,FALSE)</f>
        <v>Improved</v>
      </c>
      <c r="L48">
        <f t="shared" si="0"/>
        <v>27</v>
      </c>
      <c r="M48" t="str">
        <f>IF(Labs!E48&gt;120,"High","Normal")</f>
        <v>High</v>
      </c>
      <c r="N48" t="str">
        <f t="shared" si="1"/>
        <v>High Risk</v>
      </c>
    </row>
    <row r="49" spans="1:14" x14ac:dyDescent="0.3">
      <c r="A49">
        <v>48</v>
      </c>
      <c r="B49" t="s">
        <v>56</v>
      </c>
      <c r="C49">
        <v>40</v>
      </c>
      <c r="D49" t="s">
        <v>17</v>
      </c>
      <c r="E49">
        <v>4</v>
      </c>
      <c r="F49" s="1">
        <v>44610</v>
      </c>
      <c r="G49" s="1">
        <v>44631</v>
      </c>
      <c r="H49">
        <v>1</v>
      </c>
      <c r="I49" s="3">
        <v>60766.5</v>
      </c>
      <c r="J49" t="str">
        <f>VLOOKUP(H49,Diagnosis!$A:$B,2,FALSE)</f>
        <v>Diabetes</v>
      </c>
      <c r="K49" t="str">
        <f>VLOOKUP(H49,Outcome!A$2:$B$7,2,FALSE)</f>
        <v>Recovered</v>
      </c>
      <c r="L49">
        <f t="shared" si="0"/>
        <v>21</v>
      </c>
      <c r="M49" t="str">
        <f>IF(Labs!E49&gt;120,"High","Normal")</f>
        <v>High</v>
      </c>
      <c r="N49" t="str">
        <f t="shared" si="1"/>
        <v>low risk</v>
      </c>
    </row>
    <row r="50" spans="1:14" x14ac:dyDescent="0.3">
      <c r="A50">
        <v>49</v>
      </c>
      <c r="B50" t="s">
        <v>57</v>
      </c>
      <c r="C50">
        <v>45</v>
      </c>
      <c r="D50" t="s">
        <v>10</v>
      </c>
      <c r="E50">
        <v>9</v>
      </c>
      <c r="F50" s="1">
        <v>45240</v>
      </c>
      <c r="G50" s="1">
        <v>45270</v>
      </c>
      <c r="H50">
        <v>1</v>
      </c>
      <c r="I50" s="3">
        <v>158174.32</v>
      </c>
      <c r="J50" t="str">
        <f>VLOOKUP(H50,Diagnosis!$A:$B,2,FALSE)</f>
        <v>Diabetes</v>
      </c>
      <c r="K50" t="str">
        <f>VLOOKUP(H50,Outcome!A$2:$B$7,2,FALSE)</f>
        <v>Recovered</v>
      </c>
      <c r="L50">
        <f t="shared" si="0"/>
        <v>30</v>
      </c>
      <c r="M50" t="str">
        <f>IF(Labs!E50&gt;120,"High","Normal")</f>
        <v>High</v>
      </c>
      <c r="N50" t="str">
        <f t="shared" si="1"/>
        <v>low risk</v>
      </c>
    </row>
    <row r="51" spans="1:14" x14ac:dyDescent="0.3">
      <c r="A51">
        <v>50</v>
      </c>
      <c r="B51" t="s">
        <v>58</v>
      </c>
      <c r="C51">
        <v>75</v>
      </c>
      <c r="D51" t="s">
        <v>10</v>
      </c>
      <c r="E51">
        <v>1</v>
      </c>
      <c r="F51" s="1">
        <v>44784</v>
      </c>
      <c r="G51" s="1">
        <v>44803</v>
      </c>
      <c r="H51">
        <v>2</v>
      </c>
      <c r="I51" s="3">
        <v>131816.75</v>
      </c>
      <c r="J51" t="str">
        <f>VLOOKUP(H51,Diagnosis!$A:$B,2,FALSE)</f>
        <v>Hypertension</v>
      </c>
      <c r="K51" t="str">
        <f>VLOOKUP(H51,Outcome!A$2:$B$7,2,FALSE)</f>
        <v>Improved</v>
      </c>
      <c r="L51">
        <f t="shared" si="0"/>
        <v>19</v>
      </c>
      <c r="M51" t="str">
        <f>IF(Labs!E51&gt;120,"High","Normal")</f>
        <v>High</v>
      </c>
      <c r="N51" t="str">
        <f t="shared" si="1"/>
        <v>High Risk</v>
      </c>
    </row>
    <row r="52" spans="1:14" x14ac:dyDescent="0.3">
      <c r="A52">
        <v>51</v>
      </c>
      <c r="B52" t="s">
        <v>59</v>
      </c>
      <c r="C52">
        <v>78</v>
      </c>
      <c r="D52" t="s">
        <v>17</v>
      </c>
      <c r="E52">
        <v>7</v>
      </c>
      <c r="F52" s="1">
        <v>45742</v>
      </c>
      <c r="G52" s="1">
        <v>45748</v>
      </c>
      <c r="H52">
        <v>1</v>
      </c>
      <c r="I52" s="3">
        <v>128309.39</v>
      </c>
      <c r="J52" t="str">
        <f>VLOOKUP(H52,Diagnosis!$A:$B,2,FALSE)</f>
        <v>Diabetes</v>
      </c>
      <c r="K52" t="str">
        <f>VLOOKUP(H52,Outcome!A$2:$B$7,2,FALSE)</f>
        <v>Recovered</v>
      </c>
      <c r="L52">
        <f t="shared" si="0"/>
        <v>6</v>
      </c>
      <c r="M52" t="str">
        <f>IF(Labs!E52&gt;120,"High","Normal")</f>
        <v>High</v>
      </c>
      <c r="N52" t="str">
        <f t="shared" si="1"/>
        <v>High Risk</v>
      </c>
    </row>
    <row r="53" spans="1:14" x14ac:dyDescent="0.3">
      <c r="A53">
        <v>52</v>
      </c>
      <c r="B53" t="s">
        <v>60</v>
      </c>
      <c r="C53">
        <v>69</v>
      </c>
      <c r="D53" t="s">
        <v>17</v>
      </c>
      <c r="E53">
        <v>6</v>
      </c>
      <c r="F53" s="1">
        <v>45445</v>
      </c>
      <c r="G53" s="1">
        <v>45447</v>
      </c>
      <c r="H53">
        <v>5</v>
      </c>
      <c r="I53" s="3">
        <v>165936.82999999999</v>
      </c>
      <c r="J53" t="str">
        <f>VLOOKUP(H53,Diagnosis!$A:$B,2,FALSE)</f>
        <v>Heart Disease</v>
      </c>
      <c r="K53" t="str">
        <f>VLOOKUP(H53,Outcome!A$2:$B$7,2,FALSE)</f>
        <v>Readmitted</v>
      </c>
      <c r="L53">
        <f t="shared" si="0"/>
        <v>2</v>
      </c>
      <c r="M53" t="str">
        <f>IF(Labs!E53&gt;120,"High","Normal")</f>
        <v>High</v>
      </c>
      <c r="N53" t="str">
        <f t="shared" si="1"/>
        <v>High Risk</v>
      </c>
    </row>
    <row r="54" spans="1:14" x14ac:dyDescent="0.3">
      <c r="A54">
        <v>53</v>
      </c>
      <c r="B54" t="s">
        <v>61</v>
      </c>
      <c r="C54">
        <v>85</v>
      </c>
      <c r="D54" t="s">
        <v>17</v>
      </c>
      <c r="E54">
        <v>5</v>
      </c>
      <c r="F54" s="1">
        <v>45600</v>
      </c>
      <c r="G54" s="1">
        <v>45609</v>
      </c>
      <c r="H54">
        <v>3</v>
      </c>
      <c r="I54" s="3">
        <v>60397.47</v>
      </c>
      <c r="J54" t="str">
        <f>VLOOKUP(H54,Diagnosis!$A:$B,2,FALSE)</f>
        <v>Asthma</v>
      </c>
      <c r="K54" t="str">
        <f>VLOOKUP(H54,Outcome!A$2:$B$7,2,FALSE)</f>
        <v>Ongoing Treatment</v>
      </c>
      <c r="L54">
        <f t="shared" si="0"/>
        <v>9</v>
      </c>
      <c r="M54" t="str">
        <f>IF(Labs!E54&gt;120,"High","Normal")</f>
        <v>High</v>
      </c>
      <c r="N54" t="str">
        <f t="shared" si="1"/>
        <v>High Risk</v>
      </c>
    </row>
    <row r="55" spans="1:14" x14ac:dyDescent="0.3">
      <c r="A55">
        <v>54</v>
      </c>
      <c r="B55" t="s">
        <v>62</v>
      </c>
      <c r="C55">
        <v>17</v>
      </c>
      <c r="D55" t="s">
        <v>17</v>
      </c>
      <c r="E55">
        <v>7</v>
      </c>
      <c r="F55" s="1">
        <v>45923</v>
      </c>
      <c r="G55" s="1">
        <v>45953</v>
      </c>
      <c r="H55">
        <v>2</v>
      </c>
      <c r="I55" s="3">
        <v>135293.88</v>
      </c>
      <c r="J55" t="str">
        <f>VLOOKUP(H55,Diagnosis!$A:$B,2,FALSE)</f>
        <v>Hypertension</v>
      </c>
      <c r="K55" t="str">
        <f>VLOOKUP(H55,Outcome!A$2:$B$7,2,FALSE)</f>
        <v>Improved</v>
      </c>
      <c r="L55">
        <f t="shared" si="0"/>
        <v>30</v>
      </c>
      <c r="M55" t="str">
        <f>IF(Labs!E55&gt;120,"High","Normal")</f>
        <v>High</v>
      </c>
      <c r="N55" t="str">
        <f t="shared" si="1"/>
        <v>High Risk</v>
      </c>
    </row>
    <row r="56" spans="1:14" x14ac:dyDescent="0.3">
      <c r="A56">
        <v>55</v>
      </c>
      <c r="B56" t="s">
        <v>63</v>
      </c>
      <c r="C56">
        <v>73</v>
      </c>
      <c r="D56" t="s">
        <v>10</v>
      </c>
      <c r="E56">
        <v>7</v>
      </c>
      <c r="F56" s="1">
        <v>45684</v>
      </c>
      <c r="G56" s="1">
        <v>45710</v>
      </c>
      <c r="H56">
        <v>1</v>
      </c>
      <c r="I56" s="3">
        <v>53427.18</v>
      </c>
      <c r="J56" t="str">
        <f>VLOOKUP(H56,Diagnosis!$A:$B,2,FALSE)</f>
        <v>Diabetes</v>
      </c>
      <c r="K56" t="str">
        <f>VLOOKUP(H56,Outcome!A$2:$B$7,2,FALSE)</f>
        <v>Recovered</v>
      </c>
      <c r="L56">
        <f t="shared" si="0"/>
        <v>26</v>
      </c>
      <c r="M56" t="str">
        <f>IF(Labs!E56&gt;120,"High","Normal")</f>
        <v>High</v>
      </c>
      <c r="N56" t="str">
        <f t="shared" si="1"/>
        <v>High Risk</v>
      </c>
    </row>
    <row r="57" spans="1:14" x14ac:dyDescent="0.3">
      <c r="A57">
        <v>56</v>
      </c>
      <c r="B57" t="s">
        <v>23</v>
      </c>
      <c r="C57">
        <v>78</v>
      </c>
      <c r="D57" t="s">
        <v>10</v>
      </c>
      <c r="E57">
        <v>8</v>
      </c>
      <c r="F57" s="1">
        <v>45466</v>
      </c>
      <c r="G57" s="1">
        <v>45480</v>
      </c>
      <c r="H57">
        <v>3</v>
      </c>
      <c r="I57" s="3">
        <v>93233.38</v>
      </c>
      <c r="J57" t="str">
        <f>VLOOKUP(H57,Diagnosis!$A:$B,2,FALSE)</f>
        <v>Asthma</v>
      </c>
      <c r="K57" t="str">
        <f>VLOOKUP(H57,Outcome!A$2:$B$7,2,FALSE)</f>
        <v>Ongoing Treatment</v>
      </c>
      <c r="L57">
        <f t="shared" si="0"/>
        <v>14</v>
      </c>
      <c r="M57" t="str">
        <f>IF(Labs!E57&gt;120,"High","Normal")</f>
        <v>High</v>
      </c>
      <c r="N57" t="str">
        <f t="shared" si="1"/>
        <v>High Risk</v>
      </c>
    </row>
    <row r="58" spans="1:14" x14ac:dyDescent="0.3">
      <c r="A58">
        <v>57</v>
      </c>
      <c r="B58" t="s">
        <v>64</v>
      </c>
      <c r="C58">
        <v>37</v>
      </c>
      <c r="D58" t="s">
        <v>10</v>
      </c>
      <c r="E58">
        <v>2</v>
      </c>
      <c r="F58" s="1">
        <v>46238</v>
      </c>
      <c r="G58" s="1">
        <v>46268</v>
      </c>
      <c r="H58">
        <v>3</v>
      </c>
      <c r="I58" s="3">
        <v>121921.23</v>
      </c>
      <c r="J58" t="str">
        <f>VLOOKUP(H58,Diagnosis!$A:$B,2,FALSE)</f>
        <v>Asthma</v>
      </c>
      <c r="K58" t="str">
        <f>VLOOKUP(H58,Outcome!A$2:$B$7,2,FALSE)</f>
        <v>Ongoing Treatment</v>
      </c>
      <c r="L58">
        <f t="shared" si="0"/>
        <v>30</v>
      </c>
      <c r="M58" t="str">
        <f>IF(Labs!E58&gt;120,"High","Normal")</f>
        <v>High</v>
      </c>
      <c r="N58" t="str">
        <f t="shared" si="1"/>
        <v>High Risk</v>
      </c>
    </row>
    <row r="59" spans="1:14" x14ac:dyDescent="0.3">
      <c r="A59">
        <v>58</v>
      </c>
      <c r="B59" t="s">
        <v>65</v>
      </c>
      <c r="C59">
        <v>19</v>
      </c>
      <c r="D59" t="s">
        <v>17</v>
      </c>
      <c r="E59">
        <v>1</v>
      </c>
      <c r="F59" s="1">
        <v>45063</v>
      </c>
      <c r="G59" s="1">
        <v>45078</v>
      </c>
      <c r="H59">
        <v>2</v>
      </c>
      <c r="I59" s="3">
        <v>138906.85999999999</v>
      </c>
      <c r="J59" t="str">
        <f>VLOOKUP(H59,Diagnosis!$A:$B,2,FALSE)</f>
        <v>Hypertension</v>
      </c>
      <c r="K59" t="str">
        <f>VLOOKUP(H59,Outcome!A$2:$B$7,2,FALSE)</f>
        <v>Improved</v>
      </c>
      <c r="L59">
        <f t="shared" si="0"/>
        <v>15</v>
      </c>
      <c r="M59" t="str">
        <f>IF(Labs!E59&gt;120,"High","Normal")</f>
        <v>High</v>
      </c>
      <c r="N59" t="str">
        <f t="shared" si="1"/>
        <v>High Risk</v>
      </c>
    </row>
    <row r="60" spans="1:14" x14ac:dyDescent="0.3">
      <c r="A60">
        <v>59</v>
      </c>
      <c r="B60" t="s">
        <v>66</v>
      </c>
      <c r="C60">
        <v>81</v>
      </c>
      <c r="D60" t="s">
        <v>17</v>
      </c>
      <c r="E60">
        <v>7</v>
      </c>
      <c r="F60" s="1">
        <v>45574</v>
      </c>
      <c r="G60" s="1">
        <v>45586</v>
      </c>
      <c r="H60">
        <v>1</v>
      </c>
      <c r="I60" s="3">
        <v>118950.3</v>
      </c>
      <c r="J60" t="str">
        <f>VLOOKUP(H60,Diagnosis!$A:$B,2,FALSE)</f>
        <v>Diabetes</v>
      </c>
      <c r="K60" t="str">
        <f>VLOOKUP(H60,Outcome!A$2:$B$7,2,FALSE)</f>
        <v>Recovered</v>
      </c>
      <c r="L60">
        <f t="shared" si="0"/>
        <v>12</v>
      </c>
      <c r="M60" t="str">
        <f>IF(Labs!E60&gt;120,"High","Normal")</f>
        <v>High</v>
      </c>
      <c r="N60" t="str">
        <f t="shared" si="1"/>
        <v>High Risk</v>
      </c>
    </row>
    <row r="61" spans="1:14" x14ac:dyDescent="0.3">
      <c r="A61">
        <v>60</v>
      </c>
      <c r="B61" t="s">
        <v>51</v>
      </c>
      <c r="C61">
        <v>55</v>
      </c>
      <c r="D61" t="s">
        <v>17</v>
      </c>
      <c r="E61">
        <v>3</v>
      </c>
      <c r="F61" s="1">
        <v>46208</v>
      </c>
      <c r="G61" s="1">
        <v>46238</v>
      </c>
      <c r="H61">
        <v>3</v>
      </c>
      <c r="I61" s="3">
        <v>84957.6</v>
      </c>
      <c r="J61" t="str">
        <f>VLOOKUP(H61,Diagnosis!$A:$B,2,FALSE)</f>
        <v>Asthma</v>
      </c>
      <c r="K61" t="str">
        <f>VLOOKUP(H61,Outcome!A$2:$B$7,2,FALSE)</f>
        <v>Ongoing Treatment</v>
      </c>
      <c r="L61">
        <f t="shared" si="0"/>
        <v>30</v>
      </c>
      <c r="M61" t="str">
        <f>IF(Labs!E61&gt;120,"High","Normal")</f>
        <v>High</v>
      </c>
      <c r="N61" t="str">
        <f t="shared" si="1"/>
        <v>High Risk</v>
      </c>
    </row>
    <row r="62" spans="1:14" x14ac:dyDescent="0.3">
      <c r="A62">
        <v>61</v>
      </c>
      <c r="B62" t="s">
        <v>20</v>
      </c>
      <c r="C62">
        <v>16</v>
      </c>
      <c r="D62" t="s">
        <v>10</v>
      </c>
      <c r="E62">
        <v>3</v>
      </c>
      <c r="F62" s="1">
        <v>46203</v>
      </c>
      <c r="G62" s="1">
        <v>46217</v>
      </c>
      <c r="H62">
        <v>3</v>
      </c>
      <c r="I62" s="3">
        <v>177850.91</v>
      </c>
      <c r="J62" t="str">
        <f>VLOOKUP(H62,Diagnosis!$A:$B,2,FALSE)</f>
        <v>Asthma</v>
      </c>
      <c r="K62" t="str">
        <f>VLOOKUP(H62,Outcome!A$2:$B$7,2,FALSE)</f>
        <v>Ongoing Treatment</v>
      </c>
      <c r="L62">
        <f t="shared" si="0"/>
        <v>14</v>
      </c>
      <c r="M62" t="str">
        <f>IF(Labs!E62&gt;120,"High","Normal")</f>
        <v>High</v>
      </c>
      <c r="N62" t="str">
        <f t="shared" si="1"/>
        <v>High Risk</v>
      </c>
    </row>
    <row r="63" spans="1:14" x14ac:dyDescent="0.3">
      <c r="A63">
        <v>62</v>
      </c>
      <c r="B63" t="s">
        <v>67</v>
      </c>
      <c r="C63">
        <v>57</v>
      </c>
      <c r="D63" t="s">
        <v>10</v>
      </c>
      <c r="E63">
        <v>9</v>
      </c>
      <c r="F63" s="1">
        <v>45475</v>
      </c>
      <c r="G63" s="1">
        <v>45503</v>
      </c>
      <c r="H63">
        <v>1</v>
      </c>
      <c r="I63" s="3">
        <v>155415.35</v>
      </c>
      <c r="J63" t="str">
        <f>VLOOKUP(H63,Diagnosis!$A:$B,2,FALSE)</f>
        <v>Diabetes</v>
      </c>
      <c r="K63" t="str">
        <f>VLOOKUP(H63,Outcome!A$2:$B$7,2,FALSE)</f>
        <v>Recovered</v>
      </c>
      <c r="L63">
        <f t="shared" si="0"/>
        <v>28</v>
      </c>
      <c r="M63" t="str">
        <f>IF(Labs!E63&gt;120,"High","Normal")</f>
        <v>High</v>
      </c>
      <c r="N63" t="str">
        <f t="shared" si="1"/>
        <v>low risk</v>
      </c>
    </row>
    <row r="64" spans="1:14" x14ac:dyDescent="0.3">
      <c r="A64">
        <v>63</v>
      </c>
      <c r="B64" t="s">
        <v>68</v>
      </c>
      <c r="C64">
        <v>32</v>
      </c>
      <c r="D64" t="s">
        <v>10</v>
      </c>
      <c r="E64">
        <v>9</v>
      </c>
      <c r="F64" s="1">
        <v>45554</v>
      </c>
      <c r="G64" s="1">
        <v>45574</v>
      </c>
      <c r="H64">
        <v>1</v>
      </c>
      <c r="I64" s="3">
        <v>80577.39</v>
      </c>
      <c r="J64" t="str">
        <f>VLOOKUP(H64,Diagnosis!$A:$B,2,FALSE)</f>
        <v>Diabetes</v>
      </c>
      <c r="K64" t="str">
        <f>VLOOKUP(H64,Outcome!A$2:$B$7,2,FALSE)</f>
        <v>Recovered</v>
      </c>
      <c r="L64">
        <f t="shared" si="0"/>
        <v>20</v>
      </c>
      <c r="M64" t="str">
        <f>IF(Labs!E64&gt;120,"High","Normal")</f>
        <v>High</v>
      </c>
      <c r="N64" t="str">
        <f t="shared" si="1"/>
        <v>low risk</v>
      </c>
    </row>
    <row r="65" spans="1:14" x14ac:dyDescent="0.3">
      <c r="A65">
        <v>64</v>
      </c>
      <c r="B65" t="s">
        <v>69</v>
      </c>
      <c r="C65">
        <v>35</v>
      </c>
      <c r="D65" t="s">
        <v>10</v>
      </c>
      <c r="E65">
        <v>6</v>
      </c>
      <c r="F65" s="1">
        <v>45668</v>
      </c>
      <c r="G65" s="1">
        <v>45670</v>
      </c>
      <c r="H65">
        <v>1</v>
      </c>
      <c r="I65" s="3">
        <v>43548.91</v>
      </c>
      <c r="J65" t="str">
        <f>VLOOKUP(H65,Diagnosis!$A:$B,2,FALSE)</f>
        <v>Diabetes</v>
      </c>
      <c r="K65" t="str">
        <f>VLOOKUP(H65,Outcome!A$2:$B$7,2,FALSE)</f>
        <v>Recovered</v>
      </c>
      <c r="L65">
        <f t="shared" si="0"/>
        <v>2</v>
      </c>
      <c r="M65" t="str">
        <f>IF(Labs!E65&gt;120,"High","Normal")</f>
        <v>High</v>
      </c>
      <c r="N65" t="str">
        <f t="shared" si="1"/>
        <v>low risk</v>
      </c>
    </row>
    <row r="66" spans="1:14" x14ac:dyDescent="0.3">
      <c r="A66">
        <v>65</v>
      </c>
      <c r="B66" t="s">
        <v>70</v>
      </c>
      <c r="C66">
        <v>9</v>
      </c>
      <c r="D66" t="s">
        <v>10</v>
      </c>
      <c r="E66">
        <v>7</v>
      </c>
      <c r="F66" s="1">
        <v>45239</v>
      </c>
      <c r="G66" s="1">
        <v>45256</v>
      </c>
      <c r="H66">
        <v>2</v>
      </c>
      <c r="I66" s="3">
        <v>13552.16</v>
      </c>
      <c r="J66" t="str">
        <f>VLOOKUP(H66,Diagnosis!$A:$B,2,FALSE)</f>
        <v>Hypertension</v>
      </c>
      <c r="K66" t="str">
        <f>VLOOKUP(H66,Outcome!A$2:$B$7,2,FALSE)</f>
        <v>Improved</v>
      </c>
      <c r="L66">
        <f t="shared" si="0"/>
        <v>17</v>
      </c>
      <c r="M66" t="str">
        <f>IF(Labs!E66&gt;120,"High","Normal")</f>
        <v>High</v>
      </c>
      <c r="N66" t="str">
        <f t="shared" si="1"/>
        <v>High Risk</v>
      </c>
    </row>
    <row r="67" spans="1:14" x14ac:dyDescent="0.3">
      <c r="A67">
        <v>66</v>
      </c>
      <c r="B67" t="s">
        <v>71</v>
      </c>
      <c r="C67">
        <v>75</v>
      </c>
      <c r="D67" t="s">
        <v>17</v>
      </c>
      <c r="E67">
        <v>10</v>
      </c>
      <c r="F67" s="1">
        <v>45341</v>
      </c>
      <c r="G67" s="1">
        <v>45356</v>
      </c>
      <c r="H67">
        <v>1</v>
      </c>
      <c r="I67" s="3">
        <v>64937.19</v>
      </c>
      <c r="J67" t="str">
        <f>VLOOKUP(H67,Diagnosis!$A:$B,2,FALSE)</f>
        <v>Diabetes</v>
      </c>
      <c r="K67" t="str">
        <f>VLOOKUP(H67,Outcome!A$2:$B$7,2,FALSE)</f>
        <v>Recovered</v>
      </c>
      <c r="L67">
        <f t="shared" ref="L67:L130" si="2">DATEDIF(F67,G67,"d")</f>
        <v>15</v>
      </c>
      <c r="M67" t="str">
        <f>IF(Labs!E67&gt;120,"High","Normal")</f>
        <v>High</v>
      </c>
      <c r="N67" t="str">
        <f t="shared" si="1"/>
        <v>High Risk</v>
      </c>
    </row>
    <row r="68" spans="1:14" x14ac:dyDescent="0.3">
      <c r="A68">
        <v>67</v>
      </c>
      <c r="B68" t="s">
        <v>72</v>
      </c>
      <c r="C68">
        <v>69</v>
      </c>
      <c r="D68" t="s">
        <v>17</v>
      </c>
      <c r="E68">
        <v>8</v>
      </c>
      <c r="F68" s="1">
        <v>45011</v>
      </c>
      <c r="G68" s="1">
        <v>45019</v>
      </c>
      <c r="H68">
        <v>2</v>
      </c>
      <c r="I68" s="3">
        <v>7651.91</v>
      </c>
      <c r="J68" t="str">
        <f>VLOOKUP(H68,Diagnosis!$A:$B,2,FALSE)</f>
        <v>Hypertension</v>
      </c>
      <c r="K68" t="str">
        <f>VLOOKUP(H68,Outcome!A$2:$B$7,2,FALSE)</f>
        <v>Improved</v>
      </c>
      <c r="L68">
        <f t="shared" si="2"/>
        <v>8</v>
      </c>
      <c r="M68" t="str">
        <f>IF(Labs!E68&gt;120,"High","Normal")</f>
        <v>High</v>
      </c>
      <c r="N68" t="str">
        <f t="shared" ref="N68:N131" si="3">IF(OR(C68&gt;65,H68&lt;&gt;1),"High Risk","low risk")</f>
        <v>High Risk</v>
      </c>
    </row>
    <row r="69" spans="1:14" x14ac:dyDescent="0.3">
      <c r="A69">
        <v>68</v>
      </c>
      <c r="B69" t="s">
        <v>73</v>
      </c>
      <c r="C69">
        <v>93</v>
      </c>
      <c r="D69" t="s">
        <v>17</v>
      </c>
      <c r="E69">
        <v>8</v>
      </c>
      <c r="F69" s="1">
        <v>44823</v>
      </c>
      <c r="G69" s="1">
        <v>44842</v>
      </c>
      <c r="H69">
        <v>2</v>
      </c>
      <c r="I69" s="3">
        <v>163479.87</v>
      </c>
      <c r="J69" t="str">
        <f>VLOOKUP(H69,Diagnosis!$A:$B,2,FALSE)</f>
        <v>Hypertension</v>
      </c>
      <c r="K69" t="str">
        <f>VLOOKUP(H69,Outcome!A$2:$B$7,2,FALSE)</f>
        <v>Improved</v>
      </c>
      <c r="L69">
        <f t="shared" si="2"/>
        <v>19</v>
      </c>
      <c r="M69" t="str">
        <f>IF(Labs!E69&gt;120,"High","Normal")</f>
        <v>High</v>
      </c>
      <c r="N69" t="str">
        <f t="shared" si="3"/>
        <v>High Risk</v>
      </c>
    </row>
    <row r="70" spans="1:14" x14ac:dyDescent="0.3">
      <c r="A70">
        <v>69</v>
      </c>
      <c r="B70" t="s">
        <v>44</v>
      </c>
      <c r="C70">
        <v>85</v>
      </c>
      <c r="D70" t="s">
        <v>17</v>
      </c>
      <c r="E70">
        <v>2</v>
      </c>
      <c r="F70" s="1">
        <v>45878</v>
      </c>
      <c r="G70" s="1">
        <v>45891</v>
      </c>
      <c r="H70">
        <v>1</v>
      </c>
      <c r="I70" s="3">
        <v>84451.47</v>
      </c>
      <c r="J70" t="str">
        <f>VLOOKUP(H70,Diagnosis!$A:$B,2,FALSE)</f>
        <v>Diabetes</v>
      </c>
      <c r="K70" t="str">
        <f>VLOOKUP(H70,Outcome!A$2:$B$7,2,FALSE)</f>
        <v>Recovered</v>
      </c>
      <c r="L70">
        <f t="shared" si="2"/>
        <v>13</v>
      </c>
      <c r="M70" t="str">
        <f>IF(Labs!E70&gt;120,"High","Normal")</f>
        <v>High</v>
      </c>
      <c r="N70" t="str">
        <f t="shared" si="3"/>
        <v>High Risk</v>
      </c>
    </row>
    <row r="71" spans="1:14" x14ac:dyDescent="0.3">
      <c r="A71">
        <v>70</v>
      </c>
      <c r="B71" t="s">
        <v>74</v>
      </c>
      <c r="C71">
        <v>49</v>
      </c>
      <c r="D71" t="s">
        <v>10</v>
      </c>
      <c r="E71">
        <v>4</v>
      </c>
      <c r="F71" s="1">
        <v>45493</v>
      </c>
      <c r="G71" s="1">
        <v>45503</v>
      </c>
      <c r="H71">
        <v>1</v>
      </c>
      <c r="I71" s="3">
        <v>158636.1</v>
      </c>
      <c r="J71" t="str">
        <f>VLOOKUP(H71,Diagnosis!$A:$B,2,FALSE)</f>
        <v>Diabetes</v>
      </c>
      <c r="K71" t="str">
        <f>VLOOKUP(H71,Outcome!A$2:$B$7,2,FALSE)</f>
        <v>Recovered</v>
      </c>
      <c r="L71">
        <f t="shared" si="2"/>
        <v>10</v>
      </c>
      <c r="M71" t="str">
        <f>IF(Labs!E71&gt;120,"High","Normal")</f>
        <v>High</v>
      </c>
      <c r="N71" t="str">
        <f t="shared" si="3"/>
        <v>low risk</v>
      </c>
    </row>
    <row r="72" spans="1:14" x14ac:dyDescent="0.3">
      <c r="A72">
        <v>71</v>
      </c>
      <c r="B72" t="s">
        <v>75</v>
      </c>
      <c r="C72">
        <v>33</v>
      </c>
      <c r="D72" t="s">
        <v>17</v>
      </c>
      <c r="E72">
        <v>8</v>
      </c>
      <c r="F72" s="1">
        <v>44601</v>
      </c>
      <c r="G72" s="1">
        <v>44624</v>
      </c>
      <c r="H72">
        <v>2</v>
      </c>
      <c r="I72" s="3">
        <v>179983.64</v>
      </c>
      <c r="J72" t="str">
        <f>VLOOKUP(H72,Diagnosis!$A:$B,2,FALSE)</f>
        <v>Hypertension</v>
      </c>
      <c r="K72" t="str">
        <f>VLOOKUP(H72,Outcome!A$2:$B$7,2,FALSE)</f>
        <v>Improved</v>
      </c>
      <c r="L72">
        <f t="shared" si="2"/>
        <v>23</v>
      </c>
      <c r="M72" t="str">
        <f>IF(Labs!E72&gt;120,"High","Normal")</f>
        <v>High</v>
      </c>
      <c r="N72" t="str">
        <f t="shared" si="3"/>
        <v>High Risk</v>
      </c>
    </row>
    <row r="73" spans="1:14" x14ac:dyDescent="0.3">
      <c r="A73">
        <v>72</v>
      </c>
      <c r="B73" t="s">
        <v>76</v>
      </c>
      <c r="C73">
        <v>84</v>
      </c>
      <c r="D73" t="s">
        <v>17</v>
      </c>
      <c r="E73">
        <v>1</v>
      </c>
      <c r="F73" s="1">
        <v>46106</v>
      </c>
      <c r="G73" s="1">
        <v>46106</v>
      </c>
      <c r="H73">
        <v>5</v>
      </c>
      <c r="I73" s="3">
        <v>37886.519999999997</v>
      </c>
      <c r="J73" t="str">
        <f>VLOOKUP(H73,Diagnosis!$A:$B,2,FALSE)</f>
        <v>Heart Disease</v>
      </c>
      <c r="K73" t="str">
        <f>VLOOKUP(H73,Outcome!A$2:$B$7,2,FALSE)</f>
        <v>Readmitted</v>
      </c>
      <c r="L73">
        <f t="shared" si="2"/>
        <v>0</v>
      </c>
      <c r="M73" t="str">
        <f>IF(Labs!E73&gt;120,"High","Normal")</f>
        <v>High</v>
      </c>
      <c r="N73" t="str">
        <f t="shared" si="3"/>
        <v>High Risk</v>
      </c>
    </row>
    <row r="74" spans="1:14" x14ac:dyDescent="0.3">
      <c r="A74">
        <v>73</v>
      </c>
      <c r="B74" t="s">
        <v>77</v>
      </c>
      <c r="C74">
        <v>20</v>
      </c>
      <c r="D74" t="s">
        <v>17</v>
      </c>
      <c r="E74">
        <v>3</v>
      </c>
      <c r="F74" s="1">
        <v>45531</v>
      </c>
      <c r="G74" s="1">
        <v>45552</v>
      </c>
      <c r="H74">
        <v>1</v>
      </c>
      <c r="I74" s="3">
        <v>170726.87</v>
      </c>
      <c r="J74" t="str">
        <f>VLOOKUP(H74,Diagnosis!$A:$B,2,FALSE)</f>
        <v>Diabetes</v>
      </c>
      <c r="K74" t="str">
        <f>VLOOKUP(H74,Outcome!A$2:$B$7,2,FALSE)</f>
        <v>Recovered</v>
      </c>
      <c r="L74">
        <f t="shared" si="2"/>
        <v>21</v>
      </c>
      <c r="M74" t="str">
        <f>IF(Labs!E74&gt;120,"High","Normal")</f>
        <v>High</v>
      </c>
      <c r="N74" t="str">
        <f t="shared" si="3"/>
        <v>low risk</v>
      </c>
    </row>
    <row r="75" spans="1:14" x14ac:dyDescent="0.3">
      <c r="A75">
        <v>74</v>
      </c>
      <c r="B75" t="s">
        <v>78</v>
      </c>
      <c r="C75">
        <v>48</v>
      </c>
      <c r="D75" t="s">
        <v>17</v>
      </c>
      <c r="E75">
        <v>10</v>
      </c>
      <c r="F75" s="1">
        <v>45805</v>
      </c>
      <c r="G75" s="1">
        <v>45835</v>
      </c>
      <c r="H75">
        <v>3</v>
      </c>
      <c r="I75" s="3">
        <v>22829.58</v>
      </c>
      <c r="J75" t="str">
        <f>VLOOKUP(H75,Diagnosis!$A:$B,2,FALSE)</f>
        <v>Asthma</v>
      </c>
      <c r="K75" t="str">
        <f>VLOOKUP(H75,Outcome!A$2:$B$7,2,FALSE)</f>
        <v>Ongoing Treatment</v>
      </c>
      <c r="L75">
        <f t="shared" si="2"/>
        <v>30</v>
      </c>
      <c r="M75" t="str">
        <f>IF(Labs!E75&gt;120,"High","Normal")</f>
        <v>High</v>
      </c>
      <c r="N75" t="str">
        <f t="shared" si="3"/>
        <v>High Risk</v>
      </c>
    </row>
    <row r="76" spans="1:14" x14ac:dyDescent="0.3">
      <c r="A76">
        <v>75</v>
      </c>
      <c r="B76" t="s">
        <v>79</v>
      </c>
      <c r="C76">
        <v>14</v>
      </c>
      <c r="D76" t="s">
        <v>17</v>
      </c>
      <c r="E76">
        <v>5</v>
      </c>
      <c r="F76" s="1">
        <v>45741</v>
      </c>
      <c r="G76" s="1">
        <v>45762</v>
      </c>
      <c r="H76">
        <v>5</v>
      </c>
      <c r="I76" s="3">
        <v>69116.990000000005</v>
      </c>
      <c r="J76" t="str">
        <f>VLOOKUP(H76,Diagnosis!$A:$B,2,FALSE)</f>
        <v>Heart Disease</v>
      </c>
      <c r="K76" t="str">
        <f>VLOOKUP(H76,Outcome!A$2:$B$7,2,FALSE)</f>
        <v>Readmitted</v>
      </c>
      <c r="L76">
        <f t="shared" si="2"/>
        <v>21</v>
      </c>
      <c r="M76" t="str">
        <f>IF(Labs!E76&gt;120,"High","Normal")</f>
        <v>High</v>
      </c>
      <c r="N76" t="str">
        <f t="shared" si="3"/>
        <v>High Risk</v>
      </c>
    </row>
    <row r="77" spans="1:14" x14ac:dyDescent="0.3">
      <c r="A77">
        <v>76</v>
      </c>
      <c r="B77" t="s">
        <v>80</v>
      </c>
      <c r="C77">
        <v>76</v>
      </c>
      <c r="D77" t="s">
        <v>17</v>
      </c>
      <c r="E77">
        <v>2</v>
      </c>
      <c r="F77" s="1">
        <v>45989</v>
      </c>
      <c r="G77" s="1">
        <v>46013</v>
      </c>
      <c r="H77">
        <v>1</v>
      </c>
      <c r="I77" s="3">
        <v>123955.98</v>
      </c>
      <c r="J77" t="str">
        <f>VLOOKUP(H77,Diagnosis!$A:$B,2,FALSE)</f>
        <v>Diabetes</v>
      </c>
      <c r="K77" t="str">
        <f>VLOOKUP(H77,Outcome!A$2:$B$7,2,FALSE)</f>
        <v>Recovered</v>
      </c>
      <c r="L77">
        <f t="shared" si="2"/>
        <v>24</v>
      </c>
      <c r="M77" t="str">
        <f>IF(Labs!E77&gt;120,"High","Normal")</f>
        <v>High</v>
      </c>
      <c r="N77" t="str">
        <f t="shared" si="3"/>
        <v>High Risk</v>
      </c>
    </row>
    <row r="78" spans="1:14" x14ac:dyDescent="0.3">
      <c r="A78">
        <v>77</v>
      </c>
      <c r="B78" t="s">
        <v>81</v>
      </c>
      <c r="C78">
        <v>6</v>
      </c>
      <c r="D78" t="s">
        <v>10</v>
      </c>
      <c r="E78">
        <v>9</v>
      </c>
      <c r="F78" s="1">
        <v>45439</v>
      </c>
      <c r="G78" s="1">
        <v>45460</v>
      </c>
      <c r="H78">
        <v>2</v>
      </c>
      <c r="I78" s="3">
        <v>92308.04</v>
      </c>
      <c r="J78" t="str">
        <f>VLOOKUP(H78,Diagnosis!$A:$B,2,FALSE)</f>
        <v>Hypertension</v>
      </c>
      <c r="K78" t="str">
        <f>VLOOKUP(H78,Outcome!A$2:$B$7,2,FALSE)</f>
        <v>Improved</v>
      </c>
      <c r="L78">
        <f t="shared" si="2"/>
        <v>21</v>
      </c>
      <c r="M78" t="str">
        <f>IF(Labs!E78&gt;120,"High","Normal")</f>
        <v>High</v>
      </c>
      <c r="N78" t="str">
        <f t="shared" si="3"/>
        <v>High Risk</v>
      </c>
    </row>
    <row r="79" spans="1:14" x14ac:dyDescent="0.3">
      <c r="A79">
        <v>78</v>
      </c>
      <c r="B79" t="s">
        <v>82</v>
      </c>
      <c r="C79">
        <v>54</v>
      </c>
      <c r="D79" t="s">
        <v>10</v>
      </c>
      <c r="E79">
        <v>2</v>
      </c>
      <c r="F79" s="1">
        <v>45449</v>
      </c>
      <c r="G79" s="1">
        <v>45479</v>
      </c>
      <c r="H79">
        <v>2</v>
      </c>
      <c r="I79" s="3">
        <v>160754.57</v>
      </c>
      <c r="J79" t="str">
        <f>VLOOKUP(H79,Diagnosis!$A:$B,2,FALSE)</f>
        <v>Hypertension</v>
      </c>
      <c r="K79" t="str">
        <f>VLOOKUP(H79,Outcome!A$2:$B$7,2,FALSE)</f>
        <v>Improved</v>
      </c>
      <c r="L79">
        <f t="shared" si="2"/>
        <v>30</v>
      </c>
      <c r="M79" t="str">
        <f>IF(Labs!E79&gt;120,"High","Normal")</f>
        <v>High</v>
      </c>
      <c r="N79" t="str">
        <f t="shared" si="3"/>
        <v>High Risk</v>
      </c>
    </row>
    <row r="80" spans="1:14" x14ac:dyDescent="0.3">
      <c r="A80">
        <v>79</v>
      </c>
      <c r="B80" t="s">
        <v>22</v>
      </c>
      <c r="C80">
        <v>56</v>
      </c>
      <c r="D80" t="s">
        <v>17</v>
      </c>
      <c r="E80">
        <v>9</v>
      </c>
      <c r="F80" s="1">
        <v>45894</v>
      </c>
      <c r="G80" s="1">
        <v>45902</v>
      </c>
      <c r="H80">
        <v>2</v>
      </c>
      <c r="I80" s="3">
        <v>165732.13</v>
      </c>
      <c r="J80" t="str">
        <f>VLOOKUP(H80,Diagnosis!$A:$B,2,FALSE)</f>
        <v>Hypertension</v>
      </c>
      <c r="K80" t="str">
        <f>VLOOKUP(H80,Outcome!A$2:$B$7,2,FALSE)</f>
        <v>Improved</v>
      </c>
      <c r="L80">
        <f t="shared" si="2"/>
        <v>8</v>
      </c>
      <c r="M80" t="str">
        <f>IF(Labs!E80&gt;120,"High","Normal")</f>
        <v>High</v>
      </c>
      <c r="N80" t="str">
        <f t="shared" si="3"/>
        <v>High Risk</v>
      </c>
    </row>
    <row r="81" spans="1:14" x14ac:dyDescent="0.3">
      <c r="A81">
        <v>80</v>
      </c>
      <c r="B81" t="s">
        <v>83</v>
      </c>
      <c r="C81">
        <v>56</v>
      </c>
      <c r="D81" t="s">
        <v>10</v>
      </c>
      <c r="E81">
        <v>6</v>
      </c>
      <c r="F81" s="1">
        <v>45064</v>
      </c>
      <c r="G81" s="1">
        <v>45090</v>
      </c>
      <c r="H81">
        <v>5</v>
      </c>
      <c r="I81" s="3">
        <v>52009.760000000002</v>
      </c>
      <c r="J81" t="str">
        <f>VLOOKUP(H81,Diagnosis!$A:$B,2,FALSE)</f>
        <v>Heart Disease</v>
      </c>
      <c r="K81" t="str">
        <f>VLOOKUP(H81,Outcome!A$2:$B$7,2,FALSE)</f>
        <v>Readmitted</v>
      </c>
      <c r="L81">
        <f t="shared" si="2"/>
        <v>26</v>
      </c>
      <c r="M81" t="str">
        <f>IF(Labs!E81&gt;120,"High","Normal")</f>
        <v>High</v>
      </c>
      <c r="N81" t="str">
        <f t="shared" si="3"/>
        <v>High Risk</v>
      </c>
    </row>
    <row r="82" spans="1:14" x14ac:dyDescent="0.3">
      <c r="A82">
        <v>81</v>
      </c>
      <c r="B82" t="s">
        <v>84</v>
      </c>
      <c r="C82">
        <v>60</v>
      </c>
      <c r="D82" t="s">
        <v>10</v>
      </c>
      <c r="E82">
        <v>6</v>
      </c>
      <c r="F82" s="1">
        <v>44620</v>
      </c>
      <c r="G82" s="1">
        <v>44635</v>
      </c>
      <c r="H82">
        <v>5</v>
      </c>
      <c r="I82" s="3">
        <v>34776.57</v>
      </c>
      <c r="J82" t="str">
        <f>VLOOKUP(H82,Diagnosis!$A:$B,2,FALSE)</f>
        <v>Heart Disease</v>
      </c>
      <c r="K82" t="str">
        <f>VLOOKUP(H82,Outcome!A$2:$B$7,2,FALSE)</f>
        <v>Readmitted</v>
      </c>
      <c r="L82">
        <f t="shared" si="2"/>
        <v>15</v>
      </c>
      <c r="M82" t="str">
        <f>IF(Labs!E82&gt;120,"High","Normal")</f>
        <v>High</v>
      </c>
      <c r="N82" t="str">
        <f t="shared" si="3"/>
        <v>High Risk</v>
      </c>
    </row>
    <row r="83" spans="1:14" x14ac:dyDescent="0.3">
      <c r="A83">
        <v>82</v>
      </c>
      <c r="B83" t="s">
        <v>85</v>
      </c>
      <c r="C83">
        <v>34</v>
      </c>
      <c r="D83" t="s">
        <v>10</v>
      </c>
      <c r="E83">
        <v>5</v>
      </c>
      <c r="F83" s="1">
        <v>45782</v>
      </c>
      <c r="G83" s="1">
        <v>45804</v>
      </c>
      <c r="H83">
        <v>5</v>
      </c>
      <c r="I83" s="3">
        <v>101152.91</v>
      </c>
      <c r="J83" t="str">
        <f>VLOOKUP(H83,Diagnosis!$A:$B,2,FALSE)</f>
        <v>Heart Disease</v>
      </c>
      <c r="K83" t="str">
        <f>VLOOKUP(H83,Outcome!A$2:$B$7,2,FALSE)</f>
        <v>Readmitted</v>
      </c>
      <c r="L83">
        <f t="shared" si="2"/>
        <v>22</v>
      </c>
      <c r="M83" t="str">
        <f>IF(Labs!E83&gt;120,"High","Normal")</f>
        <v>High</v>
      </c>
      <c r="N83" t="str">
        <f t="shared" si="3"/>
        <v>High Risk</v>
      </c>
    </row>
    <row r="84" spans="1:14" x14ac:dyDescent="0.3">
      <c r="A84">
        <v>83</v>
      </c>
      <c r="B84" t="s">
        <v>86</v>
      </c>
      <c r="C84">
        <v>11</v>
      </c>
      <c r="D84" t="s">
        <v>17</v>
      </c>
      <c r="E84">
        <v>7</v>
      </c>
      <c r="F84" s="1">
        <v>45562</v>
      </c>
      <c r="G84" s="1">
        <v>45579</v>
      </c>
      <c r="H84">
        <v>3</v>
      </c>
      <c r="I84" s="3">
        <v>125083.16</v>
      </c>
      <c r="J84" t="str">
        <f>VLOOKUP(H84,Diagnosis!$A:$B,2,FALSE)</f>
        <v>Asthma</v>
      </c>
      <c r="K84" t="str">
        <f>VLOOKUP(H84,Outcome!A$2:$B$7,2,FALSE)</f>
        <v>Ongoing Treatment</v>
      </c>
      <c r="L84">
        <f t="shared" si="2"/>
        <v>17</v>
      </c>
      <c r="M84" t="str">
        <f>IF(Labs!E84&gt;120,"High","Normal")</f>
        <v>High</v>
      </c>
      <c r="N84" t="str">
        <f t="shared" si="3"/>
        <v>High Risk</v>
      </c>
    </row>
    <row r="85" spans="1:14" x14ac:dyDescent="0.3">
      <c r="A85">
        <v>84</v>
      </c>
      <c r="B85" t="s">
        <v>87</v>
      </c>
      <c r="C85">
        <v>3</v>
      </c>
      <c r="D85" t="s">
        <v>17</v>
      </c>
      <c r="E85">
        <v>5</v>
      </c>
      <c r="F85" s="1">
        <v>45015</v>
      </c>
      <c r="G85" s="1">
        <v>45027</v>
      </c>
      <c r="H85">
        <v>3</v>
      </c>
      <c r="I85" s="3">
        <v>56851.57</v>
      </c>
      <c r="J85" t="str">
        <f>VLOOKUP(H85,Diagnosis!$A:$B,2,FALSE)</f>
        <v>Asthma</v>
      </c>
      <c r="K85" t="str">
        <f>VLOOKUP(H85,Outcome!A$2:$B$7,2,FALSE)</f>
        <v>Ongoing Treatment</v>
      </c>
      <c r="L85">
        <f t="shared" si="2"/>
        <v>12</v>
      </c>
      <c r="M85" t="str">
        <f>IF(Labs!E85&gt;120,"High","Normal")</f>
        <v>High</v>
      </c>
      <c r="N85" t="str">
        <f t="shared" si="3"/>
        <v>High Risk</v>
      </c>
    </row>
    <row r="86" spans="1:14" x14ac:dyDescent="0.3">
      <c r="A86">
        <v>85</v>
      </c>
      <c r="B86" t="s">
        <v>88</v>
      </c>
      <c r="C86">
        <v>61</v>
      </c>
      <c r="D86" t="s">
        <v>10</v>
      </c>
      <c r="E86">
        <v>7</v>
      </c>
      <c r="F86" s="1">
        <v>46089</v>
      </c>
      <c r="G86" s="1">
        <v>46106</v>
      </c>
      <c r="H86">
        <v>1</v>
      </c>
      <c r="I86" s="3">
        <v>127256.75</v>
      </c>
      <c r="J86" t="str">
        <f>VLOOKUP(H86,Diagnosis!$A:$B,2,FALSE)</f>
        <v>Diabetes</v>
      </c>
      <c r="K86" t="str">
        <f>VLOOKUP(H86,Outcome!A$2:$B$7,2,FALSE)</f>
        <v>Recovered</v>
      </c>
      <c r="L86">
        <f t="shared" si="2"/>
        <v>17</v>
      </c>
      <c r="M86" t="str">
        <f>IF(Labs!E86&gt;120,"High","Normal")</f>
        <v>High</v>
      </c>
      <c r="N86" t="str">
        <f t="shared" si="3"/>
        <v>low risk</v>
      </c>
    </row>
    <row r="87" spans="1:14" x14ac:dyDescent="0.3">
      <c r="A87">
        <v>86</v>
      </c>
      <c r="B87" t="s">
        <v>89</v>
      </c>
      <c r="C87">
        <v>33</v>
      </c>
      <c r="D87" t="s">
        <v>17</v>
      </c>
      <c r="E87">
        <v>2</v>
      </c>
      <c r="F87" s="1">
        <v>46039</v>
      </c>
      <c r="G87" s="1">
        <v>46045</v>
      </c>
      <c r="H87">
        <v>1</v>
      </c>
      <c r="I87" s="3">
        <v>134361.39000000001</v>
      </c>
      <c r="J87" t="str">
        <f>VLOOKUP(H87,Diagnosis!$A:$B,2,FALSE)</f>
        <v>Diabetes</v>
      </c>
      <c r="K87" t="str">
        <f>VLOOKUP(H87,Outcome!A$2:$B$7,2,FALSE)</f>
        <v>Recovered</v>
      </c>
      <c r="L87">
        <f t="shared" si="2"/>
        <v>6</v>
      </c>
      <c r="M87" t="str">
        <f>IF(Labs!E87&gt;120,"High","Normal")</f>
        <v>High</v>
      </c>
      <c r="N87" t="str">
        <f t="shared" si="3"/>
        <v>low risk</v>
      </c>
    </row>
    <row r="88" spans="1:14" x14ac:dyDescent="0.3">
      <c r="A88">
        <v>87</v>
      </c>
      <c r="B88" t="s">
        <v>90</v>
      </c>
      <c r="C88">
        <v>28</v>
      </c>
      <c r="D88" t="s">
        <v>10</v>
      </c>
      <c r="E88">
        <v>5</v>
      </c>
      <c r="F88" s="1">
        <v>46045</v>
      </c>
      <c r="G88" s="1">
        <v>46063</v>
      </c>
      <c r="H88">
        <v>6</v>
      </c>
      <c r="I88" s="3">
        <v>95623.039999999994</v>
      </c>
      <c r="J88" t="str">
        <f>VLOOKUP(H88,Diagnosis!$A:$B,2,FALSE)</f>
        <v>Kidney Disease</v>
      </c>
      <c r="K88" t="str">
        <f>VLOOKUP(H88,Outcome!A$2:$B$7,2,FALSE)</f>
        <v>Deceased</v>
      </c>
      <c r="L88">
        <f t="shared" si="2"/>
        <v>18</v>
      </c>
      <c r="M88" t="str">
        <f>IF(Labs!E88&gt;120,"High","Normal")</f>
        <v>High</v>
      </c>
      <c r="N88" t="str">
        <f t="shared" si="3"/>
        <v>High Risk</v>
      </c>
    </row>
    <row r="89" spans="1:14" x14ac:dyDescent="0.3">
      <c r="A89">
        <v>88</v>
      </c>
      <c r="B89" t="s">
        <v>91</v>
      </c>
      <c r="C89">
        <v>25</v>
      </c>
      <c r="D89" t="s">
        <v>10</v>
      </c>
      <c r="E89">
        <v>4</v>
      </c>
      <c r="F89" s="1">
        <v>45301</v>
      </c>
      <c r="G89" s="1">
        <v>45306</v>
      </c>
      <c r="H89">
        <v>1</v>
      </c>
      <c r="I89" s="3">
        <v>128173.28</v>
      </c>
      <c r="J89" t="str">
        <f>VLOOKUP(H89,Diagnosis!$A:$B,2,FALSE)</f>
        <v>Diabetes</v>
      </c>
      <c r="K89" t="str">
        <f>VLOOKUP(H89,Outcome!A$2:$B$7,2,FALSE)</f>
        <v>Recovered</v>
      </c>
      <c r="L89">
        <f t="shared" si="2"/>
        <v>5</v>
      </c>
      <c r="M89" t="str">
        <f>IF(Labs!E89&gt;120,"High","Normal")</f>
        <v>High</v>
      </c>
      <c r="N89" t="str">
        <f t="shared" si="3"/>
        <v>low risk</v>
      </c>
    </row>
    <row r="90" spans="1:14" x14ac:dyDescent="0.3">
      <c r="A90">
        <v>89</v>
      </c>
      <c r="B90" t="s">
        <v>92</v>
      </c>
      <c r="C90">
        <v>6</v>
      </c>
      <c r="D90" t="s">
        <v>17</v>
      </c>
      <c r="E90">
        <v>9</v>
      </c>
      <c r="F90" s="1">
        <v>45160</v>
      </c>
      <c r="G90" s="1">
        <v>45182</v>
      </c>
      <c r="H90">
        <v>5</v>
      </c>
      <c r="I90" s="3">
        <v>115721.86</v>
      </c>
      <c r="J90" t="str">
        <f>VLOOKUP(H90,Diagnosis!$A:$B,2,FALSE)</f>
        <v>Heart Disease</v>
      </c>
      <c r="K90" t="str">
        <f>VLOOKUP(H90,Outcome!A$2:$B$7,2,FALSE)</f>
        <v>Readmitted</v>
      </c>
      <c r="L90">
        <f t="shared" si="2"/>
        <v>22</v>
      </c>
      <c r="M90" t="str">
        <f>IF(Labs!E90&gt;120,"High","Normal")</f>
        <v>High</v>
      </c>
      <c r="N90" t="str">
        <f t="shared" si="3"/>
        <v>High Risk</v>
      </c>
    </row>
    <row r="91" spans="1:14" x14ac:dyDescent="0.3">
      <c r="A91">
        <v>90</v>
      </c>
      <c r="B91" t="s">
        <v>93</v>
      </c>
      <c r="C91">
        <v>2</v>
      </c>
      <c r="D91" t="s">
        <v>10</v>
      </c>
      <c r="E91">
        <v>8</v>
      </c>
      <c r="F91" s="1">
        <v>45542</v>
      </c>
      <c r="G91" s="1">
        <v>45556</v>
      </c>
      <c r="H91">
        <v>1</v>
      </c>
      <c r="I91" s="3">
        <v>173875.83</v>
      </c>
      <c r="J91" t="str">
        <f>VLOOKUP(H91,Diagnosis!$A:$B,2,FALSE)</f>
        <v>Diabetes</v>
      </c>
      <c r="K91" t="str">
        <f>VLOOKUP(H91,Outcome!A$2:$B$7,2,FALSE)</f>
        <v>Recovered</v>
      </c>
      <c r="L91">
        <f t="shared" si="2"/>
        <v>14</v>
      </c>
      <c r="M91" t="str">
        <f>IF(Labs!E91&gt;120,"High","Normal")</f>
        <v>High</v>
      </c>
      <c r="N91" t="str">
        <f t="shared" si="3"/>
        <v>low risk</v>
      </c>
    </row>
    <row r="92" spans="1:14" x14ac:dyDescent="0.3">
      <c r="A92">
        <v>91</v>
      </c>
      <c r="B92" t="s">
        <v>94</v>
      </c>
      <c r="C92">
        <v>15</v>
      </c>
      <c r="D92" t="s">
        <v>17</v>
      </c>
      <c r="E92">
        <v>7</v>
      </c>
      <c r="F92" s="1">
        <v>45569</v>
      </c>
      <c r="G92" s="1">
        <v>45571</v>
      </c>
      <c r="H92">
        <v>2</v>
      </c>
      <c r="I92" s="3">
        <v>124345.06</v>
      </c>
      <c r="J92" t="str">
        <f>VLOOKUP(H92,Diagnosis!$A:$B,2,FALSE)</f>
        <v>Hypertension</v>
      </c>
      <c r="K92" t="str">
        <f>VLOOKUP(H92,Outcome!A$2:$B$7,2,FALSE)</f>
        <v>Improved</v>
      </c>
      <c r="L92">
        <f t="shared" si="2"/>
        <v>2</v>
      </c>
      <c r="M92" t="str">
        <f>IF(Labs!E92&gt;120,"High","Normal")</f>
        <v>High</v>
      </c>
      <c r="N92" t="str">
        <f t="shared" si="3"/>
        <v>High Risk</v>
      </c>
    </row>
    <row r="93" spans="1:14" x14ac:dyDescent="0.3">
      <c r="A93">
        <v>92</v>
      </c>
      <c r="B93" t="s">
        <v>95</v>
      </c>
      <c r="C93">
        <v>73</v>
      </c>
      <c r="D93" t="s">
        <v>10</v>
      </c>
      <c r="E93">
        <v>2</v>
      </c>
      <c r="F93" s="1">
        <v>45070</v>
      </c>
      <c r="G93" s="1">
        <v>45073</v>
      </c>
      <c r="H93">
        <v>2</v>
      </c>
      <c r="I93" s="3">
        <v>76370.89</v>
      </c>
      <c r="J93" t="str">
        <f>VLOOKUP(H93,Diagnosis!$A:$B,2,FALSE)</f>
        <v>Hypertension</v>
      </c>
      <c r="K93" t="str">
        <f>VLOOKUP(H93,Outcome!A$2:$B$7,2,FALSE)</f>
        <v>Improved</v>
      </c>
      <c r="L93">
        <f t="shared" si="2"/>
        <v>3</v>
      </c>
      <c r="M93" t="str">
        <f>IF(Labs!E93&gt;120,"High","Normal")</f>
        <v>High</v>
      </c>
      <c r="N93" t="str">
        <f t="shared" si="3"/>
        <v>High Risk</v>
      </c>
    </row>
    <row r="94" spans="1:14" x14ac:dyDescent="0.3">
      <c r="A94">
        <v>93</v>
      </c>
      <c r="B94" t="s">
        <v>96</v>
      </c>
      <c r="C94">
        <v>29</v>
      </c>
      <c r="D94" t="s">
        <v>10</v>
      </c>
      <c r="E94">
        <v>8</v>
      </c>
      <c r="F94" s="1">
        <v>45468</v>
      </c>
      <c r="G94" s="1">
        <v>45477</v>
      </c>
      <c r="H94">
        <v>5</v>
      </c>
      <c r="I94" s="3">
        <v>178230.55</v>
      </c>
      <c r="J94" t="str">
        <f>VLOOKUP(H94,Diagnosis!$A:$B,2,FALSE)</f>
        <v>Heart Disease</v>
      </c>
      <c r="K94" t="str">
        <f>VLOOKUP(H94,Outcome!A$2:$B$7,2,FALSE)</f>
        <v>Readmitted</v>
      </c>
      <c r="L94">
        <f t="shared" si="2"/>
        <v>9</v>
      </c>
      <c r="M94" t="str">
        <f>IF(Labs!E94&gt;120,"High","Normal")</f>
        <v>High</v>
      </c>
      <c r="N94" t="str">
        <f t="shared" si="3"/>
        <v>High Risk</v>
      </c>
    </row>
    <row r="95" spans="1:14" x14ac:dyDescent="0.3">
      <c r="A95">
        <v>94</v>
      </c>
      <c r="B95" t="s">
        <v>97</v>
      </c>
      <c r="C95">
        <v>80</v>
      </c>
      <c r="D95" t="s">
        <v>17</v>
      </c>
      <c r="E95">
        <v>10</v>
      </c>
      <c r="F95" s="1">
        <v>46077</v>
      </c>
      <c r="G95" s="1">
        <v>46080</v>
      </c>
      <c r="H95">
        <v>5</v>
      </c>
      <c r="I95" s="3">
        <v>39382.35</v>
      </c>
      <c r="J95" t="str">
        <f>VLOOKUP(H95,Diagnosis!$A:$B,2,FALSE)</f>
        <v>Heart Disease</v>
      </c>
      <c r="K95" t="str">
        <f>VLOOKUP(H95,Outcome!A$2:$B$7,2,FALSE)</f>
        <v>Readmitted</v>
      </c>
      <c r="L95">
        <f t="shared" si="2"/>
        <v>3</v>
      </c>
      <c r="M95" t="str">
        <f>IF(Labs!E95&gt;120,"High","Normal")</f>
        <v>High</v>
      </c>
      <c r="N95" t="str">
        <f t="shared" si="3"/>
        <v>High Risk</v>
      </c>
    </row>
    <row r="96" spans="1:14" x14ac:dyDescent="0.3">
      <c r="A96">
        <v>95</v>
      </c>
      <c r="B96" t="s">
        <v>98</v>
      </c>
      <c r="C96">
        <v>85</v>
      </c>
      <c r="D96" t="s">
        <v>17</v>
      </c>
      <c r="E96">
        <v>3</v>
      </c>
      <c r="F96" s="1">
        <v>45053</v>
      </c>
      <c r="G96" s="1">
        <v>45058</v>
      </c>
      <c r="H96">
        <v>2</v>
      </c>
      <c r="I96" s="3">
        <v>30284.54</v>
      </c>
      <c r="J96" t="str">
        <f>VLOOKUP(H96,Diagnosis!$A:$B,2,FALSE)</f>
        <v>Hypertension</v>
      </c>
      <c r="K96" t="str">
        <f>VLOOKUP(H96,Outcome!A$2:$B$7,2,FALSE)</f>
        <v>Improved</v>
      </c>
      <c r="L96">
        <f t="shared" si="2"/>
        <v>5</v>
      </c>
      <c r="M96" t="str">
        <f>IF(Labs!E96&gt;120,"High","Normal")</f>
        <v>High</v>
      </c>
      <c r="N96" t="str">
        <f t="shared" si="3"/>
        <v>High Risk</v>
      </c>
    </row>
    <row r="97" spans="1:14" x14ac:dyDescent="0.3">
      <c r="A97">
        <v>96</v>
      </c>
      <c r="B97" t="s">
        <v>99</v>
      </c>
      <c r="C97">
        <v>89</v>
      </c>
      <c r="D97" t="s">
        <v>10</v>
      </c>
      <c r="E97">
        <v>5</v>
      </c>
      <c r="F97" s="1">
        <v>44628</v>
      </c>
      <c r="G97" s="1">
        <v>44635</v>
      </c>
      <c r="H97">
        <v>1</v>
      </c>
      <c r="I97" s="3">
        <v>52682.51</v>
      </c>
      <c r="J97" t="str">
        <f>VLOOKUP(H97,Diagnosis!$A:$B,2,FALSE)</f>
        <v>Diabetes</v>
      </c>
      <c r="K97" t="str">
        <f>VLOOKUP(H97,Outcome!A$2:$B$7,2,FALSE)</f>
        <v>Recovered</v>
      </c>
      <c r="L97">
        <f t="shared" si="2"/>
        <v>7</v>
      </c>
      <c r="M97" t="str">
        <f>IF(Labs!E97&gt;120,"High","Normal")</f>
        <v>High</v>
      </c>
      <c r="N97" t="str">
        <f t="shared" si="3"/>
        <v>High Risk</v>
      </c>
    </row>
    <row r="98" spans="1:14" x14ac:dyDescent="0.3">
      <c r="A98">
        <v>97</v>
      </c>
      <c r="B98" t="s">
        <v>100</v>
      </c>
      <c r="C98">
        <v>88</v>
      </c>
      <c r="D98" t="s">
        <v>17</v>
      </c>
      <c r="E98">
        <v>5</v>
      </c>
      <c r="F98" s="1">
        <v>46175</v>
      </c>
      <c r="G98" s="1">
        <v>46200</v>
      </c>
      <c r="H98">
        <v>2</v>
      </c>
      <c r="I98" s="3">
        <v>119859.99</v>
      </c>
      <c r="J98" t="str">
        <f>VLOOKUP(H98,Diagnosis!$A:$B,2,FALSE)</f>
        <v>Hypertension</v>
      </c>
      <c r="K98" t="str">
        <f>VLOOKUP(H98,Outcome!A$2:$B$7,2,FALSE)</f>
        <v>Improved</v>
      </c>
      <c r="L98">
        <f t="shared" si="2"/>
        <v>25</v>
      </c>
      <c r="M98" t="str">
        <f>IF(Labs!E98&gt;120,"High","Normal")</f>
        <v>High</v>
      </c>
      <c r="N98" t="str">
        <f t="shared" si="3"/>
        <v>High Risk</v>
      </c>
    </row>
    <row r="99" spans="1:14" x14ac:dyDescent="0.3">
      <c r="A99">
        <v>98</v>
      </c>
      <c r="B99" t="s">
        <v>101</v>
      </c>
      <c r="C99">
        <v>15</v>
      </c>
      <c r="D99" t="s">
        <v>17</v>
      </c>
      <c r="E99">
        <v>3</v>
      </c>
      <c r="F99" s="1">
        <v>45106</v>
      </c>
      <c r="G99" s="1">
        <v>45132</v>
      </c>
      <c r="H99">
        <v>1</v>
      </c>
      <c r="I99" s="3">
        <v>13085.75</v>
      </c>
      <c r="J99" t="str">
        <f>VLOOKUP(H99,Diagnosis!$A:$B,2,FALSE)</f>
        <v>Diabetes</v>
      </c>
      <c r="K99" t="str">
        <f>VLOOKUP(H99,Outcome!A$2:$B$7,2,FALSE)</f>
        <v>Recovered</v>
      </c>
      <c r="L99">
        <f t="shared" si="2"/>
        <v>26</v>
      </c>
      <c r="M99" t="str">
        <f>IF(Labs!E99&gt;120,"High","Normal")</f>
        <v>High</v>
      </c>
      <c r="N99" t="str">
        <f t="shared" si="3"/>
        <v>low risk</v>
      </c>
    </row>
    <row r="100" spans="1:14" x14ac:dyDescent="0.3">
      <c r="A100">
        <v>99</v>
      </c>
      <c r="B100" t="s">
        <v>102</v>
      </c>
      <c r="C100">
        <v>73</v>
      </c>
      <c r="D100" t="s">
        <v>10</v>
      </c>
      <c r="E100">
        <v>8</v>
      </c>
      <c r="F100" s="1">
        <v>44816</v>
      </c>
      <c r="G100" s="1">
        <v>44830</v>
      </c>
      <c r="H100">
        <v>3</v>
      </c>
      <c r="I100" s="3">
        <v>126702.73</v>
      </c>
      <c r="J100" t="str">
        <f>VLOOKUP(H100,Diagnosis!$A:$B,2,FALSE)</f>
        <v>Asthma</v>
      </c>
      <c r="K100" t="str">
        <f>VLOOKUP(H100,Outcome!A$2:$B$7,2,FALSE)</f>
        <v>Ongoing Treatment</v>
      </c>
      <c r="L100">
        <f t="shared" si="2"/>
        <v>14</v>
      </c>
      <c r="M100" t="str">
        <f>IF(Labs!E100&gt;120,"High","Normal")</f>
        <v>High</v>
      </c>
      <c r="N100" t="str">
        <f t="shared" si="3"/>
        <v>High Risk</v>
      </c>
    </row>
    <row r="101" spans="1:14" x14ac:dyDescent="0.3">
      <c r="A101">
        <v>100</v>
      </c>
      <c r="B101" t="s">
        <v>103</v>
      </c>
      <c r="C101">
        <v>70</v>
      </c>
      <c r="D101" t="s">
        <v>10</v>
      </c>
      <c r="E101">
        <v>8</v>
      </c>
      <c r="F101" s="1">
        <v>44726</v>
      </c>
      <c r="G101" s="1">
        <v>44745</v>
      </c>
      <c r="H101">
        <v>1</v>
      </c>
      <c r="I101" s="3">
        <v>79185.09</v>
      </c>
      <c r="J101" t="str">
        <f>VLOOKUP(H101,Diagnosis!$A:$B,2,FALSE)</f>
        <v>Diabetes</v>
      </c>
      <c r="K101" t="str">
        <f>VLOOKUP(H101,Outcome!A$2:$B$7,2,FALSE)</f>
        <v>Recovered</v>
      </c>
      <c r="L101">
        <f t="shared" si="2"/>
        <v>19</v>
      </c>
      <c r="M101" t="str">
        <f>IF(Labs!E101&gt;120,"High","Normal")</f>
        <v>High</v>
      </c>
      <c r="N101" t="str">
        <f t="shared" si="3"/>
        <v>High Risk</v>
      </c>
    </row>
    <row r="102" spans="1:14" x14ac:dyDescent="0.3">
      <c r="A102">
        <v>101</v>
      </c>
      <c r="B102" t="s">
        <v>104</v>
      </c>
      <c r="C102">
        <v>33</v>
      </c>
      <c r="D102" t="s">
        <v>17</v>
      </c>
      <c r="E102">
        <v>2</v>
      </c>
      <c r="F102" s="1">
        <v>45030</v>
      </c>
      <c r="G102" s="1">
        <v>45060</v>
      </c>
      <c r="H102">
        <v>3</v>
      </c>
      <c r="I102" s="3">
        <v>155241.74</v>
      </c>
      <c r="J102" t="str">
        <f>VLOOKUP(H102,Diagnosis!$A:$B,2,FALSE)</f>
        <v>Asthma</v>
      </c>
      <c r="K102" t="str">
        <f>VLOOKUP(H102,Outcome!A$2:$B$7,2,FALSE)</f>
        <v>Ongoing Treatment</v>
      </c>
      <c r="L102">
        <f t="shared" si="2"/>
        <v>30</v>
      </c>
      <c r="M102" t="str">
        <f>IF(Labs!E102&gt;120,"High","Normal")</f>
        <v>High</v>
      </c>
      <c r="N102" t="str">
        <f t="shared" si="3"/>
        <v>High Risk</v>
      </c>
    </row>
    <row r="103" spans="1:14" x14ac:dyDescent="0.3">
      <c r="A103">
        <v>102</v>
      </c>
      <c r="B103" t="s">
        <v>105</v>
      </c>
      <c r="C103">
        <v>87</v>
      </c>
      <c r="D103" t="s">
        <v>10</v>
      </c>
      <c r="E103">
        <v>10</v>
      </c>
      <c r="F103" s="1">
        <v>44644</v>
      </c>
      <c r="G103" s="1">
        <v>44668</v>
      </c>
      <c r="H103">
        <v>3</v>
      </c>
      <c r="I103" s="3">
        <v>86013.9</v>
      </c>
      <c r="J103" t="str">
        <f>VLOOKUP(H103,Diagnosis!$A:$B,2,FALSE)</f>
        <v>Asthma</v>
      </c>
      <c r="K103" t="str">
        <f>VLOOKUP(H103,Outcome!A$2:$B$7,2,FALSE)</f>
        <v>Ongoing Treatment</v>
      </c>
      <c r="L103">
        <f t="shared" si="2"/>
        <v>24</v>
      </c>
      <c r="M103" t="str">
        <f>IF(Labs!E103&gt;120,"High","Normal")</f>
        <v>High</v>
      </c>
      <c r="N103" t="str">
        <f t="shared" si="3"/>
        <v>High Risk</v>
      </c>
    </row>
    <row r="104" spans="1:14" x14ac:dyDescent="0.3">
      <c r="A104">
        <v>103</v>
      </c>
      <c r="B104" t="s">
        <v>68</v>
      </c>
      <c r="C104">
        <v>24</v>
      </c>
      <c r="D104" t="s">
        <v>10</v>
      </c>
      <c r="E104">
        <v>8</v>
      </c>
      <c r="F104" s="1">
        <v>44748</v>
      </c>
      <c r="G104" s="1">
        <v>44763</v>
      </c>
      <c r="H104">
        <v>1</v>
      </c>
      <c r="I104" s="3">
        <v>61662.239999999998</v>
      </c>
      <c r="J104" t="str">
        <f>VLOOKUP(H104,Diagnosis!$A:$B,2,FALSE)</f>
        <v>Diabetes</v>
      </c>
      <c r="K104" t="str">
        <f>VLOOKUP(H104,Outcome!A$2:$B$7,2,FALSE)</f>
        <v>Recovered</v>
      </c>
      <c r="L104">
        <f t="shared" si="2"/>
        <v>15</v>
      </c>
      <c r="M104" t="str">
        <f>IF(Labs!E104&gt;120,"High","Normal")</f>
        <v>High</v>
      </c>
      <c r="N104" t="str">
        <f t="shared" si="3"/>
        <v>low risk</v>
      </c>
    </row>
    <row r="105" spans="1:14" x14ac:dyDescent="0.3">
      <c r="A105">
        <v>104</v>
      </c>
      <c r="B105" t="s">
        <v>106</v>
      </c>
      <c r="C105">
        <v>43</v>
      </c>
      <c r="D105" t="s">
        <v>10</v>
      </c>
      <c r="E105">
        <v>8</v>
      </c>
      <c r="F105" s="1">
        <v>45152</v>
      </c>
      <c r="G105" s="1">
        <v>45173</v>
      </c>
      <c r="H105">
        <v>5</v>
      </c>
      <c r="I105" s="3">
        <v>146907.97</v>
      </c>
      <c r="J105" t="str">
        <f>VLOOKUP(H105,Diagnosis!$A:$B,2,FALSE)</f>
        <v>Heart Disease</v>
      </c>
      <c r="K105" t="str">
        <f>VLOOKUP(H105,Outcome!A$2:$B$7,2,FALSE)</f>
        <v>Readmitted</v>
      </c>
      <c r="L105">
        <f t="shared" si="2"/>
        <v>21</v>
      </c>
      <c r="M105" t="str">
        <f>IF(Labs!E105&gt;120,"High","Normal")</f>
        <v>High</v>
      </c>
      <c r="N105" t="str">
        <f t="shared" si="3"/>
        <v>High Risk</v>
      </c>
    </row>
    <row r="106" spans="1:14" x14ac:dyDescent="0.3">
      <c r="A106">
        <v>105</v>
      </c>
      <c r="B106" t="s">
        <v>107</v>
      </c>
      <c r="C106">
        <v>59</v>
      </c>
      <c r="D106" t="s">
        <v>17</v>
      </c>
      <c r="E106">
        <v>6</v>
      </c>
      <c r="F106" s="1">
        <v>45078</v>
      </c>
      <c r="G106" s="1">
        <v>45088</v>
      </c>
      <c r="H106">
        <v>1</v>
      </c>
      <c r="I106" s="3">
        <v>139627.26</v>
      </c>
      <c r="J106" t="str">
        <f>VLOOKUP(H106,Diagnosis!$A:$B,2,FALSE)</f>
        <v>Diabetes</v>
      </c>
      <c r="K106" t="str">
        <f>VLOOKUP(H106,Outcome!A$2:$B$7,2,FALSE)</f>
        <v>Recovered</v>
      </c>
      <c r="L106">
        <f t="shared" si="2"/>
        <v>10</v>
      </c>
      <c r="M106" t="str">
        <f>IF(Labs!E106&gt;120,"High","Normal")</f>
        <v>High</v>
      </c>
      <c r="N106" t="str">
        <f t="shared" si="3"/>
        <v>low risk</v>
      </c>
    </row>
    <row r="107" spans="1:14" x14ac:dyDescent="0.3">
      <c r="A107">
        <v>106</v>
      </c>
      <c r="B107" t="s">
        <v>108</v>
      </c>
      <c r="C107">
        <v>85</v>
      </c>
      <c r="D107" t="s">
        <v>10</v>
      </c>
      <c r="E107">
        <v>7</v>
      </c>
      <c r="F107" s="1">
        <v>44673</v>
      </c>
      <c r="G107" s="1">
        <v>44679</v>
      </c>
      <c r="H107">
        <v>2</v>
      </c>
      <c r="I107" s="3">
        <v>113017.51</v>
      </c>
      <c r="J107" t="str">
        <f>VLOOKUP(H107,Diagnosis!$A:$B,2,FALSE)</f>
        <v>Hypertension</v>
      </c>
      <c r="K107" t="str">
        <f>VLOOKUP(H107,Outcome!A$2:$B$7,2,FALSE)</f>
        <v>Improved</v>
      </c>
      <c r="L107">
        <f t="shared" si="2"/>
        <v>6</v>
      </c>
      <c r="M107" t="str">
        <f>IF(Labs!E107&gt;120,"High","Normal")</f>
        <v>High</v>
      </c>
      <c r="N107" t="str">
        <f t="shared" si="3"/>
        <v>High Risk</v>
      </c>
    </row>
    <row r="108" spans="1:14" x14ac:dyDescent="0.3">
      <c r="A108">
        <v>107</v>
      </c>
      <c r="B108" t="s">
        <v>87</v>
      </c>
      <c r="C108">
        <v>7</v>
      </c>
      <c r="D108" t="s">
        <v>17</v>
      </c>
      <c r="E108">
        <v>5</v>
      </c>
      <c r="F108" s="1">
        <v>45686</v>
      </c>
      <c r="G108" s="1">
        <v>45690</v>
      </c>
      <c r="H108">
        <v>5</v>
      </c>
      <c r="I108" s="3">
        <v>80265.61</v>
      </c>
      <c r="J108" t="str">
        <f>VLOOKUP(H108,Diagnosis!$A:$B,2,FALSE)</f>
        <v>Heart Disease</v>
      </c>
      <c r="K108" t="str">
        <f>VLOOKUP(H108,Outcome!A$2:$B$7,2,FALSE)</f>
        <v>Readmitted</v>
      </c>
      <c r="L108">
        <f t="shared" si="2"/>
        <v>4</v>
      </c>
      <c r="M108" t="str">
        <f>IF(Labs!E108&gt;120,"High","Normal")</f>
        <v>High</v>
      </c>
      <c r="N108" t="str">
        <f t="shared" si="3"/>
        <v>High Risk</v>
      </c>
    </row>
    <row r="109" spans="1:14" x14ac:dyDescent="0.3">
      <c r="A109">
        <v>108</v>
      </c>
      <c r="B109" t="s">
        <v>93</v>
      </c>
      <c r="C109">
        <v>4</v>
      </c>
      <c r="D109" t="s">
        <v>17</v>
      </c>
      <c r="E109">
        <v>3</v>
      </c>
      <c r="F109" s="1">
        <v>45198</v>
      </c>
      <c r="G109" s="1">
        <v>45215</v>
      </c>
      <c r="H109">
        <v>1</v>
      </c>
      <c r="I109" s="3">
        <v>74918.350000000006</v>
      </c>
      <c r="J109" t="str">
        <f>VLOOKUP(H109,Diagnosis!$A:$B,2,FALSE)</f>
        <v>Diabetes</v>
      </c>
      <c r="K109" t="str">
        <f>VLOOKUP(H109,Outcome!A$2:$B$7,2,FALSE)</f>
        <v>Recovered</v>
      </c>
      <c r="L109">
        <f t="shared" si="2"/>
        <v>17</v>
      </c>
      <c r="M109" t="str">
        <f>IF(Labs!E109&gt;120,"High","Normal")</f>
        <v>High</v>
      </c>
      <c r="N109" t="str">
        <f t="shared" si="3"/>
        <v>low risk</v>
      </c>
    </row>
    <row r="110" spans="1:14" x14ac:dyDescent="0.3">
      <c r="A110">
        <v>109</v>
      </c>
      <c r="B110" t="s">
        <v>109</v>
      </c>
      <c r="C110">
        <v>60</v>
      </c>
      <c r="D110" t="s">
        <v>17</v>
      </c>
      <c r="E110">
        <v>3</v>
      </c>
      <c r="F110" s="1">
        <v>45582</v>
      </c>
      <c r="G110" s="1">
        <v>45611</v>
      </c>
      <c r="H110">
        <v>3</v>
      </c>
      <c r="I110" s="3">
        <v>92824.78</v>
      </c>
      <c r="J110" t="str">
        <f>VLOOKUP(H110,Diagnosis!$A:$B,2,FALSE)</f>
        <v>Asthma</v>
      </c>
      <c r="K110" t="str">
        <f>VLOOKUP(H110,Outcome!A$2:$B$7,2,FALSE)</f>
        <v>Ongoing Treatment</v>
      </c>
      <c r="L110">
        <f t="shared" si="2"/>
        <v>29</v>
      </c>
      <c r="M110" t="str">
        <f>IF(Labs!E110&gt;120,"High","Normal")</f>
        <v>High</v>
      </c>
      <c r="N110" t="str">
        <f t="shared" si="3"/>
        <v>High Risk</v>
      </c>
    </row>
    <row r="111" spans="1:14" x14ac:dyDescent="0.3">
      <c r="A111">
        <v>110</v>
      </c>
      <c r="B111" t="s">
        <v>75</v>
      </c>
      <c r="C111">
        <v>62</v>
      </c>
      <c r="D111" t="s">
        <v>10</v>
      </c>
      <c r="E111">
        <v>4</v>
      </c>
      <c r="F111" s="1">
        <v>45497</v>
      </c>
      <c r="G111" s="1">
        <v>45514</v>
      </c>
      <c r="H111">
        <v>1</v>
      </c>
      <c r="I111" s="3">
        <v>36333.339999999997</v>
      </c>
      <c r="J111" t="str">
        <f>VLOOKUP(H111,Diagnosis!$A:$B,2,FALSE)</f>
        <v>Diabetes</v>
      </c>
      <c r="K111" t="str">
        <f>VLOOKUP(H111,Outcome!A$2:$B$7,2,FALSE)</f>
        <v>Recovered</v>
      </c>
      <c r="L111">
        <f t="shared" si="2"/>
        <v>17</v>
      </c>
      <c r="M111" t="str">
        <f>IF(Labs!E111&gt;120,"High","Normal")</f>
        <v>High</v>
      </c>
      <c r="N111" t="str">
        <f t="shared" si="3"/>
        <v>low risk</v>
      </c>
    </row>
    <row r="112" spans="1:14" x14ac:dyDescent="0.3">
      <c r="A112">
        <v>111</v>
      </c>
      <c r="B112" t="s">
        <v>110</v>
      </c>
      <c r="C112">
        <v>18</v>
      </c>
      <c r="D112" t="s">
        <v>17</v>
      </c>
      <c r="E112">
        <v>5</v>
      </c>
      <c r="F112" s="1">
        <v>46144</v>
      </c>
      <c r="G112" s="1">
        <v>46169</v>
      </c>
      <c r="H112">
        <v>5</v>
      </c>
      <c r="I112" s="3">
        <v>62827.86</v>
      </c>
      <c r="J112" t="str">
        <f>VLOOKUP(H112,Diagnosis!$A:$B,2,FALSE)</f>
        <v>Heart Disease</v>
      </c>
      <c r="K112" t="str">
        <f>VLOOKUP(H112,Outcome!A$2:$B$7,2,FALSE)</f>
        <v>Readmitted</v>
      </c>
      <c r="L112">
        <f t="shared" si="2"/>
        <v>25</v>
      </c>
      <c r="M112" t="str">
        <f>IF(Labs!E112&gt;120,"High","Normal")</f>
        <v>High</v>
      </c>
      <c r="N112" t="str">
        <f t="shared" si="3"/>
        <v>High Risk</v>
      </c>
    </row>
    <row r="113" spans="1:14" x14ac:dyDescent="0.3">
      <c r="A113">
        <v>112</v>
      </c>
      <c r="B113" t="s">
        <v>111</v>
      </c>
      <c r="C113">
        <v>1</v>
      </c>
      <c r="D113" t="s">
        <v>10</v>
      </c>
      <c r="E113">
        <v>5</v>
      </c>
      <c r="F113" s="1">
        <v>46277</v>
      </c>
      <c r="G113" s="1">
        <v>46295</v>
      </c>
      <c r="H113">
        <v>2</v>
      </c>
      <c r="I113" s="3">
        <v>119639.48</v>
      </c>
      <c r="J113" t="str">
        <f>VLOOKUP(H113,Diagnosis!$A:$B,2,FALSE)</f>
        <v>Hypertension</v>
      </c>
      <c r="K113" t="str">
        <f>VLOOKUP(H113,Outcome!A$2:$B$7,2,FALSE)</f>
        <v>Improved</v>
      </c>
      <c r="L113">
        <f t="shared" si="2"/>
        <v>18</v>
      </c>
      <c r="M113" t="str">
        <f>IF(Labs!E113&gt;120,"High","Normal")</f>
        <v>High</v>
      </c>
      <c r="N113" t="str">
        <f t="shared" si="3"/>
        <v>High Risk</v>
      </c>
    </row>
    <row r="114" spans="1:14" x14ac:dyDescent="0.3">
      <c r="A114">
        <v>113</v>
      </c>
      <c r="B114" t="s">
        <v>112</v>
      </c>
      <c r="C114">
        <v>69</v>
      </c>
      <c r="D114" t="s">
        <v>10</v>
      </c>
      <c r="E114">
        <v>6</v>
      </c>
      <c r="F114" s="1">
        <v>45242</v>
      </c>
      <c r="G114" s="1">
        <v>45259</v>
      </c>
      <c r="H114">
        <v>3</v>
      </c>
      <c r="I114" s="3">
        <v>69454.78</v>
      </c>
      <c r="J114" t="str">
        <f>VLOOKUP(H114,Diagnosis!$A:$B,2,FALSE)</f>
        <v>Asthma</v>
      </c>
      <c r="K114" t="str">
        <f>VLOOKUP(H114,Outcome!A$2:$B$7,2,FALSE)</f>
        <v>Ongoing Treatment</v>
      </c>
      <c r="L114">
        <f t="shared" si="2"/>
        <v>17</v>
      </c>
      <c r="M114" t="str">
        <f>IF(Labs!E114&gt;120,"High","Normal")</f>
        <v>High</v>
      </c>
      <c r="N114" t="str">
        <f t="shared" si="3"/>
        <v>High Risk</v>
      </c>
    </row>
    <row r="115" spans="1:14" x14ac:dyDescent="0.3">
      <c r="A115">
        <v>114</v>
      </c>
      <c r="B115" t="s">
        <v>113</v>
      </c>
      <c r="C115">
        <v>90</v>
      </c>
      <c r="D115" t="s">
        <v>17</v>
      </c>
      <c r="E115">
        <v>10</v>
      </c>
      <c r="F115" s="1">
        <v>45346</v>
      </c>
      <c r="G115" s="1">
        <v>45353</v>
      </c>
      <c r="H115">
        <v>5</v>
      </c>
      <c r="I115" s="3">
        <v>75412.58</v>
      </c>
      <c r="J115" t="str">
        <f>VLOOKUP(H115,Diagnosis!$A:$B,2,FALSE)</f>
        <v>Heart Disease</v>
      </c>
      <c r="K115" t="str">
        <f>VLOOKUP(H115,Outcome!A$2:$B$7,2,FALSE)</f>
        <v>Readmitted</v>
      </c>
      <c r="L115">
        <f t="shared" si="2"/>
        <v>7</v>
      </c>
      <c r="M115" t="str">
        <f>IF(Labs!E115&gt;120,"High","Normal")</f>
        <v>High</v>
      </c>
      <c r="N115" t="str">
        <f t="shared" si="3"/>
        <v>High Risk</v>
      </c>
    </row>
    <row r="116" spans="1:14" x14ac:dyDescent="0.3">
      <c r="A116">
        <v>115</v>
      </c>
      <c r="B116" t="s">
        <v>114</v>
      </c>
      <c r="C116">
        <v>91</v>
      </c>
      <c r="D116" t="s">
        <v>10</v>
      </c>
      <c r="E116">
        <v>7</v>
      </c>
      <c r="F116" s="1">
        <v>45921</v>
      </c>
      <c r="G116" s="1">
        <v>45946</v>
      </c>
      <c r="H116">
        <v>4</v>
      </c>
      <c r="I116" s="3">
        <v>176595.22</v>
      </c>
      <c r="J116" t="str">
        <f>VLOOKUP(H116,Diagnosis!$A:$B,2,FALSE)</f>
        <v>Pneumonia</v>
      </c>
      <c r="K116" t="str">
        <f>VLOOKUP(H116,Outcome!A$2:$B$7,2,FALSE)</f>
        <v>Referred</v>
      </c>
      <c r="L116">
        <f t="shared" si="2"/>
        <v>25</v>
      </c>
      <c r="M116" t="str">
        <f>IF(Labs!E116&gt;120,"High","Normal")</f>
        <v>High</v>
      </c>
      <c r="N116" t="str">
        <f t="shared" si="3"/>
        <v>High Risk</v>
      </c>
    </row>
    <row r="117" spans="1:14" x14ac:dyDescent="0.3">
      <c r="A117">
        <v>116</v>
      </c>
      <c r="B117" t="s">
        <v>115</v>
      </c>
      <c r="C117">
        <v>17</v>
      </c>
      <c r="D117" t="s">
        <v>10</v>
      </c>
      <c r="E117">
        <v>2</v>
      </c>
      <c r="F117" s="1">
        <v>46292</v>
      </c>
      <c r="G117" s="1">
        <v>46306</v>
      </c>
      <c r="H117">
        <v>1</v>
      </c>
      <c r="I117" s="3">
        <v>164103.4</v>
      </c>
      <c r="J117" t="str">
        <f>VLOOKUP(H117,Diagnosis!$A:$B,2,FALSE)</f>
        <v>Diabetes</v>
      </c>
      <c r="K117" t="str">
        <f>VLOOKUP(H117,Outcome!A$2:$B$7,2,FALSE)</f>
        <v>Recovered</v>
      </c>
      <c r="L117">
        <f t="shared" si="2"/>
        <v>14</v>
      </c>
      <c r="M117" t="str">
        <f>IF(Labs!E117&gt;120,"High","Normal")</f>
        <v>High</v>
      </c>
      <c r="N117" t="str">
        <f t="shared" si="3"/>
        <v>low risk</v>
      </c>
    </row>
    <row r="118" spans="1:14" x14ac:dyDescent="0.3">
      <c r="A118">
        <v>117</v>
      </c>
      <c r="B118" t="s">
        <v>116</v>
      </c>
      <c r="C118">
        <v>53</v>
      </c>
      <c r="D118" t="s">
        <v>17</v>
      </c>
      <c r="E118">
        <v>2</v>
      </c>
      <c r="F118" s="1">
        <v>45523</v>
      </c>
      <c r="G118" s="1">
        <v>45548</v>
      </c>
      <c r="H118">
        <v>6</v>
      </c>
      <c r="I118" s="3">
        <v>62594.62</v>
      </c>
      <c r="J118" t="str">
        <f>VLOOKUP(H118,Diagnosis!$A:$B,2,FALSE)</f>
        <v>Kidney Disease</v>
      </c>
      <c r="K118" t="str">
        <f>VLOOKUP(H118,Outcome!A$2:$B$7,2,FALSE)</f>
        <v>Deceased</v>
      </c>
      <c r="L118">
        <f t="shared" si="2"/>
        <v>25</v>
      </c>
      <c r="M118" t="str">
        <f>IF(Labs!E118&gt;120,"High","Normal")</f>
        <v>High</v>
      </c>
      <c r="N118" t="str">
        <f t="shared" si="3"/>
        <v>High Risk</v>
      </c>
    </row>
    <row r="119" spans="1:14" x14ac:dyDescent="0.3">
      <c r="A119">
        <v>118</v>
      </c>
      <c r="B119" t="s">
        <v>117</v>
      </c>
      <c r="C119">
        <v>43</v>
      </c>
      <c r="D119" t="s">
        <v>10</v>
      </c>
      <c r="E119">
        <v>6</v>
      </c>
      <c r="F119" s="1">
        <v>45845</v>
      </c>
      <c r="G119" s="1">
        <v>45867</v>
      </c>
      <c r="H119">
        <v>5</v>
      </c>
      <c r="I119" s="3">
        <v>89110.68</v>
      </c>
      <c r="J119" t="str">
        <f>VLOOKUP(H119,Diagnosis!$A:$B,2,FALSE)</f>
        <v>Heart Disease</v>
      </c>
      <c r="K119" t="str">
        <f>VLOOKUP(H119,Outcome!A$2:$B$7,2,FALSE)</f>
        <v>Readmitted</v>
      </c>
      <c r="L119">
        <f t="shared" si="2"/>
        <v>22</v>
      </c>
      <c r="M119" t="str">
        <f>IF(Labs!E119&gt;120,"High","Normal")</f>
        <v>High</v>
      </c>
      <c r="N119" t="str">
        <f t="shared" si="3"/>
        <v>High Risk</v>
      </c>
    </row>
    <row r="120" spans="1:14" x14ac:dyDescent="0.3">
      <c r="A120">
        <v>119</v>
      </c>
      <c r="B120" t="s">
        <v>41</v>
      </c>
      <c r="C120">
        <v>80</v>
      </c>
      <c r="D120" t="s">
        <v>17</v>
      </c>
      <c r="E120">
        <v>4</v>
      </c>
      <c r="F120" s="1">
        <v>45854</v>
      </c>
      <c r="G120" s="1">
        <v>45875</v>
      </c>
      <c r="H120">
        <v>5</v>
      </c>
      <c r="I120" s="3">
        <v>179543.1</v>
      </c>
      <c r="J120" t="str">
        <f>VLOOKUP(H120,Diagnosis!$A:$B,2,FALSE)</f>
        <v>Heart Disease</v>
      </c>
      <c r="K120" t="str">
        <f>VLOOKUP(H120,Outcome!A$2:$B$7,2,FALSE)</f>
        <v>Readmitted</v>
      </c>
      <c r="L120">
        <f t="shared" si="2"/>
        <v>21</v>
      </c>
      <c r="M120" t="str">
        <f>IF(Labs!E120&gt;120,"High","Normal")</f>
        <v>High</v>
      </c>
      <c r="N120" t="str">
        <f t="shared" si="3"/>
        <v>High Risk</v>
      </c>
    </row>
    <row r="121" spans="1:14" x14ac:dyDescent="0.3">
      <c r="A121">
        <v>120</v>
      </c>
      <c r="B121" t="s">
        <v>118</v>
      </c>
      <c r="C121">
        <v>13</v>
      </c>
      <c r="D121" t="s">
        <v>17</v>
      </c>
      <c r="E121">
        <v>8</v>
      </c>
      <c r="F121" s="1">
        <v>44902</v>
      </c>
      <c r="G121" s="1">
        <v>44924</v>
      </c>
      <c r="H121">
        <v>1</v>
      </c>
      <c r="I121" s="3">
        <v>7638.14</v>
      </c>
      <c r="J121" t="str">
        <f>VLOOKUP(H121,Diagnosis!$A:$B,2,FALSE)</f>
        <v>Diabetes</v>
      </c>
      <c r="K121" t="str">
        <f>VLOOKUP(H121,Outcome!A$2:$B$7,2,FALSE)</f>
        <v>Recovered</v>
      </c>
      <c r="L121">
        <f t="shared" si="2"/>
        <v>22</v>
      </c>
      <c r="M121" t="str">
        <f>IF(Labs!E121&gt;120,"High","Normal")</f>
        <v>High</v>
      </c>
      <c r="N121" t="str">
        <f t="shared" si="3"/>
        <v>low risk</v>
      </c>
    </row>
    <row r="122" spans="1:14" x14ac:dyDescent="0.3">
      <c r="A122">
        <v>121</v>
      </c>
      <c r="B122" t="s">
        <v>119</v>
      </c>
      <c r="C122">
        <v>38</v>
      </c>
      <c r="D122" t="s">
        <v>10</v>
      </c>
      <c r="E122">
        <v>6</v>
      </c>
      <c r="F122" s="1">
        <v>45444</v>
      </c>
      <c r="G122" s="1">
        <v>45448</v>
      </c>
      <c r="H122">
        <v>1</v>
      </c>
      <c r="I122" s="3">
        <v>75639.19</v>
      </c>
      <c r="J122" t="str">
        <f>VLOOKUP(H122,Diagnosis!$A:$B,2,FALSE)</f>
        <v>Diabetes</v>
      </c>
      <c r="K122" t="str">
        <f>VLOOKUP(H122,Outcome!A$2:$B$7,2,FALSE)</f>
        <v>Recovered</v>
      </c>
      <c r="L122">
        <f t="shared" si="2"/>
        <v>4</v>
      </c>
      <c r="M122" t="str">
        <f>IF(Labs!E122&gt;120,"High","Normal")</f>
        <v>High</v>
      </c>
      <c r="N122" t="str">
        <f t="shared" si="3"/>
        <v>low risk</v>
      </c>
    </row>
    <row r="123" spans="1:14" x14ac:dyDescent="0.3">
      <c r="A123">
        <v>122</v>
      </c>
      <c r="B123" t="s">
        <v>120</v>
      </c>
      <c r="C123">
        <v>23</v>
      </c>
      <c r="D123" t="s">
        <v>17</v>
      </c>
      <c r="E123">
        <v>10</v>
      </c>
      <c r="F123" s="1">
        <v>45345</v>
      </c>
      <c r="G123" s="1">
        <v>45364</v>
      </c>
      <c r="H123">
        <v>3</v>
      </c>
      <c r="I123" s="3">
        <v>90835.94</v>
      </c>
      <c r="J123" t="str">
        <f>VLOOKUP(H123,Diagnosis!$A:$B,2,FALSE)</f>
        <v>Asthma</v>
      </c>
      <c r="K123" t="str">
        <f>VLOOKUP(H123,Outcome!A$2:$B$7,2,FALSE)</f>
        <v>Ongoing Treatment</v>
      </c>
      <c r="L123">
        <f t="shared" si="2"/>
        <v>19</v>
      </c>
      <c r="M123" t="str">
        <f>IF(Labs!E123&gt;120,"High","Normal")</f>
        <v>High</v>
      </c>
      <c r="N123" t="str">
        <f t="shared" si="3"/>
        <v>High Risk</v>
      </c>
    </row>
    <row r="124" spans="1:14" x14ac:dyDescent="0.3">
      <c r="A124">
        <v>123</v>
      </c>
      <c r="B124" t="s">
        <v>121</v>
      </c>
      <c r="C124">
        <v>30</v>
      </c>
      <c r="D124" t="s">
        <v>10</v>
      </c>
      <c r="E124">
        <v>5</v>
      </c>
      <c r="F124" s="1">
        <v>45503</v>
      </c>
      <c r="G124" s="1">
        <v>45511</v>
      </c>
      <c r="H124">
        <v>3</v>
      </c>
      <c r="I124" s="3">
        <v>162056.26</v>
      </c>
      <c r="J124" t="str">
        <f>VLOOKUP(H124,Diagnosis!$A:$B,2,FALSE)</f>
        <v>Asthma</v>
      </c>
      <c r="K124" t="str">
        <f>VLOOKUP(H124,Outcome!A$2:$B$7,2,FALSE)</f>
        <v>Ongoing Treatment</v>
      </c>
      <c r="L124">
        <f t="shared" si="2"/>
        <v>8</v>
      </c>
      <c r="M124" t="str">
        <f>IF(Labs!E124&gt;120,"High","Normal")</f>
        <v>High</v>
      </c>
      <c r="N124" t="str">
        <f t="shared" si="3"/>
        <v>High Risk</v>
      </c>
    </row>
    <row r="125" spans="1:14" x14ac:dyDescent="0.3">
      <c r="A125">
        <v>124</v>
      </c>
      <c r="B125" t="s">
        <v>40</v>
      </c>
      <c r="C125">
        <v>87</v>
      </c>
      <c r="D125" t="s">
        <v>17</v>
      </c>
      <c r="E125">
        <v>2</v>
      </c>
      <c r="F125" s="1">
        <v>45466</v>
      </c>
      <c r="G125" s="1">
        <v>45496</v>
      </c>
      <c r="H125">
        <v>1</v>
      </c>
      <c r="I125" s="3">
        <v>106793.98</v>
      </c>
      <c r="J125" t="str">
        <f>VLOOKUP(H125,Diagnosis!$A:$B,2,FALSE)</f>
        <v>Diabetes</v>
      </c>
      <c r="K125" t="str">
        <f>VLOOKUP(H125,Outcome!A$2:$B$7,2,FALSE)</f>
        <v>Recovered</v>
      </c>
      <c r="L125">
        <f t="shared" si="2"/>
        <v>30</v>
      </c>
      <c r="M125" t="str">
        <f>IF(Labs!E125&gt;120,"High","Normal")</f>
        <v>High</v>
      </c>
      <c r="N125" t="str">
        <f t="shared" si="3"/>
        <v>High Risk</v>
      </c>
    </row>
    <row r="126" spans="1:14" x14ac:dyDescent="0.3">
      <c r="A126">
        <v>125</v>
      </c>
      <c r="B126" t="s">
        <v>122</v>
      </c>
      <c r="C126">
        <v>59</v>
      </c>
      <c r="D126" t="s">
        <v>10</v>
      </c>
      <c r="E126">
        <v>4</v>
      </c>
      <c r="F126" s="1">
        <v>45349</v>
      </c>
      <c r="G126" s="1">
        <v>45376</v>
      </c>
      <c r="H126">
        <v>2</v>
      </c>
      <c r="I126" s="3">
        <v>44604.01</v>
      </c>
      <c r="J126" t="str">
        <f>VLOOKUP(H126,Diagnosis!$A:$B,2,FALSE)</f>
        <v>Hypertension</v>
      </c>
      <c r="K126" t="str">
        <f>VLOOKUP(H126,Outcome!A$2:$B$7,2,FALSE)</f>
        <v>Improved</v>
      </c>
      <c r="L126">
        <f t="shared" si="2"/>
        <v>27</v>
      </c>
      <c r="M126" t="str">
        <f>IF(Labs!E126&gt;120,"High","Normal")</f>
        <v>High</v>
      </c>
      <c r="N126" t="str">
        <f t="shared" si="3"/>
        <v>High Risk</v>
      </c>
    </row>
    <row r="127" spans="1:14" x14ac:dyDescent="0.3">
      <c r="A127">
        <v>126</v>
      </c>
      <c r="B127" t="s">
        <v>123</v>
      </c>
      <c r="C127">
        <v>74</v>
      </c>
      <c r="D127" t="s">
        <v>10</v>
      </c>
      <c r="E127">
        <v>5</v>
      </c>
      <c r="F127" s="1">
        <v>44606</v>
      </c>
      <c r="G127" s="1">
        <v>44632</v>
      </c>
      <c r="H127">
        <v>3</v>
      </c>
      <c r="I127" s="3">
        <v>51220.27</v>
      </c>
      <c r="J127" t="str">
        <f>VLOOKUP(H127,Diagnosis!$A:$B,2,FALSE)</f>
        <v>Asthma</v>
      </c>
      <c r="K127" t="str">
        <f>VLOOKUP(H127,Outcome!A$2:$B$7,2,FALSE)</f>
        <v>Ongoing Treatment</v>
      </c>
      <c r="L127">
        <f t="shared" si="2"/>
        <v>26</v>
      </c>
      <c r="M127" t="str">
        <f>IF(Labs!E127&gt;120,"High","Normal")</f>
        <v>High</v>
      </c>
      <c r="N127" t="str">
        <f t="shared" si="3"/>
        <v>High Risk</v>
      </c>
    </row>
    <row r="128" spans="1:14" x14ac:dyDescent="0.3">
      <c r="A128">
        <v>127</v>
      </c>
      <c r="B128" t="s">
        <v>124</v>
      </c>
      <c r="C128">
        <v>78</v>
      </c>
      <c r="D128" t="s">
        <v>10</v>
      </c>
      <c r="E128">
        <v>5</v>
      </c>
      <c r="F128" s="1">
        <v>46150</v>
      </c>
      <c r="G128" s="1">
        <v>46175</v>
      </c>
      <c r="H128">
        <v>1</v>
      </c>
      <c r="I128" s="3">
        <v>144842.92000000001</v>
      </c>
      <c r="J128" t="str">
        <f>VLOOKUP(H128,Diagnosis!$A:$B,2,FALSE)</f>
        <v>Diabetes</v>
      </c>
      <c r="K128" t="str">
        <f>VLOOKUP(H128,Outcome!A$2:$B$7,2,FALSE)</f>
        <v>Recovered</v>
      </c>
      <c r="L128">
        <f t="shared" si="2"/>
        <v>25</v>
      </c>
      <c r="M128" t="str">
        <f>IF(Labs!E128&gt;120,"High","Normal")</f>
        <v>High</v>
      </c>
      <c r="N128" t="str">
        <f t="shared" si="3"/>
        <v>High Risk</v>
      </c>
    </row>
    <row r="129" spans="1:14" x14ac:dyDescent="0.3">
      <c r="A129">
        <v>128</v>
      </c>
      <c r="B129" t="s">
        <v>65</v>
      </c>
      <c r="C129">
        <v>80</v>
      </c>
      <c r="D129" t="s">
        <v>10</v>
      </c>
      <c r="E129">
        <v>3</v>
      </c>
      <c r="F129" s="1">
        <v>45848</v>
      </c>
      <c r="G129" s="1">
        <v>45851</v>
      </c>
      <c r="H129">
        <v>5</v>
      </c>
      <c r="I129" s="3">
        <v>117225.46</v>
      </c>
      <c r="J129" t="str">
        <f>VLOOKUP(H129,Diagnosis!$A:$B,2,FALSE)</f>
        <v>Heart Disease</v>
      </c>
      <c r="K129" t="str">
        <f>VLOOKUP(H129,Outcome!A$2:$B$7,2,FALSE)</f>
        <v>Readmitted</v>
      </c>
      <c r="L129">
        <f t="shared" si="2"/>
        <v>3</v>
      </c>
      <c r="M129" t="str">
        <f>IF(Labs!E129&gt;120,"High","Normal")</f>
        <v>High</v>
      </c>
      <c r="N129" t="str">
        <f t="shared" si="3"/>
        <v>High Risk</v>
      </c>
    </row>
    <row r="130" spans="1:14" x14ac:dyDescent="0.3">
      <c r="A130">
        <v>129</v>
      </c>
      <c r="B130" t="s">
        <v>125</v>
      </c>
      <c r="C130">
        <v>5</v>
      </c>
      <c r="D130" t="s">
        <v>10</v>
      </c>
      <c r="E130">
        <v>3</v>
      </c>
      <c r="F130" s="1">
        <v>44746</v>
      </c>
      <c r="G130" s="1">
        <v>44775</v>
      </c>
      <c r="H130">
        <v>1</v>
      </c>
      <c r="I130" s="3">
        <v>135177.85</v>
      </c>
      <c r="J130" t="str">
        <f>VLOOKUP(H130,Diagnosis!$A:$B,2,FALSE)</f>
        <v>Diabetes</v>
      </c>
      <c r="K130" t="str">
        <f>VLOOKUP(H130,Outcome!A$2:$B$7,2,FALSE)</f>
        <v>Recovered</v>
      </c>
      <c r="L130">
        <f t="shared" si="2"/>
        <v>29</v>
      </c>
      <c r="M130" t="str">
        <f>IF(Labs!E130&gt;120,"High","Normal")</f>
        <v>High</v>
      </c>
      <c r="N130" t="str">
        <f t="shared" si="3"/>
        <v>low risk</v>
      </c>
    </row>
    <row r="131" spans="1:14" x14ac:dyDescent="0.3">
      <c r="A131">
        <v>130</v>
      </c>
      <c r="B131" t="s">
        <v>90</v>
      </c>
      <c r="C131">
        <v>17</v>
      </c>
      <c r="D131" t="s">
        <v>10</v>
      </c>
      <c r="E131">
        <v>9</v>
      </c>
      <c r="F131" s="1">
        <v>45589</v>
      </c>
      <c r="G131" s="1">
        <v>45618</v>
      </c>
      <c r="H131">
        <v>1</v>
      </c>
      <c r="I131" s="3">
        <v>31706.63</v>
      </c>
      <c r="J131" t="str">
        <f>VLOOKUP(H131,Diagnosis!$A:$B,2,FALSE)</f>
        <v>Diabetes</v>
      </c>
      <c r="K131" t="str">
        <f>VLOOKUP(H131,Outcome!A$2:$B$7,2,FALSE)</f>
        <v>Recovered</v>
      </c>
      <c r="L131">
        <f t="shared" ref="L131:L194" si="4">DATEDIF(F131,G131,"d")</f>
        <v>29</v>
      </c>
      <c r="M131" t="str">
        <f>IF(Labs!E131&gt;120,"High","Normal")</f>
        <v>High</v>
      </c>
      <c r="N131" t="str">
        <f t="shared" si="3"/>
        <v>low risk</v>
      </c>
    </row>
    <row r="132" spans="1:14" x14ac:dyDescent="0.3">
      <c r="A132">
        <v>131</v>
      </c>
      <c r="B132" t="s">
        <v>126</v>
      </c>
      <c r="C132">
        <v>44</v>
      </c>
      <c r="D132" t="s">
        <v>17</v>
      </c>
      <c r="E132">
        <v>8</v>
      </c>
      <c r="F132" s="1">
        <v>44716</v>
      </c>
      <c r="G132" s="1">
        <v>44720</v>
      </c>
      <c r="H132">
        <v>3</v>
      </c>
      <c r="I132" s="3">
        <v>42546.61</v>
      </c>
      <c r="J132" t="str">
        <f>VLOOKUP(H132,Diagnosis!$A:$B,2,FALSE)</f>
        <v>Asthma</v>
      </c>
      <c r="K132" t="str">
        <f>VLOOKUP(H132,Outcome!A$2:$B$7,2,FALSE)</f>
        <v>Ongoing Treatment</v>
      </c>
      <c r="L132">
        <f t="shared" si="4"/>
        <v>4</v>
      </c>
      <c r="M132" t="str">
        <f>IF(Labs!E132&gt;120,"High","Normal")</f>
        <v>High</v>
      </c>
      <c r="N132" t="str">
        <f t="shared" ref="N132:N195" si="5">IF(OR(C132&gt;65,H132&lt;&gt;1),"High Risk","low risk")</f>
        <v>High Risk</v>
      </c>
    </row>
    <row r="133" spans="1:14" x14ac:dyDescent="0.3">
      <c r="A133">
        <v>132</v>
      </c>
      <c r="B133" t="s">
        <v>127</v>
      </c>
      <c r="C133">
        <v>47</v>
      </c>
      <c r="D133" t="s">
        <v>17</v>
      </c>
      <c r="E133">
        <v>7</v>
      </c>
      <c r="F133" s="1">
        <v>44590</v>
      </c>
      <c r="G133" s="1">
        <v>44598</v>
      </c>
      <c r="H133">
        <v>2</v>
      </c>
      <c r="I133" s="3">
        <v>83224.52</v>
      </c>
      <c r="J133" t="str">
        <f>VLOOKUP(H133,Diagnosis!$A:$B,2,FALSE)</f>
        <v>Hypertension</v>
      </c>
      <c r="K133" t="str">
        <f>VLOOKUP(H133,Outcome!A$2:$B$7,2,FALSE)</f>
        <v>Improved</v>
      </c>
      <c r="L133">
        <f t="shared" si="4"/>
        <v>8</v>
      </c>
      <c r="M133" t="str">
        <f>IF(Labs!E133&gt;120,"High","Normal")</f>
        <v>High</v>
      </c>
      <c r="N133" t="str">
        <f t="shared" si="5"/>
        <v>High Risk</v>
      </c>
    </row>
    <row r="134" spans="1:14" x14ac:dyDescent="0.3">
      <c r="A134">
        <v>133</v>
      </c>
      <c r="B134" t="s">
        <v>128</v>
      </c>
      <c r="C134">
        <v>49</v>
      </c>
      <c r="D134" t="s">
        <v>10</v>
      </c>
      <c r="E134">
        <v>2</v>
      </c>
      <c r="F134" s="1">
        <v>45944</v>
      </c>
      <c r="G134" s="1">
        <v>45951</v>
      </c>
      <c r="H134">
        <v>2</v>
      </c>
      <c r="I134" s="3">
        <v>112469.57</v>
      </c>
      <c r="J134" t="str">
        <f>VLOOKUP(H134,Diagnosis!$A:$B,2,FALSE)</f>
        <v>Hypertension</v>
      </c>
      <c r="K134" t="str">
        <f>VLOOKUP(H134,Outcome!A$2:$B$7,2,FALSE)</f>
        <v>Improved</v>
      </c>
      <c r="L134">
        <f t="shared" si="4"/>
        <v>7</v>
      </c>
      <c r="M134" t="str">
        <f>IF(Labs!E134&gt;120,"High","Normal")</f>
        <v>High</v>
      </c>
      <c r="N134" t="str">
        <f t="shared" si="5"/>
        <v>High Risk</v>
      </c>
    </row>
    <row r="135" spans="1:14" x14ac:dyDescent="0.3">
      <c r="A135">
        <v>134</v>
      </c>
      <c r="B135" t="s">
        <v>129</v>
      </c>
      <c r="C135">
        <v>79</v>
      </c>
      <c r="D135" t="s">
        <v>17</v>
      </c>
      <c r="E135">
        <v>2</v>
      </c>
      <c r="F135" s="1">
        <v>45863</v>
      </c>
      <c r="G135" s="1">
        <v>45889</v>
      </c>
      <c r="H135">
        <v>2</v>
      </c>
      <c r="I135" s="3">
        <v>126941.2</v>
      </c>
      <c r="J135" t="str">
        <f>VLOOKUP(H135,Diagnosis!$A:$B,2,FALSE)</f>
        <v>Hypertension</v>
      </c>
      <c r="K135" t="str">
        <f>VLOOKUP(H135,Outcome!A$2:$B$7,2,FALSE)</f>
        <v>Improved</v>
      </c>
      <c r="L135">
        <f t="shared" si="4"/>
        <v>26</v>
      </c>
      <c r="M135" t="str">
        <f>IF(Labs!E135&gt;120,"High","Normal")</f>
        <v>High</v>
      </c>
      <c r="N135" t="str">
        <f t="shared" si="5"/>
        <v>High Risk</v>
      </c>
    </row>
    <row r="136" spans="1:14" x14ac:dyDescent="0.3">
      <c r="A136">
        <v>135</v>
      </c>
      <c r="B136" t="s">
        <v>130</v>
      </c>
      <c r="C136">
        <v>18</v>
      </c>
      <c r="D136" t="s">
        <v>17</v>
      </c>
      <c r="E136">
        <v>1</v>
      </c>
      <c r="F136" s="1">
        <v>45185</v>
      </c>
      <c r="G136" s="1">
        <v>45200</v>
      </c>
      <c r="H136">
        <v>1</v>
      </c>
      <c r="I136" s="3">
        <v>44177.01</v>
      </c>
      <c r="J136" t="str">
        <f>VLOOKUP(H136,Diagnosis!$A:$B,2,FALSE)</f>
        <v>Diabetes</v>
      </c>
      <c r="K136" t="str">
        <f>VLOOKUP(H136,Outcome!A$2:$B$7,2,FALSE)</f>
        <v>Recovered</v>
      </c>
      <c r="L136">
        <f t="shared" si="4"/>
        <v>15</v>
      </c>
      <c r="M136" t="str">
        <f>IF(Labs!E136&gt;120,"High","Normal")</f>
        <v>High</v>
      </c>
      <c r="N136" t="str">
        <f t="shared" si="5"/>
        <v>low risk</v>
      </c>
    </row>
    <row r="137" spans="1:14" x14ac:dyDescent="0.3">
      <c r="A137">
        <v>136</v>
      </c>
      <c r="B137" t="s">
        <v>30</v>
      </c>
      <c r="C137">
        <v>50</v>
      </c>
      <c r="D137" t="s">
        <v>10</v>
      </c>
      <c r="E137">
        <v>6</v>
      </c>
      <c r="F137" s="1">
        <v>45935</v>
      </c>
      <c r="G137" s="1">
        <v>45965</v>
      </c>
      <c r="H137">
        <v>3</v>
      </c>
      <c r="I137" s="3">
        <v>170410.4</v>
      </c>
      <c r="J137" t="str">
        <f>VLOOKUP(H137,Diagnosis!$A:$B,2,FALSE)</f>
        <v>Asthma</v>
      </c>
      <c r="K137" t="str">
        <f>VLOOKUP(H137,Outcome!A$2:$B$7,2,FALSE)</f>
        <v>Ongoing Treatment</v>
      </c>
      <c r="L137">
        <f t="shared" si="4"/>
        <v>30</v>
      </c>
      <c r="M137" t="str">
        <f>IF(Labs!E137&gt;120,"High","Normal")</f>
        <v>High</v>
      </c>
      <c r="N137" t="str">
        <f t="shared" si="5"/>
        <v>High Risk</v>
      </c>
    </row>
    <row r="138" spans="1:14" x14ac:dyDescent="0.3">
      <c r="A138">
        <v>137</v>
      </c>
      <c r="B138" t="s">
        <v>131</v>
      </c>
      <c r="C138">
        <v>94</v>
      </c>
      <c r="D138" t="s">
        <v>17</v>
      </c>
      <c r="E138">
        <v>7</v>
      </c>
      <c r="F138" s="1">
        <v>45903</v>
      </c>
      <c r="G138" s="1">
        <v>45906</v>
      </c>
      <c r="H138">
        <v>4</v>
      </c>
      <c r="I138" s="3">
        <v>111778.27</v>
      </c>
      <c r="J138" t="str">
        <f>VLOOKUP(H138,Diagnosis!$A:$B,2,FALSE)</f>
        <v>Pneumonia</v>
      </c>
      <c r="K138" t="str">
        <f>VLOOKUP(H138,Outcome!A$2:$B$7,2,FALSE)</f>
        <v>Referred</v>
      </c>
      <c r="L138">
        <f t="shared" si="4"/>
        <v>3</v>
      </c>
      <c r="M138" t="str">
        <f>IF(Labs!E138&gt;120,"High","Normal")</f>
        <v>High</v>
      </c>
      <c r="N138" t="str">
        <f t="shared" si="5"/>
        <v>High Risk</v>
      </c>
    </row>
    <row r="139" spans="1:14" x14ac:dyDescent="0.3">
      <c r="A139">
        <v>138</v>
      </c>
      <c r="B139" t="s">
        <v>132</v>
      </c>
      <c r="C139">
        <v>89</v>
      </c>
      <c r="D139" t="s">
        <v>10</v>
      </c>
      <c r="E139">
        <v>4</v>
      </c>
      <c r="F139" s="1">
        <v>45470</v>
      </c>
      <c r="G139" s="1">
        <v>45484</v>
      </c>
      <c r="H139">
        <v>6</v>
      </c>
      <c r="I139" s="3">
        <v>154342.41</v>
      </c>
      <c r="J139" t="str">
        <f>VLOOKUP(H139,Diagnosis!$A:$B,2,FALSE)</f>
        <v>Kidney Disease</v>
      </c>
      <c r="K139" t="str">
        <f>VLOOKUP(H139,Outcome!A$2:$B$7,2,FALSE)</f>
        <v>Deceased</v>
      </c>
      <c r="L139">
        <f t="shared" si="4"/>
        <v>14</v>
      </c>
      <c r="M139" t="str">
        <f>IF(Labs!E139&gt;120,"High","Normal")</f>
        <v>High</v>
      </c>
      <c r="N139" t="str">
        <f t="shared" si="5"/>
        <v>High Risk</v>
      </c>
    </row>
    <row r="140" spans="1:14" x14ac:dyDescent="0.3">
      <c r="A140">
        <v>139</v>
      </c>
      <c r="B140" t="s">
        <v>133</v>
      </c>
      <c r="C140">
        <v>70</v>
      </c>
      <c r="D140" t="s">
        <v>10</v>
      </c>
      <c r="E140">
        <v>1</v>
      </c>
      <c r="F140" s="1">
        <v>45377</v>
      </c>
      <c r="G140" s="1">
        <v>45385</v>
      </c>
      <c r="H140">
        <v>1</v>
      </c>
      <c r="I140" s="3">
        <v>24183.35</v>
      </c>
      <c r="J140" t="str">
        <f>VLOOKUP(H140,Diagnosis!$A:$B,2,FALSE)</f>
        <v>Diabetes</v>
      </c>
      <c r="K140" t="str">
        <f>VLOOKUP(H140,Outcome!A$2:$B$7,2,FALSE)</f>
        <v>Recovered</v>
      </c>
      <c r="L140">
        <f t="shared" si="4"/>
        <v>8</v>
      </c>
      <c r="M140" t="str">
        <f>IF(Labs!E140&gt;120,"High","Normal")</f>
        <v>High</v>
      </c>
      <c r="N140" t="str">
        <f t="shared" si="5"/>
        <v>High Risk</v>
      </c>
    </row>
    <row r="141" spans="1:14" x14ac:dyDescent="0.3">
      <c r="A141">
        <v>140</v>
      </c>
      <c r="B141" t="s">
        <v>100</v>
      </c>
      <c r="C141">
        <v>85</v>
      </c>
      <c r="D141" t="s">
        <v>17</v>
      </c>
      <c r="E141">
        <v>10</v>
      </c>
      <c r="F141" s="1">
        <v>44605</v>
      </c>
      <c r="G141" s="1">
        <v>44606</v>
      </c>
      <c r="H141">
        <v>4</v>
      </c>
      <c r="I141" s="3">
        <v>45733.48</v>
      </c>
      <c r="J141" t="str">
        <f>VLOOKUP(H141,Diagnosis!$A:$B,2,FALSE)</f>
        <v>Pneumonia</v>
      </c>
      <c r="K141" t="str">
        <f>VLOOKUP(H141,Outcome!A$2:$B$7,2,FALSE)</f>
        <v>Referred</v>
      </c>
      <c r="L141">
        <f t="shared" si="4"/>
        <v>1</v>
      </c>
      <c r="M141" t="str">
        <f>IF(Labs!E141&gt;120,"High","Normal")</f>
        <v>High</v>
      </c>
      <c r="N141" t="str">
        <f t="shared" si="5"/>
        <v>High Risk</v>
      </c>
    </row>
    <row r="142" spans="1:14" x14ac:dyDescent="0.3">
      <c r="A142">
        <v>141</v>
      </c>
      <c r="B142" t="s">
        <v>134</v>
      </c>
      <c r="C142">
        <v>27</v>
      </c>
      <c r="D142" t="s">
        <v>17</v>
      </c>
      <c r="E142">
        <v>9</v>
      </c>
      <c r="F142" s="1">
        <v>44986</v>
      </c>
      <c r="G142" s="1">
        <v>45004</v>
      </c>
      <c r="H142">
        <v>1</v>
      </c>
      <c r="I142" s="3">
        <v>156870.94</v>
      </c>
      <c r="J142" t="str">
        <f>VLOOKUP(H142,Diagnosis!$A:$B,2,FALSE)</f>
        <v>Diabetes</v>
      </c>
      <c r="K142" t="str">
        <f>VLOOKUP(H142,Outcome!A$2:$B$7,2,FALSE)</f>
        <v>Recovered</v>
      </c>
      <c r="L142">
        <f t="shared" si="4"/>
        <v>18</v>
      </c>
      <c r="M142" t="str">
        <f>IF(Labs!E142&gt;120,"High","Normal")</f>
        <v>High</v>
      </c>
      <c r="N142" t="str">
        <f t="shared" si="5"/>
        <v>low risk</v>
      </c>
    </row>
    <row r="143" spans="1:14" x14ac:dyDescent="0.3">
      <c r="A143">
        <v>142</v>
      </c>
      <c r="B143" t="s">
        <v>135</v>
      </c>
      <c r="C143">
        <v>77</v>
      </c>
      <c r="D143" t="s">
        <v>17</v>
      </c>
      <c r="E143">
        <v>5</v>
      </c>
      <c r="F143" s="1">
        <v>44858</v>
      </c>
      <c r="G143" s="1">
        <v>44862</v>
      </c>
      <c r="H143">
        <v>2</v>
      </c>
      <c r="I143" s="3">
        <v>144236.20000000001</v>
      </c>
      <c r="J143" t="str">
        <f>VLOOKUP(H143,Diagnosis!$A:$B,2,FALSE)</f>
        <v>Hypertension</v>
      </c>
      <c r="K143" t="str">
        <f>VLOOKUP(H143,Outcome!A$2:$B$7,2,FALSE)</f>
        <v>Improved</v>
      </c>
      <c r="L143">
        <f t="shared" si="4"/>
        <v>4</v>
      </c>
      <c r="M143" t="str">
        <f>IF(Labs!E143&gt;120,"High","Normal")</f>
        <v>High</v>
      </c>
      <c r="N143" t="str">
        <f t="shared" si="5"/>
        <v>High Risk</v>
      </c>
    </row>
    <row r="144" spans="1:14" x14ac:dyDescent="0.3">
      <c r="A144">
        <v>143</v>
      </c>
      <c r="B144" t="s">
        <v>9</v>
      </c>
      <c r="C144">
        <v>17</v>
      </c>
      <c r="D144" t="s">
        <v>17</v>
      </c>
      <c r="E144">
        <v>6</v>
      </c>
      <c r="F144" s="1">
        <v>46179</v>
      </c>
      <c r="G144" s="1">
        <v>46204</v>
      </c>
      <c r="H144">
        <v>1</v>
      </c>
      <c r="I144" s="3">
        <v>59969.43</v>
      </c>
      <c r="J144" t="str">
        <f>VLOOKUP(H144,Diagnosis!$A:$B,2,FALSE)</f>
        <v>Diabetes</v>
      </c>
      <c r="K144" t="str">
        <f>VLOOKUP(H144,Outcome!A$2:$B$7,2,FALSE)</f>
        <v>Recovered</v>
      </c>
      <c r="L144">
        <f t="shared" si="4"/>
        <v>25</v>
      </c>
      <c r="M144" t="str">
        <f>IF(Labs!E144&gt;120,"High","Normal")</f>
        <v>High</v>
      </c>
      <c r="N144" t="str">
        <f t="shared" si="5"/>
        <v>low risk</v>
      </c>
    </row>
    <row r="145" spans="1:14" x14ac:dyDescent="0.3">
      <c r="A145">
        <v>144</v>
      </c>
      <c r="B145" t="s">
        <v>136</v>
      </c>
      <c r="C145">
        <v>7</v>
      </c>
      <c r="D145" t="s">
        <v>17</v>
      </c>
      <c r="E145">
        <v>7</v>
      </c>
      <c r="F145" s="1">
        <v>45639</v>
      </c>
      <c r="G145" s="1">
        <v>45642</v>
      </c>
      <c r="H145">
        <v>3</v>
      </c>
      <c r="I145" s="3">
        <v>87033.66</v>
      </c>
      <c r="J145" t="str">
        <f>VLOOKUP(H145,Diagnosis!$A:$B,2,FALSE)</f>
        <v>Asthma</v>
      </c>
      <c r="K145" t="str">
        <f>VLOOKUP(H145,Outcome!A$2:$B$7,2,FALSE)</f>
        <v>Ongoing Treatment</v>
      </c>
      <c r="L145">
        <f t="shared" si="4"/>
        <v>3</v>
      </c>
      <c r="M145" t="str">
        <f>IF(Labs!E145&gt;120,"High","Normal")</f>
        <v>High</v>
      </c>
      <c r="N145" t="str">
        <f t="shared" si="5"/>
        <v>High Risk</v>
      </c>
    </row>
    <row r="146" spans="1:14" x14ac:dyDescent="0.3">
      <c r="A146">
        <v>145</v>
      </c>
      <c r="B146" t="s">
        <v>137</v>
      </c>
      <c r="C146">
        <v>76</v>
      </c>
      <c r="D146" t="s">
        <v>17</v>
      </c>
      <c r="E146">
        <v>8</v>
      </c>
      <c r="F146" s="1">
        <v>45593</v>
      </c>
      <c r="G146" s="1">
        <v>45600</v>
      </c>
      <c r="H146">
        <v>5</v>
      </c>
      <c r="I146" s="3">
        <v>10197.290000000001</v>
      </c>
      <c r="J146" t="str">
        <f>VLOOKUP(H146,Diagnosis!$A:$B,2,FALSE)</f>
        <v>Heart Disease</v>
      </c>
      <c r="K146" t="str">
        <f>VLOOKUP(H146,Outcome!A$2:$B$7,2,FALSE)</f>
        <v>Readmitted</v>
      </c>
      <c r="L146">
        <f t="shared" si="4"/>
        <v>7</v>
      </c>
      <c r="M146" t="str">
        <f>IF(Labs!E146&gt;120,"High","Normal")</f>
        <v>High</v>
      </c>
      <c r="N146" t="str">
        <f t="shared" si="5"/>
        <v>High Risk</v>
      </c>
    </row>
    <row r="147" spans="1:14" x14ac:dyDescent="0.3">
      <c r="A147">
        <v>146</v>
      </c>
      <c r="B147" t="s">
        <v>138</v>
      </c>
      <c r="C147">
        <v>59</v>
      </c>
      <c r="D147" t="s">
        <v>17</v>
      </c>
      <c r="E147">
        <v>1</v>
      </c>
      <c r="F147" s="1">
        <v>45542</v>
      </c>
      <c r="G147" s="1">
        <v>45569</v>
      </c>
      <c r="H147">
        <v>2</v>
      </c>
      <c r="I147" s="3">
        <v>124282.31</v>
      </c>
      <c r="J147" t="str">
        <f>VLOOKUP(H147,Diagnosis!$A:$B,2,FALSE)</f>
        <v>Hypertension</v>
      </c>
      <c r="K147" t="str">
        <f>VLOOKUP(H147,Outcome!A$2:$B$7,2,FALSE)</f>
        <v>Improved</v>
      </c>
      <c r="L147">
        <f t="shared" si="4"/>
        <v>27</v>
      </c>
      <c r="M147" t="str">
        <f>IF(Labs!E147&gt;120,"High","Normal")</f>
        <v>High</v>
      </c>
      <c r="N147" t="str">
        <f t="shared" si="5"/>
        <v>High Risk</v>
      </c>
    </row>
    <row r="148" spans="1:14" x14ac:dyDescent="0.3">
      <c r="A148">
        <v>147</v>
      </c>
      <c r="B148" t="s">
        <v>87</v>
      </c>
      <c r="C148">
        <v>10</v>
      </c>
      <c r="D148" t="s">
        <v>17</v>
      </c>
      <c r="E148">
        <v>6</v>
      </c>
      <c r="F148" s="1">
        <v>45807</v>
      </c>
      <c r="G148" s="1">
        <v>45811</v>
      </c>
      <c r="H148">
        <v>1</v>
      </c>
      <c r="I148" s="3">
        <v>51315.34</v>
      </c>
      <c r="J148" t="str">
        <f>VLOOKUP(H148,Diagnosis!$A:$B,2,FALSE)</f>
        <v>Diabetes</v>
      </c>
      <c r="K148" t="str">
        <f>VLOOKUP(H148,Outcome!A$2:$B$7,2,FALSE)</f>
        <v>Recovered</v>
      </c>
      <c r="L148">
        <f t="shared" si="4"/>
        <v>4</v>
      </c>
      <c r="M148" t="str">
        <f>IF(Labs!E148&gt;120,"High","Normal")</f>
        <v>High</v>
      </c>
      <c r="N148" t="str">
        <f t="shared" si="5"/>
        <v>low risk</v>
      </c>
    </row>
    <row r="149" spans="1:14" x14ac:dyDescent="0.3">
      <c r="A149">
        <v>148</v>
      </c>
      <c r="B149" t="s">
        <v>139</v>
      </c>
      <c r="C149">
        <v>92</v>
      </c>
      <c r="D149" t="s">
        <v>10</v>
      </c>
      <c r="E149">
        <v>7</v>
      </c>
      <c r="F149" s="1">
        <v>45785</v>
      </c>
      <c r="G149" s="1">
        <v>45801</v>
      </c>
      <c r="H149">
        <v>1</v>
      </c>
      <c r="I149" s="3">
        <v>92235.32</v>
      </c>
      <c r="J149" t="str">
        <f>VLOOKUP(H149,Diagnosis!$A:$B,2,FALSE)</f>
        <v>Diabetes</v>
      </c>
      <c r="K149" t="str">
        <f>VLOOKUP(H149,Outcome!A$2:$B$7,2,FALSE)</f>
        <v>Recovered</v>
      </c>
      <c r="L149">
        <f t="shared" si="4"/>
        <v>16</v>
      </c>
      <c r="M149" t="str">
        <f>IF(Labs!E149&gt;120,"High","Normal")</f>
        <v>High</v>
      </c>
      <c r="N149" t="str">
        <f t="shared" si="5"/>
        <v>High Risk</v>
      </c>
    </row>
    <row r="150" spans="1:14" x14ac:dyDescent="0.3">
      <c r="A150">
        <v>149</v>
      </c>
      <c r="B150" t="s">
        <v>140</v>
      </c>
      <c r="C150">
        <v>90</v>
      </c>
      <c r="D150" t="s">
        <v>17</v>
      </c>
      <c r="E150">
        <v>9</v>
      </c>
      <c r="F150" s="1">
        <v>46038</v>
      </c>
      <c r="G150" s="1">
        <v>46065</v>
      </c>
      <c r="H150">
        <v>1</v>
      </c>
      <c r="I150" s="3">
        <v>82651</v>
      </c>
      <c r="J150" t="str">
        <f>VLOOKUP(H150,Diagnosis!$A:$B,2,FALSE)</f>
        <v>Diabetes</v>
      </c>
      <c r="K150" t="str">
        <f>VLOOKUP(H150,Outcome!A$2:$B$7,2,FALSE)</f>
        <v>Recovered</v>
      </c>
      <c r="L150">
        <f t="shared" si="4"/>
        <v>27</v>
      </c>
      <c r="M150" t="str">
        <f>IF(Labs!E150&gt;120,"High","Normal")</f>
        <v>High</v>
      </c>
      <c r="N150" t="str">
        <f t="shared" si="5"/>
        <v>High Risk</v>
      </c>
    </row>
    <row r="151" spans="1:14" x14ac:dyDescent="0.3">
      <c r="A151">
        <v>150</v>
      </c>
      <c r="B151" t="s">
        <v>141</v>
      </c>
      <c r="C151">
        <v>44</v>
      </c>
      <c r="D151" t="s">
        <v>10</v>
      </c>
      <c r="E151">
        <v>7</v>
      </c>
      <c r="F151" s="1">
        <v>45413</v>
      </c>
      <c r="G151" s="1">
        <v>45436</v>
      </c>
      <c r="H151">
        <v>1</v>
      </c>
      <c r="I151" s="3">
        <v>78250.61</v>
      </c>
      <c r="J151" t="str">
        <f>VLOOKUP(H151,Diagnosis!$A:$B,2,FALSE)</f>
        <v>Diabetes</v>
      </c>
      <c r="K151" t="str">
        <f>VLOOKUP(H151,Outcome!A$2:$B$7,2,FALSE)</f>
        <v>Recovered</v>
      </c>
      <c r="L151">
        <f t="shared" si="4"/>
        <v>23</v>
      </c>
      <c r="M151" t="str">
        <f>IF(Labs!E151&gt;120,"High","Normal")</f>
        <v>High</v>
      </c>
      <c r="N151" t="str">
        <f t="shared" si="5"/>
        <v>low risk</v>
      </c>
    </row>
    <row r="152" spans="1:14" x14ac:dyDescent="0.3">
      <c r="A152">
        <v>151</v>
      </c>
      <c r="B152" t="s">
        <v>142</v>
      </c>
      <c r="C152">
        <v>20</v>
      </c>
      <c r="D152" t="s">
        <v>10</v>
      </c>
      <c r="E152">
        <v>2</v>
      </c>
      <c r="F152" s="1">
        <v>44748</v>
      </c>
      <c r="G152" s="1">
        <v>44774</v>
      </c>
      <c r="H152">
        <v>1</v>
      </c>
      <c r="I152" s="3">
        <v>79158.080000000002</v>
      </c>
      <c r="J152" t="str">
        <f>VLOOKUP(H152,Diagnosis!$A:$B,2,FALSE)</f>
        <v>Diabetes</v>
      </c>
      <c r="K152" t="str">
        <f>VLOOKUP(H152,Outcome!A$2:$B$7,2,FALSE)</f>
        <v>Recovered</v>
      </c>
      <c r="L152">
        <f t="shared" si="4"/>
        <v>26</v>
      </c>
      <c r="M152" t="str">
        <f>IF(Labs!E152&gt;120,"High","Normal")</f>
        <v>High</v>
      </c>
      <c r="N152" t="str">
        <f t="shared" si="5"/>
        <v>low risk</v>
      </c>
    </row>
    <row r="153" spans="1:14" x14ac:dyDescent="0.3">
      <c r="A153">
        <v>152</v>
      </c>
      <c r="B153" t="s">
        <v>143</v>
      </c>
      <c r="C153">
        <v>72</v>
      </c>
      <c r="D153" t="s">
        <v>17</v>
      </c>
      <c r="E153">
        <v>10</v>
      </c>
      <c r="F153" s="1">
        <v>45712</v>
      </c>
      <c r="G153" s="1">
        <v>45729</v>
      </c>
      <c r="H153">
        <v>1</v>
      </c>
      <c r="I153" s="3">
        <v>24196.05</v>
      </c>
      <c r="J153" t="str">
        <f>VLOOKUP(H153,Diagnosis!$A:$B,2,FALSE)</f>
        <v>Diabetes</v>
      </c>
      <c r="K153" t="str">
        <f>VLOOKUP(H153,Outcome!A$2:$B$7,2,FALSE)</f>
        <v>Recovered</v>
      </c>
      <c r="L153">
        <f t="shared" si="4"/>
        <v>17</v>
      </c>
      <c r="M153" t="str">
        <f>IF(Labs!E153&gt;120,"High","Normal")</f>
        <v>High</v>
      </c>
      <c r="N153" t="str">
        <f t="shared" si="5"/>
        <v>High Risk</v>
      </c>
    </row>
    <row r="154" spans="1:14" x14ac:dyDescent="0.3">
      <c r="A154">
        <v>153</v>
      </c>
      <c r="B154" t="s">
        <v>144</v>
      </c>
      <c r="C154">
        <v>93</v>
      </c>
      <c r="D154" t="s">
        <v>17</v>
      </c>
      <c r="E154">
        <v>5</v>
      </c>
      <c r="F154" s="1">
        <v>45791</v>
      </c>
      <c r="G154" s="1">
        <v>45800</v>
      </c>
      <c r="H154">
        <v>2</v>
      </c>
      <c r="I154" s="3">
        <v>105080.54</v>
      </c>
      <c r="J154" t="str">
        <f>VLOOKUP(H154,Diagnosis!$A:$B,2,FALSE)</f>
        <v>Hypertension</v>
      </c>
      <c r="K154" t="str">
        <f>VLOOKUP(H154,Outcome!A$2:$B$7,2,FALSE)</f>
        <v>Improved</v>
      </c>
      <c r="L154">
        <f t="shared" si="4"/>
        <v>9</v>
      </c>
      <c r="M154" t="str">
        <f>IF(Labs!E154&gt;120,"High","Normal")</f>
        <v>High</v>
      </c>
      <c r="N154" t="str">
        <f t="shared" si="5"/>
        <v>High Risk</v>
      </c>
    </row>
    <row r="155" spans="1:14" x14ac:dyDescent="0.3">
      <c r="A155">
        <v>154</v>
      </c>
      <c r="B155" t="s">
        <v>145</v>
      </c>
      <c r="C155">
        <v>85</v>
      </c>
      <c r="D155" t="s">
        <v>10</v>
      </c>
      <c r="E155">
        <v>4</v>
      </c>
      <c r="F155" s="1">
        <v>44783</v>
      </c>
      <c r="G155" s="1">
        <v>44794</v>
      </c>
      <c r="H155">
        <v>4</v>
      </c>
      <c r="I155" s="3">
        <v>67742.09</v>
      </c>
      <c r="J155" t="str">
        <f>VLOOKUP(H155,Diagnosis!$A:$B,2,FALSE)</f>
        <v>Pneumonia</v>
      </c>
      <c r="K155" t="str">
        <f>VLOOKUP(H155,Outcome!A$2:$B$7,2,FALSE)</f>
        <v>Referred</v>
      </c>
      <c r="L155">
        <f t="shared" si="4"/>
        <v>11</v>
      </c>
      <c r="M155" t="str">
        <f>IF(Labs!E155&gt;120,"High","Normal")</f>
        <v>High</v>
      </c>
      <c r="N155" t="str">
        <f t="shared" si="5"/>
        <v>High Risk</v>
      </c>
    </row>
    <row r="156" spans="1:14" x14ac:dyDescent="0.3">
      <c r="A156">
        <v>155</v>
      </c>
      <c r="B156" t="s">
        <v>146</v>
      </c>
      <c r="C156">
        <v>29</v>
      </c>
      <c r="D156" t="s">
        <v>10</v>
      </c>
      <c r="E156">
        <v>9</v>
      </c>
      <c r="F156" s="1">
        <v>46133</v>
      </c>
      <c r="G156" s="1">
        <v>46159</v>
      </c>
      <c r="H156">
        <v>2</v>
      </c>
      <c r="I156" s="3">
        <v>122308.37</v>
      </c>
      <c r="J156" t="str">
        <f>VLOOKUP(H156,Diagnosis!$A:$B,2,FALSE)</f>
        <v>Hypertension</v>
      </c>
      <c r="K156" t="str">
        <f>VLOOKUP(H156,Outcome!A$2:$B$7,2,FALSE)</f>
        <v>Improved</v>
      </c>
      <c r="L156">
        <f t="shared" si="4"/>
        <v>26</v>
      </c>
      <c r="M156" t="str">
        <f>IF(Labs!E156&gt;120,"High","Normal")</f>
        <v>High</v>
      </c>
      <c r="N156" t="str">
        <f t="shared" si="5"/>
        <v>High Risk</v>
      </c>
    </row>
    <row r="157" spans="1:14" x14ac:dyDescent="0.3">
      <c r="A157">
        <v>156</v>
      </c>
      <c r="B157" t="s">
        <v>147</v>
      </c>
      <c r="C157">
        <v>78</v>
      </c>
      <c r="D157" t="s">
        <v>10</v>
      </c>
      <c r="E157">
        <v>1</v>
      </c>
      <c r="F157" s="1">
        <v>44931</v>
      </c>
      <c r="G157" s="1">
        <v>44939</v>
      </c>
      <c r="H157">
        <v>3</v>
      </c>
      <c r="I157" s="3">
        <v>57344.78</v>
      </c>
      <c r="J157" t="str">
        <f>VLOOKUP(H157,Diagnosis!$A:$B,2,FALSE)</f>
        <v>Asthma</v>
      </c>
      <c r="K157" t="str">
        <f>VLOOKUP(H157,Outcome!A$2:$B$7,2,FALSE)</f>
        <v>Ongoing Treatment</v>
      </c>
      <c r="L157">
        <f t="shared" si="4"/>
        <v>8</v>
      </c>
      <c r="M157" t="str">
        <f>IF(Labs!E157&gt;120,"High","Normal")</f>
        <v>High</v>
      </c>
      <c r="N157" t="str">
        <f t="shared" si="5"/>
        <v>High Risk</v>
      </c>
    </row>
    <row r="158" spans="1:14" x14ac:dyDescent="0.3">
      <c r="A158">
        <v>157</v>
      </c>
      <c r="B158" t="s">
        <v>148</v>
      </c>
      <c r="C158">
        <v>1</v>
      </c>
      <c r="D158" t="s">
        <v>17</v>
      </c>
      <c r="E158">
        <v>3</v>
      </c>
      <c r="F158" s="1">
        <v>45721</v>
      </c>
      <c r="G158" s="1">
        <v>45742</v>
      </c>
      <c r="H158">
        <v>2</v>
      </c>
      <c r="I158" s="3">
        <v>27682.75</v>
      </c>
      <c r="J158" t="str">
        <f>VLOOKUP(H158,Diagnosis!$A:$B,2,FALSE)</f>
        <v>Hypertension</v>
      </c>
      <c r="K158" t="str">
        <f>VLOOKUP(H158,Outcome!A$2:$B$7,2,FALSE)</f>
        <v>Improved</v>
      </c>
      <c r="L158">
        <f t="shared" si="4"/>
        <v>21</v>
      </c>
      <c r="M158" t="str">
        <f>IF(Labs!E158&gt;120,"High","Normal")</f>
        <v>High</v>
      </c>
      <c r="N158" t="str">
        <f t="shared" si="5"/>
        <v>High Risk</v>
      </c>
    </row>
    <row r="159" spans="1:14" x14ac:dyDescent="0.3">
      <c r="A159">
        <v>158</v>
      </c>
      <c r="B159" t="s">
        <v>149</v>
      </c>
      <c r="C159">
        <v>68</v>
      </c>
      <c r="D159" t="s">
        <v>17</v>
      </c>
      <c r="E159">
        <v>7</v>
      </c>
      <c r="F159" s="1">
        <v>45421</v>
      </c>
      <c r="G159" s="1">
        <v>45435</v>
      </c>
      <c r="H159">
        <v>1</v>
      </c>
      <c r="I159" s="3">
        <v>68184.42</v>
      </c>
      <c r="J159" t="str">
        <f>VLOOKUP(H159,Diagnosis!$A:$B,2,FALSE)</f>
        <v>Diabetes</v>
      </c>
      <c r="K159" t="str">
        <f>VLOOKUP(H159,Outcome!A$2:$B$7,2,FALSE)</f>
        <v>Recovered</v>
      </c>
      <c r="L159">
        <f t="shared" si="4"/>
        <v>14</v>
      </c>
      <c r="M159" t="str">
        <f>IF(Labs!E159&gt;120,"High","Normal")</f>
        <v>High</v>
      </c>
      <c r="N159" t="str">
        <f t="shared" si="5"/>
        <v>High Risk</v>
      </c>
    </row>
    <row r="160" spans="1:14" x14ac:dyDescent="0.3">
      <c r="A160">
        <v>159</v>
      </c>
      <c r="B160" t="s">
        <v>150</v>
      </c>
      <c r="C160">
        <v>77</v>
      </c>
      <c r="D160" t="s">
        <v>17</v>
      </c>
      <c r="E160">
        <v>1</v>
      </c>
      <c r="F160" s="1">
        <v>44880</v>
      </c>
      <c r="G160" s="1">
        <v>44885</v>
      </c>
      <c r="H160">
        <v>3</v>
      </c>
      <c r="I160" s="3">
        <v>11332.84</v>
      </c>
      <c r="J160" t="str">
        <f>VLOOKUP(H160,Diagnosis!$A:$B,2,FALSE)</f>
        <v>Asthma</v>
      </c>
      <c r="K160" t="str">
        <f>VLOOKUP(H160,Outcome!A$2:$B$7,2,FALSE)</f>
        <v>Ongoing Treatment</v>
      </c>
      <c r="L160">
        <f t="shared" si="4"/>
        <v>5</v>
      </c>
      <c r="M160" t="str">
        <f>IF(Labs!E160&gt;120,"High","Normal")</f>
        <v>High</v>
      </c>
      <c r="N160" t="str">
        <f t="shared" si="5"/>
        <v>High Risk</v>
      </c>
    </row>
    <row r="161" spans="1:14" x14ac:dyDescent="0.3">
      <c r="A161">
        <v>160</v>
      </c>
      <c r="B161" t="s">
        <v>151</v>
      </c>
      <c r="C161">
        <v>57</v>
      </c>
      <c r="D161" t="s">
        <v>10</v>
      </c>
      <c r="E161">
        <v>8</v>
      </c>
      <c r="F161" s="1">
        <v>45805</v>
      </c>
      <c r="G161" s="1">
        <v>45819</v>
      </c>
      <c r="H161">
        <v>2</v>
      </c>
      <c r="I161" s="3">
        <v>40763.49</v>
      </c>
      <c r="J161" t="str">
        <f>VLOOKUP(H161,Diagnosis!$A:$B,2,FALSE)</f>
        <v>Hypertension</v>
      </c>
      <c r="K161" t="str">
        <f>VLOOKUP(H161,Outcome!A$2:$B$7,2,FALSE)</f>
        <v>Improved</v>
      </c>
      <c r="L161">
        <f t="shared" si="4"/>
        <v>14</v>
      </c>
      <c r="M161" t="str">
        <f>IF(Labs!E161&gt;120,"High","Normal")</f>
        <v>High</v>
      </c>
      <c r="N161" t="str">
        <f t="shared" si="5"/>
        <v>High Risk</v>
      </c>
    </row>
    <row r="162" spans="1:14" x14ac:dyDescent="0.3">
      <c r="A162">
        <v>161</v>
      </c>
      <c r="B162" t="s">
        <v>152</v>
      </c>
      <c r="C162">
        <v>45</v>
      </c>
      <c r="D162" t="s">
        <v>10</v>
      </c>
      <c r="E162">
        <v>2</v>
      </c>
      <c r="F162" s="1">
        <v>45142</v>
      </c>
      <c r="G162" s="1">
        <v>45163</v>
      </c>
      <c r="H162">
        <v>3</v>
      </c>
      <c r="I162" s="3">
        <v>88877.31</v>
      </c>
      <c r="J162" t="str">
        <f>VLOOKUP(H162,Diagnosis!$A:$B,2,FALSE)</f>
        <v>Asthma</v>
      </c>
      <c r="K162" t="str">
        <f>VLOOKUP(H162,Outcome!A$2:$B$7,2,FALSE)</f>
        <v>Ongoing Treatment</v>
      </c>
      <c r="L162">
        <f t="shared" si="4"/>
        <v>21</v>
      </c>
      <c r="M162" t="str">
        <f>IF(Labs!E162&gt;120,"High","Normal")</f>
        <v>High</v>
      </c>
      <c r="N162" t="str">
        <f t="shared" si="5"/>
        <v>High Risk</v>
      </c>
    </row>
    <row r="163" spans="1:14" x14ac:dyDescent="0.3">
      <c r="A163">
        <v>162</v>
      </c>
      <c r="B163" t="s">
        <v>153</v>
      </c>
      <c r="C163">
        <v>29</v>
      </c>
      <c r="D163" t="s">
        <v>10</v>
      </c>
      <c r="E163">
        <v>10</v>
      </c>
      <c r="F163" s="1">
        <v>44674</v>
      </c>
      <c r="G163" s="1">
        <v>44674</v>
      </c>
      <c r="H163">
        <v>1</v>
      </c>
      <c r="I163" s="3">
        <v>170295.03</v>
      </c>
      <c r="J163" t="str">
        <f>VLOOKUP(H163,Diagnosis!$A:$B,2,FALSE)</f>
        <v>Diabetes</v>
      </c>
      <c r="K163" t="str">
        <f>VLOOKUP(H163,Outcome!A$2:$B$7,2,FALSE)</f>
        <v>Recovered</v>
      </c>
      <c r="L163">
        <f t="shared" si="4"/>
        <v>0</v>
      </c>
      <c r="M163" t="str">
        <f>IF(Labs!E163&gt;120,"High","Normal")</f>
        <v>High</v>
      </c>
      <c r="N163" t="str">
        <f t="shared" si="5"/>
        <v>low risk</v>
      </c>
    </row>
    <row r="164" spans="1:14" x14ac:dyDescent="0.3">
      <c r="A164">
        <v>163</v>
      </c>
      <c r="B164" t="s">
        <v>92</v>
      </c>
      <c r="C164">
        <v>38</v>
      </c>
      <c r="D164" t="s">
        <v>10</v>
      </c>
      <c r="E164">
        <v>2</v>
      </c>
      <c r="F164" s="1">
        <v>44577</v>
      </c>
      <c r="G164" s="1">
        <v>44592</v>
      </c>
      <c r="H164">
        <v>3</v>
      </c>
      <c r="I164" s="3">
        <v>33685.83</v>
      </c>
      <c r="J164" t="str">
        <f>VLOOKUP(H164,Diagnosis!$A:$B,2,FALSE)</f>
        <v>Asthma</v>
      </c>
      <c r="K164" t="str">
        <f>VLOOKUP(H164,Outcome!A$2:$B$7,2,FALSE)</f>
        <v>Ongoing Treatment</v>
      </c>
      <c r="L164">
        <f t="shared" si="4"/>
        <v>15</v>
      </c>
      <c r="M164" t="str">
        <f>IF(Labs!E164&gt;120,"High","Normal")</f>
        <v>High</v>
      </c>
      <c r="N164" t="str">
        <f t="shared" si="5"/>
        <v>High Risk</v>
      </c>
    </row>
    <row r="165" spans="1:14" x14ac:dyDescent="0.3">
      <c r="A165">
        <v>164</v>
      </c>
      <c r="B165" t="s">
        <v>154</v>
      </c>
      <c r="C165">
        <v>91</v>
      </c>
      <c r="D165" t="s">
        <v>17</v>
      </c>
      <c r="E165">
        <v>9</v>
      </c>
      <c r="F165" s="1">
        <v>45706</v>
      </c>
      <c r="G165" s="1">
        <v>45732</v>
      </c>
      <c r="H165">
        <v>3</v>
      </c>
      <c r="I165" s="3">
        <v>65364.67</v>
      </c>
      <c r="J165" t="str">
        <f>VLOOKUP(H165,Diagnosis!$A:$B,2,FALSE)</f>
        <v>Asthma</v>
      </c>
      <c r="K165" t="str">
        <f>VLOOKUP(H165,Outcome!A$2:$B$7,2,FALSE)</f>
        <v>Ongoing Treatment</v>
      </c>
      <c r="L165">
        <f t="shared" si="4"/>
        <v>26</v>
      </c>
      <c r="M165" t="str">
        <f>IF(Labs!E165&gt;120,"High","Normal")</f>
        <v>High</v>
      </c>
      <c r="N165" t="str">
        <f t="shared" si="5"/>
        <v>High Risk</v>
      </c>
    </row>
    <row r="166" spans="1:14" x14ac:dyDescent="0.3">
      <c r="A166">
        <v>165</v>
      </c>
      <c r="B166" t="s">
        <v>155</v>
      </c>
      <c r="C166">
        <v>56</v>
      </c>
      <c r="D166" t="s">
        <v>17</v>
      </c>
      <c r="E166">
        <v>8</v>
      </c>
      <c r="F166" s="1">
        <v>44721</v>
      </c>
      <c r="G166" s="1">
        <v>44748</v>
      </c>
      <c r="H166">
        <v>1</v>
      </c>
      <c r="I166" s="3">
        <v>78697.960000000006</v>
      </c>
      <c r="J166" t="str">
        <f>VLOOKUP(H166,Diagnosis!$A:$B,2,FALSE)</f>
        <v>Diabetes</v>
      </c>
      <c r="K166" t="str">
        <f>VLOOKUP(H166,Outcome!A$2:$B$7,2,FALSE)</f>
        <v>Recovered</v>
      </c>
      <c r="L166">
        <f t="shared" si="4"/>
        <v>27</v>
      </c>
      <c r="M166" t="str">
        <f>IF(Labs!E166&gt;120,"High","Normal")</f>
        <v>High</v>
      </c>
      <c r="N166" t="str">
        <f t="shared" si="5"/>
        <v>low risk</v>
      </c>
    </row>
    <row r="167" spans="1:14" x14ac:dyDescent="0.3">
      <c r="A167">
        <v>166</v>
      </c>
      <c r="B167" t="s">
        <v>156</v>
      </c>
      <c r="C167">
        <v>38</v>
      </c>
      <c r="D167" t="s">
        <v>17</v>
      </c>
      <c r="E167">
        <v>7</v>
      </c>
      <c r="F167" s="1">
        <v>44604</v>
      </c>
      <c r="G167" s="1">
        <v>44634</v>
      </c>
      <c r="H167">
        <v>1</v>
      </c>
      <c r="I167" s="3">
        <v>144734.68</v>
      </c>
      <c r="J167" t="str">
        <f>VLOOKUP(H167,Diagnosis!$A:$B,2,FALSE)</f>
        <v>Diabetes</v>
      </c>
      <c r="K167" t="str">
        <f>VLOOKUP(H167,Outcome!A$2:$B$7,2,FALSE)</f>
        <v>Recovered</v>
      </c>
      <c r="L167">
        <f t="shared" si="4"/>
        <v>30</v>
      </c>
      <c r="M167" t="str">
        <f>IF(Labs!E167&gt;120,"High","Normal")</f>
        <v>High</v>
      </c>
      <c r="N167" t="str">
        <f t="shared" si="5"/>
        <v>low risk</v>
      </c>
    </row>
    <row r="168" spans="1:14" x14ac:dyDescent="0.3">
      <c r="A168">
        <v>167</v>
      </c>
      <c r="B168" t="s">
        <v>157</v>
      </c>
      <c r="C168">
        <v>89</v>
      </c>
      <c r="D168" t="s">
        <v>10</v>
      </c>
      <c r="E168">
        <v>2</v>
      </c>
      <c r="F168" s="1">
        <v>45456</v>
      </c>
      <c r="G168" s="1">
        <v>45483</v>
      </c>
      <c r="H168">
        <v>1</v>
      </c>
      <c r="I168" s="3">
        <v>79832.58</v>
      </c>
      <c r="J168" t="str">
        <f>VLOOKUP(H168,Diagnosis!$A:$B,2,FALSE)</f>
        <v>Diabetes</v>
      </c>
      <c r="K168" t="str">
        <f>VLOOKUP(H168,Outcome!A$2:$B$7,2,FALSE)</f>
        <v>Recovered</v>
      </c>
      <c r="L168">
        <f t="shared" si="4"/>
        <v>27</v>
      </c>
      <c r="M168" t="str">
        <f>IF(Labs!E168&gt;120,"High","Normal")</f>
        <v>High</v>
      </c>
      <c r="N168" t="str">
        <f t="shared" si="5"/>
        <v>High Risk</v>
      </c>
    </row>
    <row r="169" spans="1:14" x14ac:dyDescent="0.3">
      <c r="A169">
        <v>168</v>
      </c>
      <c r="B169" t="s">
        <v>158</v>
      </c>
      <c r="C169">
        <v>11</v>
      </c>
      <c r="D169" t="s">
        <v>10</v>
      </c>
      <c r="E169">
        <v>5</v>
      </c>
      <c r="F169" s="1">
        <v>46089</v>
      </c>
      <c r="G169" s="1">
        <v>46099</v>
      </c>
      <c r="H169">
        <v>1</v>
      </c>
      <c r="I169" s="3">
        <v>140793.42000000001</v>
      </c>
      <c r="J169" t="str">
        <f>VLOOKUP(H169,Diagnosis!$A:$B,2,FALSE)</f>
        <v>Diabetes</v>
      </c>
      <c r="K169" t="str">
        <f>VLOOKUP(H169,Outcome!A$2:$B$7,2,FALSE)</f>
        <v>Recovered</v>
      </c>
      <c r="L169">
        <f t="shared" si="4"/>
        <v>10</v>
      </c>
      <c r="M169" t="str">
        <f>IF(Labs!E169&gt;120,"High","Normal")</f>
        <v>High</v>
      </c>
      <c r="N169" t="str">
        <f t="shared" si="5"/>
        <v>low risk</v>
      </c>
    </row>
    <row r="170" spans="1:14" x14ac:dyDescent="0.3">
      <c r="A170">
        <v>169</v>
      </c>
      <c r="B170" t="s">
        <v>34</v>
      </c>
      <c r="C170">
        <v>82</v>
      </c>
      <c r="D170" t="s">
        <v>17</v>
      </c>
      <c r="E170">
        <v>9</v>
      </c>
      <c r="F170" s="1">
        <v>45606</v>
      </c>
      <c r="G170" s="1">
        <v>45612</v>
      </c>
      <c r="H170">
        <v>5</v>
      </c>
      <c r="I170" s="3">
        <v>64514.11</v>
      </c>
      <c r="J170" t="str">
        <f>VLOOKUP(H170,Diagnosis!$A:$B,2,FALSE)</f>
        <v>Heart Disease</v>
      </c>
      <c r="K170" t="str">
        <f>VLOOKUP(H170,Outcome!A$2:$B$7,2,FALSE)</f>
        <v>Readmitted</v>
      </c>
      <c r="L170">
        <f t="shared" si="4"/>
        <v>6</v>
      </c>
      <c r="M170" t="str">
        <f>IF(Labs!E170&gt;120,"High","Normal")</f>
        <v>High</v>
      </c>
      <c r="N170" t="str">
        <f t="shared" si="5"/>
        <v>High Risk</v>
      </c>
    </row>
    <row r="171" spans="1:14" x14ac:dyDescent="0.3">
      <c r="A171">
        <v>170</v>
      </c>
      <c r="B171" t="s">
        <v>159</v>
      </c>
      <c r="C171">
        <v>14</v>
      </c>
      <c r="D171" t="s">
        <v>17</v>
      </c>
      <c r="E171">
        <v>5</v>
      </c>
      <c r="F171" s="1">
        <v>44966</v>
      </c>
      <c r="G171" s="1">
        <v>44971</v>
      </c>
      <c r="H171">
        <v>2</v>
      </c>
      <c r="I171" s="3">
        <v>137438.21</v>
      </c>
      <c r="J171" t="str">
        <f>VLOOKUP(H171,Diagnosis!$A:$B,2,FALSE)</f>
        <v>Hypertension</v>
      </c>
      <c r="K171" t="str">
        <f>VLOOKUP(H171,Outcome!A$2:$B$7,2,FALSE)</f>
        <v>Improved</v>
      </c>
      <c r="L171">
        <f t="shared" si="4"/>
        <v>5</v>
      </c>
      <c r="M171" t="str">
        <f>IF(Labs!E171&gt;120,"High","Normal")</f>
        <v>High</v>
      </c>
      <c r="N171" t="str">
        <f t="shared" si="5"/>
        <v>High Risk</v>
      </c>
    </row>
    <row r="172" spans="1:14" x14ac:dyDescent="0.3">
      <c r="A172">
        <v>171</v>
      </c>
      <c r="B172" t="s">
        <v>160</v>
      </c>
      <c r="C172">
        <v>81</v>
      </c>
      <c r="D172" t="s">
        <v>10</v>
      </c>
      <c r="E172">
        <v>8</v>
      </c>
      <c r="F172" s="1">
        <v>46107</v>
      </c>
      <c r="G172" s="1">
        <v>46125</v>
      </c>
      <c r="H172">
        <v>3</v>
      </c>
      <c r="I172" s="3">
        <v>82180.679999999993</v>
      </c>
      <c r="J172" t="str">
        <f>VLOOKUP(H172,Diagnosis!$A:$B,2,FALSE)</f>
        <v>Asthma</v>
      </c>
      <c r="K172" t="str">
        <f>VLOOKUP(H172,Outcome!A$2:$B$7,2,FALSE)</f>
        <v>Ongoing Treatment</v>
      </c>
      <c r="L172">
        <f t="shared" si="4"/>
        <v>18</v>
      </c>
      <c r="M172" t="str">
        <f>IF(Labs!E172&gt;120,"High","Normal")</f>
        <v>High</v>
      </c>
      <c r="N172" t="str">
        <f t="shared" si="5"/>
        <v>High Risk</v>
      </c>
    </row>
    <row r="173" spans="1:14" x14ac:dyDescent="0.3">
      <c r="A173">
        <v>172</v>
      </c>
      <c r="B173" t="s">
        <v>161</v>
      </c>
      <c r="C173">
        <v>42</v>
      </c>
      <c r="D173" t="s">
        <v>10</v>
      </c>
      <c r="E173">
        <v>3</v>
      </c>
      <c r="F173" s="1">
        <v>45462</v>
      </c>
      <c r="G173" s="1">
        <v>45464</v>
      </c>
      <c r="H173">
        <v>2</v>
      </c>
      <c r="I173" s="3">
        <v>114570.86</v>
      </c>
      <c r="J173" t="str">
        <f>VLOOKUP(H173,Diagnosis!$A:$B,2,FALSE)</f>
        <v>Hypertension</v>
      </c>
      <c r="K173" t="str">
        <f>VLOOKUP(H173,Outcome!A$2:$B$7,2,FALSE)</f>
        <v>Improved</v>
      </c>
      <c r="L173">
        <f t="shared" si="4"/>
        <v>2</v>
      </c>
      <c r="M173" t="str">
        <f>IF(Labs!E173&gt;120,"High","Normal")</f>
        <v>High</v>
      </c>
      <c r="N173" t="str">
        <f t="shared" si="5"/>
        <v>High Risk</v>
      </c>
    </row>
    <row r="174" spans="1:14" x14ac:dyDescent="0.3">
      <c r="A174">
        <v>173</v>
      </c>
      <c r="B174" t="s">
        <v>146</v>
      </c>
      <c r="C174">
        <v>8</v>
      </c>
      <c r="D174" t="s">
        <v>10</v>
      </c>
      <c r="E174">
        <v>9</v>
      </c>
      <c r="F174" s="1">
        <v>44713</v>
      </c>
      <c r="G174" s="1">
        <v>44722</v>
      </c>
      <c r="H174">
        <v>2</v>
      </c>
      <c r="I174" s="3">
        <v>9175.2900000000009</v>
      </c>
      <c r="J174" t="str">
        <f>VLOOKUP(H174,Diagnosis!$A:$B,2,FALSE)</f>
        <v>Hypertension</v>
      </c>
      <c r="K174" t="str">
        <f>VLOOKUP(H174,Outcome!A$2:$B$7,2,FALSE)</f>
        <v>Improved</v>
      </c>
      <c r="L174">
        <f t="shared" si="4"/>
        <v>9</v>
      </c>
      <c r="M174" t="str">
        <f>IF(Labs!E174&gt;120,"High","Normal")</f>
        <v>High</v>
      </c>
      <c r="N174" t="str">
        <f t="shared" si="5"/>
        <v>High Risk</v>
      </c>
    </row>
    <row r="175" spans="1:14" x14ac:dyDescent="0.3">
      <c r="A175">
        <v>174</v>
      </c>
      <c r="B175" t="s">
        <v>162</v>
      </c>
      <c r="C175">
        <v>10</v>
      </c>
      <c r="D175" t="s">
        <v>17</v>
      </c>
      <c r="E175">
        <v>10</v>
      </c>
      <c r="F175" s="1">
        <v>45778</v>
      </c>
      <c r="G175" s="1">
        <v>45794</v>
      </c>
      <c r="H175">
        <v>2</v>
      </c>
      <c r="I175" s="3">
        <v>105508.47</v>
      </c>
      <c r="J175" t="str">
        <f>VLOOKUP(H175,Diagnosis!$A:$B,2,FALSE)</f>
        <v>Hypertension</v>
      </c>
      <c r="K175" t="str">
        <f>VLOOKUP(H175,Outcome!A$2:$B$7,2,FALSE)</f>
        <v>Improved</v>
      </c>
      <c r="L175">
        <f t="shared" si="4"/>
        <v>16</v>
      </c>
      <c r="M175" t="str">
        <f>IF(Labs!E175&gt;120,"High","Normal")</f>
        <v>High</v>
      </c>
      <c r="N175" t="str">
        <f t="shared" si="5"/>
        <v>High Risk</v>
      </c>
    </row>
    <row r="176" spans="1:14" x14ac:dyDescent="0.3">
      <c r="A176">
        <v>175</v>
      </c>
      <c r="B176" t="s">
        <v>163</v>
      </c>
      <c r="C176">
        <v>74</v>
      </c>
      <c r="D176" t="s">
        <v>17</v>
      </c>
      <c r="E176">
        <v>6</v>
      </c>
      <c r="F176" s="1">
        <v>45801</v>
      </c>
      <c r="G176" s="1">
        <v>45816</v>
      </c>
      <c r="H176">
        <v>2</v>
      </c>
      <c r="I176" s="3">
        <v>172495.72</v>
      </c>
      <c r="J176" t="str">
        <f>VLOOKUP(H176,Diagnosis!$A:$B,2,FALSE)</f>
        <v>Hypertension</v>
      </c>
      <c r="K176" t="str">
        <f>VLOOKUP(H176,Outcome!A$2:$B$7,2,FALSE)</f>
        <v>Improved</v>
      </c>
      <c r="L176">
        <f t="shared" si="4"/>
        <v>15</v>
      </c>
      <c r="M176" t="str">
        <f>IF(Labs!E176&gt;120,"High","Normal")</f>
        <v>High</v>
      </c>
      <c r="N176" t="str">
        <f t="shared" si="5"/>
        <v>High Risk</v>
      </c>
    </row>
    <row r="177" spans="1:14" x14ac:dyDescent="0.3">
      <c r="A177">
        <v>176</v>
      </c>
      <c r="B177" t="s">
        <v>164</v>
      </c>
      <c r="C177">
        <v>44</v>
      </c>
      <c r="D177" t="s">
        <v>17</v>
      </c>
      <c r="E177">
        <v>9</v>
      </c>
      <c r="F177" s="1">
        <v>45885</v>
      </c>
      <c r="G177" s="1">
        <v>45890</v>
      </c>
      <c r="H177">
        <v>1</v>
      </c>
      <c r="I177" s="3">
        <v>128102.85</v>
      </c>
      <c r="J177" t="str">
        <f>VLOOKUP(H177,Diagnosis!$A:$B,2,FALSE)</f>
        <v>Diabetes</v>
      </c>
      <c r="K177" t="str">
        <f>VLOOKUP(H177,Outcome!A$2:$B$7,2,FALSE)</f>
        <v>Recovered</v>
      </c>
      <c r="L177">
        <f t="shared" si="4"/>
        <v>5</v>
      </c>
      <c r="M177" t="str">
        <f>IF(Labs!E177&gt;120,"High","Normal")</f>
        <v>High</v>
      </c>
      <c r="N177" t="str">
        <f t="shared" si="5"/>
        <v>low risk</v>
      </c>
    </row>
    <row r="178" spans="1:14" x14ac:dyDescent="0.3">
      <c r="A178">
        <v>177</v>
      </c>
      <c r="B178" t="s">
        <v>165</v>
      </c>
      <c r="C178">
        <v>67</v>
      </c>
      <c r="D178" t="s">
        <v>17</v>
      </c>
      <c r="E178">
        <v>6</v>
      </c>
      <c r="F178" s="1">
        <v>45325</v>
      </c>
      <c r="G178" s="1">
        <v>45354</v>
      </c>
      <c r="H178">
        <v>1</v>
      </c>
      <c r="I178" s="3">
        <v>75056.570000000007</v>
      </c>
      <c r="J178" t="str">
        <f>VLOOKUP(H178,Diagnosis!$A:$B,2,FALSE)</f>
        <v>Diabetes</v>
      </c>
      <c r="K178" t="str">
        <f>VLOOKUP(H178,Outcome!A$2:$B$7,2,FALSE)</f>
        <v>Recovered</v>
      </c>
      <c r="L178">
        <f t="shared" si="4"/>
        <v>29</v>
      </c>
      <c r="M178" t="str">
        <f>IF(Labs!E178&gt;120,"High","Normal")</f>
        <v>High</v>
      </c>
      <c r="N178" t="str">
        <f t="shared" si="5"/>
        <v>High Risk</v>
      </c>
    </row>
    <row r="179" spans="1:14" x14ac:dyDescent="0.3">
      <c r="A179">
        <v>178</v>
      </c>
      <c r="B179" t="s">
        <v>166</v>
      </c>
      <c r="C179">
        <v>7</v>
      </c>
      <c r="D179" t="s">
        <v>10</v>
      </c>
      <c r="E179">
        <v>2</v>
      </c>
      <c r="F179" s="1">
        <v>45237</v>
      </c>
      <c r="G179" s="1">
        <v>45240</v>
      </c>
      <c r="H179">
        <v>2</v>
      </c>
      <c r="I179" s="3">
        <v>71115.149999999994</v>
      </c>
      <c r="J179" t="str">
        <f>VLOOKUP(H179,Diagnosis!$A:$B,2,FALSE)</f>
        <v>Hypertension</v>
      </c>
      <c r="K179" t="str">
        <f>VLOOKUP(H179,Outcome!A$2:$B$7,2,FALSE)</f>
        <v>Improved</v>
      </c>
      <c r="L179">
        <f t="shared" si="4"/>
        <v>3</v>
      </c>
      <c r="M179" t="str">
        <f>IF(Labs!E179&gt;120,"High","Normal")</f>
        <v>High</v>
      </c>
      <c r="N179" t="str">
        <f t="shared" si="5"/>
        <v>High Risk</v>
      </c>
    </row>
    <row r="180" spans="1:14" x14ac:dyDescent="0.3">
      <c r="A180">
        <v>179</v>
      </c>
      <c r="B180" t="s">
        <v>167</v>
      </c>
      <c r="C180">
        <v>20</v>
      </c>
      <c r="D180" t="s">
        <v>10</v>
      </c>
      <c r="E180">
        <v>2</v>
      </c>
      <c r="F180" s="1">
        <v>45755</v>
      </c>
      <c r="G180" s="1">
        <v>45776</v>
      </c>
      <c r="H180">
        <v>1</v>
      </c>
      <c r="I180" s="3">
        <v>64593.19</v>
      </c>
      <c r="J180" t="str">
        <f>VLOOKUP(H180,Diagnosis!$A:$B,2,FALSE)</f>
        <v>Diabetes</v>
      </c>
      <c r="K180" t="str">
        <f>VLOOKUP(H180,Outcome!A$2:$B$7,2,FALSE)</f>
        <v>Recovered</v>
      </c>
      <c r="L180">
        <f t="shared" si="4"/>
        <v>21</v>
      </c>
      <c r="M180" t="str">
        <f>IF(Labs!E180&gt;120,"High","Normal")</f>
        <v>High</v>
      </c>
      <c r="N180" t="str">
        <f t="shared" si="5"/>
        <v>low risk</v>
      </c>
    </row>
    <row r="181" spans="1:14" x14ac:dyDescent="0.3">
      <c r="A181">
        <v>180</v>
      </c>
      <c r="B181" t="s">
        <v>45</v>
      </c>
      <c r="C181">
        <v>77</v>
      </c>
      <c r="D181" t="s">
        <v>17</v>
      </c>
      <c r="E181">
        <v>5</v>
      </c>
      <c r="F181" s="1">
        <v>45706</v>
      </c>
      <c r="G181" s="1">
        <v>45718</v>
      </c>
      <c r="H181">
        <v>2</v>
      </c>
      <c r="I181" s="3">
        <v>60804.59</v>
      </c>
      <c r="J181" t="str">
        <f>VLOOKUP(H181,Diagnosis!$A:$B,2,FALSE)</f>
        <v>Hypertension</v>
      </c>
      <c r="K181" t="str">
        <f>VLOOKUP(H181,Outcome!A$2:$B$7,2,FALSE)</f>
        <v>Improved</v>
      </c>
      <c r="L181">
        <f t="shared" si="4"/>
        <v>12</v>
      </c>
      <c r="M181" t="str">
        <f>IF(Labs!E181&gt;120,"High","Normal")</f>
        <v>High</v>
      </c>
      <c r="N181" t="str">
        <f t="shared" si="5"/>
        <v>High Risk</v>
      </c>
    </row>
    <row r="182" spans="1:14" x14ac:dyDescent="0.3">
      <c r="A182">
        <v>181</v>
      </c>
      <c r="B182" t="s">
        <v>168</v>
      </c>
      <c r="C182">
        <v>12</v>
      </c>
      <c r="D182" t="s">
        <v>10</v>
      </c>
      <c r="E182">
        <v>9</v>
      </c>
      <c r="F182" s="1">
        <v>45303</v>
      </c>
      <c r="G182" s="1">
        <v>45303</v>
      </c>
      <c r="H182">
        <v>2</v>
      </c>
      <c r="I182" s="3">
        <v>34496.67</v>
      </c>
      <c r="J182" t="str">
        <f>VLOOKUP(H182,Diagnosis!$A:$B,2,FALSE)</f>
        <v>Hypertension</v>
      </c>
      <c r="K182" t="str">
        <f>VLOOKUP(H182,Outcome!A$2:$B$7,2,FALSE)</f>
        <v>Improved</v>
      </c>
      <c r="L182">
        <f t="shared" si="4"/>
        <v>0</v>
      </c>
      <c r="M182" t="str">
        <f>IF(Labs!E182&gt;120,"High","Normal")</f>
        <v>High</v>
      </c>
      <c r="N182" t="str">
        <f t="shared" si="5"/>
        <v>High Risk</v>
      </c>
    </row>
    <row r="183" spans="1:14" x14ac:dyDescent="0.3">
      <c r="A183">
        <v>182</v>
      </c>
      <c r="B183" t="s">
        <v>169</v>
      </c>
      <c r="C183">
        <v>63</v>
      </c>
      <c r="D183" t="s">
        <v>17</v>
      </c>
      <c r="E183">
        <v>4</v>
      </c>
      <c r="F183" s="1">
        <v>44843</v>
      </c>
      <c r="G183" s="1">
        <v>44847</v>
      </c>
      <c r="H183">
        <v>1</v>
      </c>
      <c r="I183" s="3">
        <v>152386.04</v>
      </c>
      <c r="J183" t="str">
        <f>VLOOKUP(H183,Diagnosis!$A:$B,2,FALSE)</f>
        <v>Diabetes</v>
      </c>
      <c r="K183" t="str">
        <f>VLOOKUP(H183,Outcome!A$2:$B$7,2,FALSE)</f>
        <v>Recovered</v>
      </c>
      <c r="L183">
        <f t="shared" si="4"/>
        <v>4</v>
      </c>
      <c r="M183" t="str">
        <f>IF(Labs!E183&gt;120,"High","Normal")</f>
        <v>High</v>
      </c>
      <c r="N183" t="str">
        <f t="shared" si="5"/>
        <v>low risk</v>
      </c>
    </row>
    <row r="184" spans="1:14" x14ac:dyDescent="0.3">
      <c r="A184">
        <v>183</v>
      </c>
      <c r="B184" t="s">
        <v>170</v>
      </c>
      <c r="C184">
        <v>70</v>
      </c>
      <c r="D184" t="s">
        <v>17</v>
      </c>
      <c r="E184">
        <v>6</v>
      </c>
      <c r="F184" s="1">
        <v>46131</v>
      </c>
      <c r="G184" s="1">
        <v>46150</v>
      </c>
      <c r="H184">
        <v>1</v>
      </c>
      <c r="I184" s="3">
        <v>69367.78</v>
      </c>
      <c r="J184" t="str">
        <f>VLOOKUP(H184,Diagnosis!$A:$B,2,FALSE)</f>
        <v>Diabetes</v>
      </c>
      <c r="K184" t="str">
        <f>VLOOKUP(H184,Outcome!A$2:$B$7,2,FALSE)</f>
        <v>Recovered</v>
      </c>
      <c r="L184">
        <f t="shared" si="4"/>
        <v>19</v>
      </c>
      <c r="M184" t="str">
        <f>IF(Labs!E184&gt;120,"High","Normal")</f>
        <v>High</v>
      </c>
      <c r="N184" t="str">
        <f t="shared" si="5"/>
        <v>High Risk</v>
      </c>
    </row>
    <row r="185" spans="1:14" x14ac:dyDescent="0.3">
      <c r="A185">
        <v>184</v>
      </c>
      <c r="B185" t="s">
        <v>54</v>
      </c>
      <c r="C185">
        <v>89</v>
      </c>
      <c r="D185" t="s">
        <v>17</v>
      </c>
      <c r="E185">
        <v>8</v>
      </c>
      <c r="F185" s="1">
        <v>44651</v>
      </c>
      <c r="G185" s="1">
        <v>44664</v>
      </c>
      <c r="H185">
        <v>2</v>
      </c>
      <c r="I185" s="3">
        <v>130226.46</v>
      </c>
      <c r="J185" t="str">
        <f>VLOOKUP(H185,Diagnosis!$A:$B,2,FALSE)</f>
        <v>Hypertension</v>
      </c>
      <c r="K185" t="str">
        <f>VLOOKUP(H185,Outcome!A$2:$B$7,2,FALSE)</f>
        <v>Improved</v>
      </c>
      <c r="L185">
        <f t="shared" si="4"/>
        <v>13</v>
      </c>
      <c r="M185" t="str">
        <f>IF(Labs!E185&gt;120,"High","Normal")</f>
        <v>High</v>
      </c>
      <c r="N185" t="str">
        <f t="shared" si="5"/>
        <v>High Risk</v>
      </c>
    </row>
    <row r="186" spans="1:14" x14ac:dyDescent="0.3">
      <c r="A186">
        <v>185</v>
      </c>
      <c r="B186" t="s">
        <v>171</v>
      </c>
      <c r="C186">
        <v>37</v>
      </c>
      <c r="D186" t="s">
        <v>10</v>
      </c>
      <c r="E186">
        <v>4</v>
      </c>
      <c r="F186" s="1">
        <v>45655</v>
      </c>
      <c r="G186" s="1">
        <v>45662</v>
      </c>
      <c r="H186">
        <v>1</v>
      </c>
      <c r="I186" s="3">
        <v>146030.74</v>
      </c>
      <c r="J186" t="str">
        <f>VLOOKUP(H186,Diagnosis!$A:$B,2,FALSE)</f>
        <v>Diabetes</v>
      </c>
      <c r="K186" t="str">
        <f>VLOOKUP(H186,Outcome!A$2:$B$7,2,FALSE)</f>
        <v>Recovered</v>
      </c>
      <c r="L186">
        <f t="shared" si="4"/>
        <v>7</v>
      </c>
      <c r="M186" t="str">
        <f>IF(Labs!E186&gt;120,"High","Normal")</f>
        <v>High</v>
      </c>
      <c r="N186" t="str">
        <f t="shared" si="5"/>
        <v>low risk</v>
      </c>
    </row>
    <row r="187" spans="1:14" x14ac:dyDescent="0.3">
      <c r="A187">
        <v>186</v>
      </c>
      <c r="B187" t="s">
        <v>39</v>
      </c>
      <c r="C187">
        <v>48</v>
      </c>
      <c r="D187" t="s">
        <v>10</v>
      </c>
      <c r="E187">
        <v>8</v>
      </c>
      <c r="F187" s="1">
        <v>46137</v>
      </c>
      <c r="G187" s="1">
        <v>46146</v>
      </c>
      <c r="H187">
        <v>4</v>
      </c>
      <c r="I187" s="3">
        <v>91765.94</v>
      </c>
      <c r="J187" t="str">
        <f>VLOOKUP(H187,Diagnosis!$A:$B,2,FALSE)</f>
        <v>Pneumonia</v>
      </c>
      <c r="K187" t="str">
        <f>VLOOKUP(H187,Outcome!A$2:$B$7,2,FALSE)</f>
        <v>Referred</v>
      </c>
      <c r="L187">
        <f t="shared" si="4"/>
        <v>9</v>
      </c>
      <c r="M187" t="str">
        <f>IF(Labs!E187&gt;120,"High","Normal")</f>
        <v>High</v>
      </c>
      <c r="N187" t="str">
        <f t="shared" si="5"/>
        <v>High Risk</v>
      </c>
    </row>
    <row r="188" spans="1:14" x14ac:dyDescent="0.3">
      <c r="A188">
        <v>187</v>
      </c>
      <c r="B188" t="s">
        <v>172</v>
      </c>
      <c r="C188">
        <v>26</v>
      </c>
      <c r="D188" t="s">
        <v>17</v>
      </c>
      <c r="E188">
        <v>5</v>
      </c>
      <c r="F188" s="1">
        <v>44668</v>
      </c>
      <c r="G188" s="1">
        <v>44688</v>
      </c>
      <c r="H188">
        <v>2</v>
      </c>
      <c r="I188" s="3">
        <v>68390.149999999994</v>
      </c>
      <c r="J188" t="str">
        <f>VLOOKUP(H188,Diagnosis!$A:$B,2,FALSE)</f>
        <v>Hypertension</v>
      </c>
      <c r="K188" t="str">
        <f>VLOOKUP(H188,Outcome!A$2:$B$7,2,FALSE)</f>
        <v>Improved</v>
      </c>
      <c r="L188">
        <f t="shared" si="4"/>
        <v>20</v>
      </c>
      <c r="M188" t="str">
        <f>IF(Labs!E188&gt;120,"High","Normal")</f>
        <v>High</v>
      </c>
      <c r="N188" t="str">
        <f t="shared" si="5"/>
        <v>High Risk</v>
      </c>
    </row>
    <row r="189" spans="1:14" x14ac:dyDescent="0.3">
      <c r="A189">
        <v>188</v>
      </c>
      <c r="B189" t="s">
        <v>170</v>
      </c>
      <c r="C189">
        <v>16</v>
      </c>
      <c r="D189" t="s">
        <v>10</v>
      </c>
      <c r="E189">
        <v>2</v>
      </c>
      <c r="F189" s="1">
        <v>46124</v>
      </c>
      <c r="G189" s="1">
        <v>46129</v>
      </c>
      <c r="H189">
        <v>1</v>
      </c>
      <c r="I189" s="3">
        <v>163191.85</v>
      </c>
      <c r="J189" t="str">
        <f>VLOOKUP(H189,Diagnosis!$A:$B,2,FALSE)</f>
        <v>Diabetes</v>
      </c>
      <c r="K189" t="str">
        <f>VLOOKUP(H189,Outcome!A$2:$B$7,2,FALSE)</f>
        <v>Recovered</v>
      </c>
      <c r="L189">
        <f t="shared" si="4"/>
        <v>5</v>
      </c>
      <c r="M189" t="str">
        <f>IF(Labs!E189&gt;120,"High","Normal")</f>
        <v>High</v>
      </c>
      <c r="N189" t="str">
        <f t="shared" si="5"/>
        <v>low risk</v>
      </c>
    </row>
    <row r="190" spans="1:14" x14ac:dyDescent="0.3">
      <c r="A190">
        <v>189</v>
      </c>
      <c r="B190" t="s">
        <v>173</v>
      </c>
      <c r="C190">
        <v>12</v>
      </c>
      <c r="D190" t="s">
        <v>17</v>
      </c>
      <c r="E190">
        <v>8</v>
      </c>
      <c r="F190" s="1">
        <v>45277</v>
      </c>
      <c r="G190" s="1">
        <v>45306</v>
      </c>
      <c r="H190">
        <v>1</v>
      </c>
      <c r="I190" s="3">
        <v>11953.1</v>
      </c>
      <c r="J190" t="str">
        <f>VLOOKUP(H190,Diagnosis!$A:$B,2,FALSE)</f>
        <v>Diabetes</v>
      </c>
      <c r="K190" t="str">
        <f>VLOOKUP(H190,Outcome!A$2:$B$7,2,FALSE)</f>
        <v>Recovered</v>
      </c>
      <c r="L190">
        <f t="shared" si="4"/>
        <v>29</v>
      </c>
      <c r="M190" t="str">
        <f>IF(Labs!E190&gt;120,"High","Normal")</f>
        <v>High</v>
      </c>
      <c r="N190" t="str">
        <f t="shared" si="5"/>
        <v>low risk</v>
      </c>
    </row>
    <row r="191" spans="1:14" x14ac:dyDescent="0.3">
      <c r="A191">
        <v>190</v>
      </c>
      <c r="B191" t="s">
        <v>174</v>
      </c>
      <c r="C191">
        <v>31</v>
      </c>
      <c r="D191" t="s">
        <v>10</v>
      </c>
      <c r="E191">
        <v>2</v>
      </c>
      <c r="F191" s="1">
        <v>45329</v>
      </c>
      <c r="G191" s="1">
        <v>45336</v>
      </c>
      <c r="H191">
        <v>1</v>
      </c>
      <c r="I191" s="3">
        <v>167721.60000000001</v>
      </c>
      <c r="J191" t="str">
        <f>VLOOKUP(H191,Diagnosis!$A:$B,2,FALSE)</f>
        <v>Diabetes</v>
      </c>
      <c r="K191" t="str">
        <f>VLOOKUP(H191,Outcome!A$2:$B$7,2,FALSE)</f>
        <v>Recovered</v>
      </c>
      <c r="L191">
        <f t="shared" si="4"/>
        <v>7</v>
      </c>
      <c r="M191" t="str">
        <f>IF(Labs!E191&gt;120,"High","Normal")</f>
        <v>High</v>
      </c>
      <c r="N191" t="str">
        <f t="shared" si="5"/>
        <v>low risk</v>
      </c>
    </row>
    <row r="192" spans="1:14" x14ac:dyDescent="0.3">
      <c r="A192">
        <v>191</v>
      </c>
      <c r="B192" t="s">
        <v>135</v>
      </c>
      <c r="C192">
        <v>18</v>
      </c>
      <c r="D192" t="s">
        <v>17</v>
      </c>
      <c r="E192">
        <v>5</v>
      </c>
      <c r="F192" s="1">
        <v>46261</v>
      </c>
      <c r="G192" s="1">
        <v>46276</v>
      </c>
      <c r="H192">
        <v>3</v>
      </c>
      <c r="I192" s="3">
        <v>27135.7</v>
      </c>
      <c r="J192" t="str">
        <f>VLOOKUP(H192,Diagnosis!$A:$B,2,FALSE)</f>
        <v>Asthma</v>
      </c>
      <c r="K192" t="str">
        <f>VLOOKUP(H192,Outcome!A$2:$B$7,2,FALSE)</f>
        <v>Ongoing Treatment</v>
      </c>
      <c r="L192">
        <f t="shared" si="4"/>
        <v>15</v>
      </c>
      <c r="M192" t="str">
        <f>IF(Labs!E192&gt;120,"High","Normal")</f>
        <v>High</v>
      </c>
      <c r="N192" t="str">
        <f t="shared" si="5"/>
        <v>High Risk</v>
      </c>
    </row>
    <row r="193" spans="1:14" x14ac:dyDescent="0.3">
      <c r="A193">
        <v>192</v>
      </c>
      <c r="B193" t="s">
        <v>83</v>
      </c>
      <c r="C193">
        <v>79</v>
      </c>
      <c r="D193" t="s">
        <v>17</v>
      </c>
      <c r="E193">
        <v>2</v>
      </c>
      <c r="F193" s="1">
        <v>44600</v>
      </c>
      <c r="G193" s="1">
        <v>44608</v>
      </c>
      <c r="H193">
        <v>1</v>
      </c>
      <c r="I193" s="3">
        <v>29039.73</v>
      </c>
      <c r="J193" t="str">
        <f>VLOOKUP(H193,Diagnosis!$A:$B,2,FALSE)</f>
        <v>Diabetes</v>
      </c>
      <c r="K193" t="str">
        <f>VLOOKUP(H193,Outcome!A$2:$B$7,2,FALSE)</f>
        <v>Recovered</v>
      </c>
      <c r="L193">
        <f t="shared" si="4"/>
        <v>8</v>
      </c>
      <c r="M193" t="str">
        <f>IF(Labs!E193&gt;120,"High","Normal")</f>
        <v>High</v>
      </c>
      <c r="N193" t="str">
        <f t="shared" si="5"/>
        <v>High Risk</v>
      </c>
    </row>
    <row r="194" spans="1:14" x14ac:dyDescent="0.3">
      <c r="A194">
        <v>193</v>
      </c>
      <c r="B194" t="s">
        <v>110</v>
      </c>
      <c r="C194">
        <v>55</v>
      </c>
      <c r="D194" t="s">
        <v>17</v>
      </c>
      <c r="E194">
        <v>5</v>
      </c>
      <c r="F194" s="1">
        <v>45048</v>
      </c>
      <c r="G194" s="1">
        <v>45057</v>
      </c>
      <c r="H194">
        <v>1</v>
      </c>
      <c r="I194" s="3">
        <v>44823.01</v>
      </c>
      <c r="J194" t="str">
        <f>VLOOKUP(H194,Diagnosis!$A:$B,2,FALSE)</f>
        <v>Diabetes</v>
      </c>
      <c r="K194" t="str">
        <f>VLOOKUP(H194,Outcome!A$2:$B$7,2,FALSE)</f>
        <v>Recovered</v>
      </c>
      <c r="L194">
        <f t="shared" si="4"/>
        <v>9</v>
      </c>
      <c r="M194" t="str">
        <f>IF(Labs!E194&gt;120,"High","Normal")</f>
        <v>High</v>
      </c>
      <c r="N194" t="str">
        <f t="shared" si="5"/>
        <v>low risk</v>
      </c>
    </row>
    <row r="195" spans="1:14" x14ac:dyDescent="0.3">
      <c r="A195">
        <v>194</v>
      </c>
      <c r="B195" t="s">
        <v>157</v>
      </c>
      <c r="C195">
        <v>9</v>
      </c>
      <c r="D195" t="s">
        <v>17</v>
      </c>
      <c r="E195">
        <v>8</v>
      </c>
      <c r="F195" s="1">
        <v>45784</v>
      </c>
      <c r="G195" s="1">
        <v>45801</v>
      </c>
      <c r="H195">
        <v>1</v>
      </c>
      <c r="I195" s="3">
        <v>93979.19</v>
      </c>
      <c r="J195" t="str">
        <f>VLOOKUP(H195,Diagnosis!$A:$B,2,FALSE)</f>
        <v>Diabetes</v>
      </c>
      <c r="K195" t="str">
        <f>VLOOKUP(H195,Outcome!A$2:$B$7,2,FALSE)</f>
        <v>Recovered</v>
      </c>
      <c r="L195">
        <f t="shared" ref="L195:L258" si="6">DATEDIF(F195,G195,"d")</f>
        <v>17</v>
      </c>
      <c r="M195" t="str">
        <f>IF(Labs!E195&gt;120,"High","Normal")</f>
        <v>High</v>
      </c>
      <c r="N195" t="str">
        <f t="shared" si="5"/>
        <v>low risk</v>
      </c>
    </row>
    <row r="196" spans="1:14" x14ac:dyDescent="0.3">
      <c r="A196">
        <v>195</v>
      </c>
      <c r="B196" t="s">
        <v>175</v>
      </c>
      <c r="C196">
        <v>38</v>
      </c>
      <c r="D196" t="s">
        <v>10</v>
      </c>
      <c r="E196">
        <v>1</v>
      </c>
      <c r="F196" s="1">
        <v>45821</v>
      </c>
      <c r="G196" s="1">
        <v>45832</v>
      </c>
      <c r="H196">
        <v>1</v>
      </c>
      <c r="I196" s="3">
        <v>76440.75</v>
      </c>
      <c r="J196" t="str">
        <f>VLOOKUP(H196,Diagnosis!$A:$B,2,FALSE)</f>
        <v>Diabetes</v>
      </c>
      <c r="K196" t="str">
        <f>VLOOKUP(H196,Outcome!A$2:$B$7,2,FALSE)</f>
        <v>Recovered</v>
      </c>
      <c r="L196">
        <f t="shared" si="6"/>
        <v>11</v>
      </c>
      <c r="M196" t="str">
        <f>IF(Labs!E196&gt;120,"High","Normal")</f>
        <v>High</v>
      </c>
      <c r="N196" t="str">
        <f t="shared" ref="N196:N259" si="7">IF(OR(C196&gt;65,H196&lt;&gt;1),"High Risk","low risk")</f>
        <v>low risk</v>
      </c>
    </row>
    <row r="197" spans="1:14" x14ac:dyDescent="0.3">
      <c r="A197">
        <v>196</v>
      </c>
      <c r="B197" t="s">
        <v>176</v>
      </c>
      <c r="C197">
        <v>47</v>
      </c>
      <c r="D197" t="s">
        <v>17</v>
      </c>
      <c r="E197">
        <v>9</v>
      </c>
      <c r="F197" s="1">
        <v>45676</v>
      </c>
      <c r="G197" s="1">
        <v>45692</v>
      </c>
      <c r="H197">
        <v>4</v>
      </c>
      <c r="I197" s="3">
        <v>92603.01</v>
      </c>
      <c r="J197" t="str">
        <f>VLOOKUP(H197,Diagnosis!$A:$B,2,FALSE)</f>
        <v>Pneumonia</v>
      </c>
      <c r="K197" t="str">
        <f>VLOOKUP(H197,Outcome!A$2:$B$7,2,FALSE)</f>
        <v>Referred</v>
      </c>
      <c r="L197">
        <f t="shared" si="6"/>
        <v>16</v>
      </c>
      <c r="M197" t="str">
        <f>IF(Labs!E197&gt;120,"High","Normal")</f>
        <v>High</v>
      </c>
      <c r="N197" t="str">
        <f t="shared" si="7"/>
        <v>High Risk</v>
      </c>
    </row>
    <row r="198" spans="1:14" x14ac:dyDescent="0.3">
      <c r="A198">
        <v>197</v>
      </c>
      <c r="B198" t="s">
        <v>177</v>
      </c>
      <c r="C198">
        <v>61</v>
      </c>
      <c r="D198" t="s">
        <v>17</v>
      </c>
      <c r="E198">
        <v>7</v>
      </c>
      <c r="F198" s="1">
        <v>45326</v>
      </c>
      <c r="G198" s="1">
        <v>45334</v>
      </c>
      <c r="H198">
        <v>3</v>
      </c>
      <c r="I198" s="3">
        <v>65884.160000000003</v>
      </c>
      <c r="J198" t="str">
        <f>VLOOKUP(H198,Diagnosis!$A:$B,2,FALSE)</f>
        <v>Asthma</v>
      </c>
      <c r="K198" t="str">
        <f>VLOOKUP(H198,Outcome!A$2:$B$7,2,FALSE)</f>
        <v>Ongoing Treatment</v>
      </c>
      <c r="L198">
        <f t="shared" si="6"/>
        <v>8</v>
      </c>
      <c r="M198" t="str">
        <f>IF(Labs!E198&gt;120,"High","Normal")</f>
        <v>High</v>
      </c>
      <c r="N198" t="str">
        <f t="shared" si="7"/>
        <v>High Risk</v>
      </c>
    </row>
    <row r="199" spans="1:14" x14ac:dyDescent="0.3">
      <c r="A199">
        <v>198</v>
      </c>
      <c r="B199" t="s">
        <v>178</v>
      </c>
      <c r="C199">
        <v>31</v>
      </c>
      <c r="D199" t="s">
        <v>17</v>
      </c>
      <c r="E199">
        <v>10</v>
      </c>
      <c r="F199" s="1">
        <v>46067</v>
      </c>
      <c r="G199" s="1">
        <v>46091</v>
      </c>
      <c r="H199">
        <v>1</v>
      </c>
      <c r="I199" s="3">
        <v>10369.58</v>
      </c>
      <c r="J199" t="str">
        <f>VLOOKUP(H199,Diagnosis!$A:$B,2,FALSE)</f>
        <v>Diabetes</v>
      </c>
      <c r="K199" t="str">
        <f>VLOOKUP(H199,Outcome!A$2:$B$7,2,FALSE)</f>
        <v>Recovered</v>
      </c>
      <c r="L199">
        <f t="shared" si="6"/>
        <v>24</v>
      </c>
      <c r="M199" t="str">
        <f>IF(Labs!E199&gt;120,"High","Normal")</f>
        <v>High</v>
      </c>
      <c r="N199" t="str">
        <f t="shared" si="7"/>
        <v>low risk</v>
      </c>
    </row>
    <row r="200" spans="1:14" x14ac:dyDescent="0.3">
      <c r="A200">
        <v>199</v>
      </c>
      <c r="B200" t="s">
        <v>179</v>
      </c>
      <c r="C200">
        <v>83</v>
      </c>
      <c r="D200" t="s">
        <v>17</v>
      </c>
      <c r="E200">
        <v>8</v>
      </c>
      <c r="F200" s="1">
        <v>45986</v>
      </c>
      <c r="G200" s="1">
        <v>46001</v>
      </c>
      <c r="H200">
        <v>2</v>
      </c>
      <c r="I200" s="3">
        <v>146540.84</v>
      </c>
      <c r="J200" t="str">
        <f>VLOOKUP(H200,Diagnosis!$A:$B,2,FALSE)</f>
        <v>Hypertension</v>
      </c>
      <c r="K200" t="str">
        <f>VLOOKUP(H200,Outcome!A$2:$B$7,2,FALSE)</f>
        <v>Improved</v>
      </c>
      <c r="L200">
        <f t="shared" si="6"/>
        <v>15</v>
      </c>
      <c r="M200" t="str">
        <f>IF(Labs!E200&gt;120,"High","Normal")</f>
        <v>High</v>
      </c>
      <c r="N200" t="str">
        <f t="shared" si="7"/>
        <v>High Risk</v>
      </c>
    </row>
    <row r="201" spans="1:14" x14ac:dyDescent="0.3">
      <c r="A201">
        <v>200</v>
      </c>
      <c r="B201" t="s">
        <v>180</v>
      </c>
      <c r="C201">
        <v>5</v>
      </c>
      <c r="D201" t="s">
        <v>10</v>
      </c>
      <c r="E201">
        <v>4</v>
      </c>
      <c r="F201" s="1">
        <v>44651</v>
      </c>
      <c r="G201" s="1">
        <v>44676</v>
      </c>
      <c r="H201">
        <v>1</v>
      </c>
      <c r="I201" s="3">
        <v>9938.2999999999993</v>
      </c>
      <c r="J201" t="str">
        <f>VLOOKUP(H201,Diagnosis!$A:$B,2,FALSE)</f>
        <v>Diabetes</v>
      </c>
      <c r="K201" t="str">
        <f>VLOOKUP(H201,Outcome!A$2:$B$7,2,FALSE)</f>
        <v>Recovered</v>
      </c>
      <c r="L201">
        <f t="shared" si="6"/>
        <v>25</v>
      </c>
      <c r="M201" t="str">
        <f>IF(Labs!E201&gt;120,"High","Normal")</f>
        <v>High</v>
      </c>
      <c r="N201" t="str">
        <f t="shared" si="7"/>
        <v>low risk</v>
      </c>
    </row>
    <row r="202" spans="1:14" x14ac:dyDescent="0.3">
      <c r="A202">
        <v>201</v>
      </c>
      <c r="B202" t="s">
        <v>181</v>
      </c>
      <c r="C202">
        <v>51</v>
      </c>
      <c r="D202" t="s">
        <v>10</v>
      </c>
      <c r="E202">
        <v>5</v>
      </c>
      <c r="F202" s="1">
        <v>44636</v>
      </c>
      <c r="G202" s="1">
        <v>44660</v>
      </c>
      <c r="H202">
        <v>2</v>
      </c>
      <c r="I202" s="3">
        <v>53284.68</v>
      </c>
      <c r="J202" t="str">
        <f>VLOOKUP(H202,Diagnosis!$A:$B,2,FALSE)</f>
        <v>Hypertension</v>
      </c>
      <c r="K202" t="str">
        <f>VLOOKUP(H202,Outcome!A$2:$B$7,2,FALSE)</f>
        <v>Improved</v>
      </c>
      <c r="L202">
        <f t="shared" si="6"/>
        <v>24</v>
      </c>
      <c r="M202" t="str">
        <f>IF(Labs!E202&gt;120,"High","Normal")</f>
        <v>High</v>
      </c>
      <c r="N202" t="str">
        <f t="shared" si="7"/>
        <v>High Risk</v>
      </c>
    </row>
    <row r="203" spans="1:14" x14ac:dyDescent="0.3">
      <c r="A203">
        <v>202</v>
      </c>
      <c r="B203" t="s">
        <v>182</v>
      </c>
      <c r="C203">
        <v>35</v>
      </c>
      <c r="D203" t="s">
        <v>17</v>
      </c>
      <c r="E203">
        <v>6</v>
      </c>
      <c r="F203" s="1">
        <v>45456</v>
      </c>
      <c r="G203" s="1">
        <v>45484</v>
      </c>
      <c r="H203">
        <v>2</v>
      </c>
      <c r="I203" s="3">
        <v>80553.25</v>
      </c>
      <c r="J203" t="str">
        <f>VLOOKUP(H203,Diagnosis!$A:$B,2,FALSE)</f>
        <v>Hypertension</v>
      </c>
      <c r="K203" t="str">
        <f>VLOOKUP(H203,Outcome!A$2:$B$7,2,FALSE)</f>
        <v>Improved</v>
      </c>
      <c r="L203">
        <f t="shared" si="6"/>
        <v>28</v>
      </c>
      <c r="M203" t="str">
        <f>IF(Labs!E203&gt;120,"High","Normal")</f>
        <v>High</v>
      </c>
      <c r="N203" t="str">
        <f t="shared" si="7"/>
        <v>High Risk</v>
      </c>
    </row>
    <row r="204" spans="1:14" x14ac:dyDescent="0.3">
      <c r="A204">
        <v>203</v>
      </c>
      <c r="B204" t="s">
        <v>183</v>
      </c>
      <c r="C204">
        <v>24</v>
      </c>
      <c r="D204" t="s">
        <v>10</v>
      </c>
      <c r="E204">
        <v>8</v>
      </c>
      <c r="F204" s="1">
        <v>45314</v>
      </c>
      <c r="G204" s="1">
        <v>45343</v>
      </c>
      <c r="H204">
        <v>4</v>
      </c>
      <c r="I204" s="3">
        <v>49842.92</v>
      </c>
      <c r="J204" t="str">
        <f>VLOOKUP(H204,Diagnosis!$A:$B,2,FALSE)</f>
        <v>Pneumonia</v>
      </c>
      <c r="K204" t="str">
        <f>VLOOKUP(H204,Outcome!A$2:$B$7,2,FALSE)</f>
        <v>Referred</v>
      </c>
      <c r="L204">
        <f t="shared" si="6"/>
        <v>29</v>
      </c>
      <c r="M204" t="str">
        <f>IF(Labs!E204&gt;120,"High","Normal")</f>
        <v>High</v>
      </c>
      <c r="N204" t="str">
        <f t="shared" si="7"/>
        <v>High Risk</v>
      </c>
    </row>
    <row r="205" spans="1:14" x14ac:dyDescent="0.3">
      <c r="A205">
        <v>204</v>
      </c>
      <c r="B205" t="s">
        <v>118</v>
      </c>
      <c r="C205">
        <v>11</v>
      </c>
      <c r="D205" t="s">
        <v>10</v>
      </c>
      <c r="E205">
        <v>10</v>
      </c>
      <c r="F205" s="1">
        <v>46246</v>
      </c>
      <c r="G205" s="1">
        <v>46251</v>
      </c>
      <c r="H205">
        <v>2</v>
      </c>
      <c r="I205" s="3">
        <v>59515.03</v>
      </c>
      <c r="J205" t="str">
        <f>VLOOKUP(H205,Diagnosis!$A:$B,2,FALSE)</f>
        <v>Hypertension</v>
      </c>
      <c r="K205" t="str">
        <f>VLOOKUP(H205,Outcome!A$2:$B$7,2,FALSE)</f>
        <v>Improved</v>
      </c>
      <c r="L205">
        <f t="shared" si="6"/>
        <v>5</v>
      </c>
      <c r="M205" t="str">
        <f>IF(Labs!E205&gt;120,"High","Normal")</f>
        <v>High</v>
      </c>
      <c r="N205" t="str">
        <f t="shared" si="7"/>
        <v>High Risk</v>
      </c>
    </row>
    <row r="206" spans="1:14" x14ac:dyDescent="0.3">
      <c r="A206">
        <v>205</v>
      </c>
      <c r="B206" t="s">
        <v>184</v>
      </c>
      <c r="C206">
        <v>85</v>
      </c>
      <c r="D206" t="s">
        <v>10</v>
      </c>
      <c r="E206">
        <v>5</v>
      </c>
      <c r="F206" s="1">
        <v>45475</v>
      </c>
      <c r="G206" s="1">
        <v>45494</v>
      </c>
      <c r="H206">
        <v>3</v>
      </c>
      <c r="I206" s="3">
        <v>32079.45</v>
      </c>
      <c r="J206" t="str">
        <f>VLOOKUP(H206,Diagnosis!$A:$B,2,FALSE)</f>
        <v>Asthma</v>
      </c>
      <c r="K206" t="str">
        <f>VLOOKUP(H206,Outcome!A$2:$B$7,2,FALSE)</f>
        <v>Ongoing Treatment</v>
      </c>
      <c r="L206">
        <f t="shared" si="6"/>
        <v>19</v>
      </c>
      <c r="M206" t="str">
        <f>IF(Labs!E206&gt;120,"High","Normal")</f>
        <v>High</v>
      </c>
      <c r="N206" t="str">
        <f t="shared" si="7"/>
        <v>High Risk</v>
      </c>
    </row>
    <row r="207" spans="1:14" x14ac:dyDescent="0.3">
      <c r="A207">
        <v>206</v>
      </c>
      <c r="B207" t="s">
        <v>185</v>
      </c>
      <c r="C207">
        <v>58</v>
      </c>
      <c r="D207" t="s">
        <v>17</v>
      </c>
      <c r="E207">
        <v>6</v>
      </c>
      <c r="F207" s="1">
        <v>45821</v>
      </c>
      <c r="G207" s="1">
        <v>45834</v>
      </c>
      <c r="H207">
        <v>1</v>
      </c>
      <c r="I207" s="3">
        <v>176454.84</v>
      </c>
      <c r="J207" t="str">
        <f>VLOOKUP(H207,Diagnosis!$A:$B,2,FALSE)</f>
        <v>Diabetes</v>
      </c>
      <c r="K207" t="str">
        <f>VLOOKUP(H207,Outcome!A$2:$B$7,2,FALSE)</f>
        <v>Recovered</v>
      </c>
      <c r="L207">
        <f t="shared" si="6"/>
        <v>13</v>
      </c>
      <c r="M207" t="str">
        <f>IF(Labs!E207&gt;120,"High","Normal")</f>
        <v>High</v>
      </c>
      <c r="N207" t="str">
        <f t="shared" si="7"/>
        <v>low risk</v>
      </c>
    </row>
    <row r="208" spans="1:14" x14ac:dyDescent="0.3">
      <c r="A208">
        <v>207</v>
      </c>
      <c r="B208" t="s">
        <v>186</v>
      </c>
      <c r="C208">
        <v>86</v>
      </c>
      <c r="D208" t="s">
        <v>10</v>
      </c>
      <c r="E208">
        <v>6</v>
      </c>
      <c r="F208" s="1">
        <v>45612</v>
      </c>
      <c r="G208" s="1">
        <v>45637</v>
      </c>
      <c r="H208">
        <v>3</v>
      </c>
      <c r="I208" s="3">
        <v>30897.64</v>
      </c>
      <c r="J208" t="str">
        <f>VLOOKUP(H208,Diagnosis!$A:$B,2,FALSE)</f>
        <v>Asthma</v>
      </c>
      <c r="K208" t="str">
        <f>VLOOKUP(H208,Outcome!A$2:$B$7,2,FALSE)</f>
        <v>Ongoing Treatment</v>
      </c>
      <c r="L208">
        <f t="shared" si="6"/>
        <v>25</v>
      </c>
      <c r="M208" t="str">
        <f>IF(Labs!E208&gt;120,"High","Normal")</f>
        <v>High</v>
      </c>
      <c r="N208" t="str">
        <f t="shared" si="7"/>
        <v>High Risk</v>
      </c>
    </row>
    <row r="209" spans="1:14" x14ac:dyDescent="0.3">
      <c r="A209">
        <v>208</v>
      </c>
      <c r="B209" t="s">
        <v>187</v>
      </c>
      <c r="C209">
        <v>78</v>
      </c>
      <c r="D209" t="s">
        <v>10</v>
      </c>
      <c r="E209">
        <v>1</v>
      </c>
      <c r="F209" s="1">
        <v>44820</v>
      </c>
      <c r="G209" s="1">
        <v>44822</v>
      </c>
      <c r="H209">
        <v>1</v>
      </c>
      <c r="I209" s="3">
        <v>117016.41</v>
      </c>
      <c r="J209" t="str">
        <f>VLOOKUP(H209,Diagnosis!$A:$B,2,FALSE)</f>
        <v>Diabetes</v>
      </c>
      <c r="K209" t="str">
        <f>VLOOKUP(H209,Outcome!A$2:$B$7,2,FALSE)</f>
        <v>Recovered</v>
      </c>
      <c r="L209">
        <f t="shared" si="6"/>
        <v>2</v>
      </c>
      <c r="M209" t="str">
        <f>IF(Labs!E209&gt;120,"High","Normal")</f>
        <v>High</v>
      </c>
      <c r="N209" t="str">
        <f t="shared" si="7"/>
        <v>High Risk</v>
      </c>
    </row>
    <row r="210" spans="1:14" x14ac:dyDescent="0.3">
      <c r="A210">
        <v>209</v>
      </c>
      <c r="B210" t="s">
        <v>188</v>
      </c>
      <c r="C210">
        <v>73</v>
      </c>
      <c r="D210" t="s">
        <v>17</v>
      </c>
      <c r="E210">
        <v>10</v>
      </c>
      <c r="F210" s="1">
        <v>44876</v>
      </c>
      <c r="G210" s="1">
        <v>44897</v>
      </c>
      <c r="H210">
        <v>2</v>
      </c>
      <c r="I210" s="3">
        <v>68346.2</v>
      </c>
      <c r="J210" t="str">
        <f>VLOOKUP(H210,Diagnosis!$A:$B,2,FALSE)</f>
        <v>Hypertension</v>
      </c>
      <c r="K210" t="str">
        <f>VLOOKUP(H210,Outcome!A$2:$B$7,2,FALSE)</f>
        <v>Improved</v>
      </c>
      <c r="L210">
        <f t="shared" si="6"/>
        <v>21</v>
      </c>
      <c r="M210" t="str">
        <f>IF(Labs!E210&gt;120,"High","Normal")</f>
        <v>High</v>
      </c>
      <c r="N210" t="str">
        <f t="shared" si="7"/>
        <v>High Risk</v>
      </c>
    </row>
    <row r="211" spans="1:14" x14ac:dyDescent="0.3">
      <c r="A211">
        <v>210</v>
      </c>
      <c r="B211" t="s">
        <v>189</v>
      </c>
      <c r="C211">
        <v>74</v>
      </c>
      <c r="D211" t="s">
        <v>17</v>
      </c>
      <c r="E211">
        <v>9</v>
      </c>
      <c r="F211" s="1">
        <v>45313</v>
      </c>
      <c r="G211" s="1">
        <v>45325</v>
      </c>
      <c r="H211">
        <v>1</v>
      </c>
      <c r="I211" s="3">
        <v>51967.43</v>
      </c>
      <c r="J211" t="str">
        <f>VLOOKUP(H211,Diagnosis!$A:$B,2,FALSE)</f>
        <v>Diabetes</v>
      </c>
      <c r="K211" t="str">
        <f>VLOOKUP(H211,Outcome!A$2:$B$7,2,FALSE)</f>
        <v>Recovered</v>
      </c>
      <c r="L211">
        <f t="shared" si="6"/>
        <v>12</v>
      </c>
      <c r="M211" t="str">
        <f>IF(Labs!E211&gt;120,"High","Normal")</f>
        <v>High</v>
      </c>
      <c r="N211" t="str">
        <f t="shared" si="7"/>
        <v>High Risk</v>
      </c>
    </row>
    <row r="212" spans="1:14" x14ac:dyDescent="0.3">
      <c r="A212">
        <v>211</v>
      </c>
      <c r="B212" t="s">
        <v>9</v>
      </c>
      <c r="C212">
        <v>95</v>
      </c>
      <c r="D212" t="s">
        <v>17</v>
      </c>
      <c r="E212">
        <v>8</v>
      </c>
      <c r="F212" s="1">
        <v>45622</v>
      </c>
      <c r="G212" s="1">
        <v>45634</v>
      </c>
      <c r="H212">
        <v>5</v>
      </c>
      <c r="I212" s="3">
        <v>23402.58</v>
      </c>
      <c r="J212" t="str">
        <f>VLOOKUP(H212,Diagnosis!$A:$B,2,FALSE)</f>
        <v>Heart Disease</v>
      </c>
      <c r="K212" t="str">
        <f>VLOOKUP(H212,Outcome!A$2:$B$7,2,FALSE)</f>
        <v>Readmitted</v>
      </c>
      <c r="L212">
        <f t="shared" si="6"/>
        <v>12</v>
      </c>
      <c r="M212" t="str">
        <f>IF(Labs!E212&gt;120,"High","Normal")</f>
        <v>High</v>
      </c>
      <c r="N212" t="str">
        <f t="shared" si="7"/>
        <v>High Risk</v>
      </c>
    </row>
    <row r="213" spans="1:14" x14ac:dyDescent="0.3">
      <c r="A213">
        <v>212</v>
      </c>
      <c r="B213" t="s">
        <v>190</v>
      </c>
      <c r="C213">
        <v>28</v>
      </c>
      <c r="D213" t="s">
        <v>10</v>
      </c>
      <c r="E213">
        <v>8</v>
      </c>
      <c r="F213" s="1">
        <v>44971</v>
      </c>
      <c r="G213" s="1">
        <v>44974</v>
      </c>
      <c r="H213">
        <v>1</v>
      </c>
      <c r="I213" s="3">
        <v>15644.24</v>
      </c>
      <c r="J213" t="str">
        <f>VLOOKUP(H213,Diagnosis!$A:$B,2,FALSE)</f>
        <v>Diabetes</v>
      </c>
      <c r="K213" t="str">
        <f>VLOOKUP(H213,Outcome!A$2:$B$7,2,FALSE)</f>
        <v>Recovered</v>
      </c>
      <c r="L213">
        <f t="shared" si="6"/>
        <v>3</v>
      </c>
      <c r="M213" t="str">
        <f>IF(Labs!E213&gt;120,"High","Normal")</f>
        <v>High</v>
      </c>
      <c r="N213" t="str">
        <f t="shared" si="7"/>
        <v>low risk</v>
      </c>
    </row>
    <row r="214" spans="1:14" x14ac:dyDescent="0.3">
      <c r="A214">
        <v>213</v>
      </c>
      <c r="B214" t="s">
        <v>191</v>
      </c>
      <c r="C214">
        <v>12</v>
      </c>
      <c r="D214" t="s">
        <v>10</v>
      </c>
      <c r="E214">
        <v>6</v>
      </c>
      <c r="F214" s="1">
        <v>46015</v>
      </c>
      <c r="G214" s="1">
        <v>46017</v>
      </c>
      <c r="H214">
        <v>2</v>
      </c>
      <c r="I214" s="3">
        <v>54039.31</v>
      </c>
      <c r="J214" t="str">
        <f>VLOOKUP(H214,Diagnosis!$A:$B,2,FALSE)</f>
        <v>Hypertension</v>
      </c>
      <c r="K214" t="str">
        <f>VLOOKUP(H214,Outcome!A$2:$B$7,2,FALSE)</f>
        <v>Improved</v>
      </c>
      <c r="L214">
        <f t="shared" si="6"/>
        <v>2</v>
      </c>
      <c r="M214" t="str">
        <f>IF(Labs!E214&gt;120,"High","Normal")</f>
        <v>High</v>
      </c>
      <c r="N214" t="str">
        <f t="shared" si="7"/>
        <v>High Risk</v>
      </c>
    </row>
    <row r="215" spans="1:14" x14ac:dyDescent="0.3">
      <c r="A215">
        <v>214</v>
      </c>
      <c r="B215" t="s">
        <v>192</v>
      </c>
      <c r="C215">
        <v>92</v>
      </c>
      <c r="D215" t="s">
        <v>17</v>
      </c>
      <c r="E215">
        <v>6</v>
      </c>
      <c r="F215" s="1">
        <v>45603</v>
      </c>
      <c r="G215" s="1">
        <v>45610</v>
      </c>
      <c r="H215">
        <v>1</v>
      </c>
      <c r="I215" s="3">
        <v>38174.019999999997</v>
      </c>
      <c r="J215" t="str">
        <f>VLOOKUP(H215,Diagnosis!$A:$B,2,FALSE)</f>
        <v>Diabetes</v>
      </c>
      <c r="K215" t="str">
        <f>VLOOKUP(H215,Outcome!A$2:$B$7,2,FALSE)</f>
        <v>Recovered</v>
      </c>
      <c r="L215">
        <f t="shared" si="6"/>
        <v>7</v>
      </c>
      <c r="M215" t="str">
        <f>IF(Labs!E215&gt;120,"High","Normal")</f>
        <v>High</v>
      </c>
      <c r="N215" t="str">
        <f t="shared" si="7"/>
        <v>High Risk</v>
      </c>
    </row>
    <row r="216" spans="1:14" x14ac:dyDescent="0.3">
      <c r="A216">
        <v>215</v>
      </c>
      <c r="B216" t="s">
        <v>193</v>
      </c>
      <c r="C216">
        <v>64</v>
      </c>
      <c r="D216" t="s">
        <v>17</v>
      </c>
      <c r="E216">
        <v>6</v>
      </c>
      <c r="F216" s="1">
        <v>45696</v>
      </c>
      <c r="G216" s="1">
        <v>45714</v>
      </c>
      <c r="H216">
        <v>2</v>
      </c>
      <c r="I216" s="3">
        <v>145149.96</v>
      </c>
      <c r="J216" t="str">
        <f>VLOOKUP(H216,Diagnosis!$A:$B,2,FALSE)</f>
        <v>Hypertension</v>
      </c>
      <c r="K216" t="str">
        <f>VLOOKUP(H216,Outcome!A$2:$B$7,2,FALSE)</f>
        <v>Improved</v>
      </c>
      <c r="L216">
        <f t="shared" si="6"/>
        <v>18</v>
      </c>
      <c r="M216" t="str">
        <f>IF(Labs!E216&gt;120,"High","Normal")</f>
        <v>High</v>
      </c>
      <c r="N216" t="str">
        <f t="shared" si="7"/>
        <v>High Risk</v>
      </c>
    </row>
    <row r="217" spans="1:14" x14ac:dyDescent="0.3">
      <c r="A217">
        <v>216</v>
      </c>
      <c r="B217" t="s">
        <v>49</v>
      </c>
      <c r="C217">
        <v>79</v>
      </c>
      <c r="D217" t="s">
        <v>17</v>
      </c>
      <c r="E217">
        <v>2</v>
      </c>
      <c r="F217" s="1">
        <v>45195</v>
      </c>
      <c r="G217" s="1">
        <v>45207</v>
      </c>
      <c r="H217">
        <v>6</v>
      </c>
      <c r="I217" s="3">
        <v>130099.36</v>
      </c>
      <c r="J217" t="str">
        <f>VLOOKUP(H217,Diagnosis!$A:$B,2,FALSE)</f>
        <v>Kidney Disease</v>
      </c>
      <c r="K217" t="str">
        <f>VLOOKUP(H217,Outcome!A$2:$B$7,2,FALSE)</f>
        <v>Deceased</v>
      </c>
      <c r="L217">
        <f t="shared" si="6"/>
        <v>12</v>
      </c>
      <c r="M217" t="str">
        <f>IF(Labs!E217&gt;120,"High","Normal")</f>
        <v>High</v>
      </c>
      <c r="N217" t="str">
        <f t="shared" si="7"/>
        <v>High Risk</v>
      </c>
    </row>
    <row r="218" spans="1:14" x14ac:dyDescent="0.3">
      <c r="A218">
        <v>217</v>
      </c>
      <c r="B218" t="s">
        <v>194</v>
      </c>
      <c r="C218">
        <v>53</v>
      </c>
      <c r="D218" t="s">
        <v>17</v>
      </c>
      <c r="E218">
        <v>3</v>
      </c>
      <c r="F218" s="1">
        <v>45211</v>
      </c>
      <c r="G218" s="1">
        <v>45231</v>
      </c>
      <c r="H218">
        <v>1</v>
      </c>
      <c r="I218" s="3">
        <v>85185.39</v>
      </c>
      <c r="J218" t="str">
        <f>VLOOKUP(H218,Diagnosis!$A:$B,2,FALSE)</f>
        <v>Diabetes</v>
      </c>
      <c r="K218" t="str">
        <f>VLOOKUP(H218,Outcome!A$2:$B$7,2,FALSE)</f>
        <v>Recovered</v>
      </c>
      <c r="L218">
        <f t="shared" si="6"/>
        <v>20</v>
      </c>
      <c r="M218" t="str">
        <f>IF(Labs!E218&gt;120,"High","Normal")</f>
        <v>High</v>
      </c>
      <c r="N218" t="str">
        <f t="shared" si="7"/>
        <v>low risk</v>
      </c>
    </row>
    <row r="219" spans="1:14" x14ac:dyDescent="0.3">
      <c r="A219">
        <v>218</v>
      </c>
      <c r="B219" t="s">
        <v>195</v>
      </c>
      <c r="C219">
        <v>17</v>
      </c>
      <c r="D219" t="s">
        <v>17</v>
      </c>
      <c r="E219">
        <v>3</v>
      </c>
      <c r="F219" s="1">
        <v>45448</v>
      </c>
      <c r="G219" s="1">
        <v>45464</v>
      </c>
      <c r="H219">
        <v>5</v>
      </c>
      <c r="I219" s="3">
        <v>12335.78</v>
      </c>
      <c r="J219" t="str">
        <f>VLOOKUP(H219,Diagnosis!$A:$B,2,FALSE)</f>
        <v>Heart Disease</v>
      </c>
      <c r="K219" t="str">
        <f>VLOOKUP(H219,Outcome!A$2:$B$7,2,FALSE)</f>
        <v>Readmitted</v>
      </c>
      <c r="L219">
        <f t="shared" si="6"/>
        <v>16</v>
      </c>
      <c r="M219" t="str">
        <f>IF(Labs!E219&gt;120,"High","Normal")</f>
        <v>High</v>
      </c>
      <c r="N219" t="str">
        <f t="shared" si="7"/>
        <v>High Risk</v>
      </c>
    </row>
    <row r="220" spans="1:14" x14ac:dyDescent="0.3">
      <c r="A220">
        <v>219</v>
      </c>
      <c r="B220" t="s">
        <v>196</v>
      </c>
      <c r="C220">
        <v>20</v>
      </c>
      <c r="D220" t="s">
        <v>10</v>
      </c>
      <c r="E220">
        <v>3</v>
      </c>
      <c r="F220" s="1">
        <v>44893</v>
      </c>
      <c r="G220" s="1">
        <v>44903</v>
      </c>
      <c r="H220">
        <v>5</v>
      </c>
      <c r="I220" s="3">
        <v>42520.98</v>
      </c>
      <c r="J220" t="str">
        <f>VLOOKUP(H220,Diagnosis!$A:$B,2,FALSE)</f>
        <v>Heart Disease</v>
      </c>
      <c r="K220" t="str">
        <f>VLOOKUP(H220,Outcome!A$2:$B$7,2,FALSE)</f>
        <v>Readmitted</v>
      </c>
      <c r="L220">
        <f t="shared" si="6"/>
        <v>10</v>
      </c>
      <c r="M220" t="str">
        <f>IF(Labs!E220&gt;120,"High","Normal")</f>
        <v>High</v>
      </c>
      <c r="N220" t="str">
        <f t="shared" si="7"/>
        <v>High Risk</v>
      </c>
    </row>
    <row r="221" spans="1:14" x14ac:dyDescent="0.3">
      <c r="A221">
        <v>220</v>
      </c>
      <c r="B221" t="s">
        <v>138</v>
      </c>
      <c r="C221">
        <v>11</v>
      </c>
      <c r="D221" t="s">
        <v>10</v>
      </c>
      <c r="E221">
        <v>4</v>
      </c>
      <c r="F221" s="1">
        <v>45862</v>
      </c>
      <c r="G221" s="1">
        <v>45892</v>
      </c>
      <c r="H221">
        <v>2</v>
      </c>
      <c r="I221" s="3">
        <v>24717.73</v>
      </c>
      <c r="J221" t="str">
        <f>VLOOKUP(H221,Diagnosis!$A:$B,2,FALSE)</f>
        <v>Hypertension</v>
      </c>
      <c r="K221" t="str">
        <f>VLOOKUP(H221,Outcome!A$2:$B$7,2,FALSE)</f>
        <v>Improved</v>
      </c>
      <c r="L221">
        <f t="shared" si="6"/>
        <v>30</v>
      </c>
      <c r="M221" t="str">
        <f>IF(Labs!E221&gt;120,"High","Normal")</f>
        <v>High</v>
      </c>
      <c r="N221" t="str">
        <f t="shared" si="7"/>
        <v>High Risk</v>
      </c>
    </row>
    <row r="222" spans="1:14" x14ac:dyDescent="0.3">
      <c r="A222">
        <v>221</v>
      </c>
      <c r="B222" t="s">
        <v>102</v>
      </c>
      <c r="C222">
        <v>69</v>
      </c>
      <c r="D222" t="s">
        <v>17</v>
      </c>
      <c r="E222">
        <v>9</v>
      </c>
      <c r="F222" s="1">
        <v>45874</v>
      </c>
      <c r="G222" s="1">
        <v>45879</v>
      </c>
      <c r="H222">
        <v>2</v>
      </c>
      <c r="I222" s="3">
        <v>105564.75</v>
      </c>
      <c r="J222" t="str">
        <f>VLOOKUP(H222,Diagnosis!$A:$B,2,FALSE)</f>
        <v>Hypertension</v>
      </c>
      <c r="K222" t="str">
        <f>VLOOKUP(H222,Outcome!A$2:$B$7,2,FALSE)</f>
        <v>Improved</v>
      </c>
      <c r="L222">
        <f t="shared" si="6"/>
        <v>5</v>
      </c>
      <c r="M222" t="str">
        <f>IF(Labs!E222&gt;120,"High","Normal")</f>
        <v>High</v>
      </c>
      <c r="N222" t="str">
        <f t="shared" si="7"/>
        <v>High Risk</v>
      </c>
    </row>
    <row r="223" spans="1:14" x14ac:dyDescent="0.3">
      <c r="A223">
        <v>222</v>
      </c>
      <c r="B223" t="s">
        <v>197</v>
      </c>
      <c r="C223">
        <v>93</v>
      </c>
      <c r="D223" t="s">
        <v>10</v>
      </c>
      <c r="E223">
        <v>10</v>
      </c>
      <c r="F223" s="1">
        <v>44646</v>
      </c>
      <c r="G223" s="1">
        <v>44672</v>
      </c>
      <c r="H223">
        <v>5</v>
      </c>
      <c r="I223" s="3">
        <v>16917.060000000001</v>
      </c>
      <c r="J223" t="str">
        <f>VLOOKUP(H223,Diagnosis!$A:$B,2,FALSE)</f>
        <v>Heart Disease</v>
      </c>
      <c r="K223" t="str">
        <f>VLOOKUP(H223,Outcome!A$2:$B$7,2,FALSE)</f>
        <v>Readmitted</v>
      </c>
      <c r="L223">
        <f t="shared" si="6"/>
        <v>26</v>
      </c>
      <c r="M223" t="str">
        <f>IF(Labs!E223&gt;120,"High","Normal")</f>
        <v>High</v>
      </c>
      <c r="N223" t="str">
        <f t="shared" si="7"/>
        <v>High Risk</v>
      </c>
    </row>
    <row r="224" spans="1:14" x14ac:dyDescent="0.3">
      <c r="A224">
        <v>223</v>
      </c>
      <c r="B224" t="s">
        <v>198</v>
      </c>
      <c r="C224">
        <v>84</v>
      </c>
      <c r="D224" t="s">
        <v>17</v>
      </c>
      <c r="E224">
        <v>10</v>
      </c>
      <c r="F224" s="1">
        <v>45415</v>
      </c>
      <c r="G224" s="1">
        <v>45434</v>
      </c>
      <c r="H224">
        <v>2</v>
      </c>
      <c r="I224" s="3">
        <v>90901.759999999995</v>
      </c>
      <c r="J224" t="str">
        <f>VLOOKUP(H224,Diagnosis!$A:$B,2,FALSE)</f>
        <v>Hypertension</v>
      </c>
      <c r="K224" t="str">
        <f>VLOOKUP(H224,Outcome!A$2:$B$7,2,FALSE)</f>
        <v>Improved</v>
      </c>
      <c r="L224">
        <f t="shared" si="6"/>
        <v>19</v>
      </c>
      <c r="M224" t="str">
        <f>IF(Labs!E224&gt;120,"High","Normal")</f>
        <v>High</v>
      </c>
      <c r="N224" t="str">
        <f t="shared" si="7"/>
        <v>High Risk</v>
      </c>
    </row>
    <row r="225" spans="1:14" x14ac:dyDescent="0.3">
      <c r="A225">
        <v>224</v>
      </c>
      <c r="B225" t="s">
        <v>199</v>
      </c>
      <c r="C225">
        <v>83</v>
      </c>
      <c r="D225" t="s">
        <v>10</v>
      </c>
      <c r="E225">
        <v>8</v>
      </c>
      <c r="F225" s="1">
        <v>45063</v>
      </c>
      <c r="G225" s="1">
        <v>45088</v>
      </c>
      <c r="H225">
        <v>4</v>
      </c>
      <c r="I225" s="3">
        <v>74581.42</v>
      </c>
      <c r="J225" t="str">
        <f>VLOOKUP(H225,Diagnosis!$A:$B,2,FALSE)</f>
        <v>Pneumonia</v>
      </c>
      <c r="K225" t="str">
        <f>VLOOKUP(H225,Outcome!A$2:$B$7,2,FALSE)</f>
        <v>Referred</v>
      </c>
      <c r="L225">
        <f t="shared" si="6"/>
        <v>25</v>
      </c>
      <c r="M225" t="str">
        <f>IF(Labs!E225&gt;120,"High","Normal")</f>
        <v>High</v>
      </c>
      <c r="N225" t="str">
        <f t="shared" si="7"/>
        <v>High Risk</v>
      </c>
    </row>
    <row r="226" spans="1:14" x14ac:dyDescent="0.3">
      <c r="A226">
        <v>225</v>
      </c>
      <c r="B226" t="s">
        <v>100</v>
      </c>
      <c r="C226">
        <v>89</v>
      </c>
      <c r="D226" t="s">
        <v>17</v>
      </c>
      <c r="E226">
        <v>3</v>
      </c>
      <c r="F226" s="1">
        <v>45462</v>
      </c>
      <c r="G226" s="1">
        <v>45475</v>
      </c>
      <c r="H226">
        <v>2</v>
      </c>
      <c r="I226" s="3">
        <v>38714.080000000002</v>
      </c>
      <c r="J226" t="str">
        <f>VLOOKUP(H226,Diagnosis!$A:$B,2,FALSE)</f>
        <v>Hypertension</v>
      </c>
      <c r="K226" t="str">
        <f>VLOOKUP(H226,Outcome!A$2:$B$7,2,FALSE)</f>
        <v>Improved</v>
      </c>
      <c r="L226">
        <f t="shared" si="6"/>
        <v>13</v>
      </c>
      <c r="M226" t="str">
        <f>IF(Labs!E226&gt;120,"High","Normal")</f>
        <v>High</v>
      </c>
      <c r="N226" t="str">
        <f t="shared" si="7"/>
        <v>High Risk</v>
      </c>
    </row>
    <row r="227" spans="1:14" x14ac:dyDescent="0.3">
      <c r="A227">
        <v>226</v>
      </c>
      <c r="B227" t="s">
        <v>200</v>
      </c>
      <c r="C227">
        <v>41</v>
      </c>
      <c r="D227" t="s">
        <v>10</v>
      </c>
      <c r="E227">
        <v>6</v>
      </c>
      <c r="F227" s="1">
        <v>45378</v>
      </c>
      <c r="G227" s="1">
        <v>45382</v>
      </c>
      <c r="H227">
        <v>3</v>
      </c>
      <c r="I227" s="3">
        <v>93908.97</v>
      </c>
      <c r="J227" t="str">
        <f>VLOOKUP(H227,Diagnosis!$A:$B,2,FALSE)</f>
        <v>Asthma</v>
      </c>
      <c r="K227" t="str">
        <f>VLOOKUP(H227,Outcome!A$2:$B$7,2,FALSE)</f>
        <v>Ongoing Treatment</v>
      </c>
      <c r="L227">
        <f t="shared" si="6"/>
        <v>4</v>
      </c>
      <c r="M227" t="str">
        <f>IF(Labs!E227&gt;120,"High","Normal")</f>
        <v>High</v>
      </c>
      <c r="N227" t="str">
        <f t="shared" si="7"/>
        <v>High Risk</v>
      </c>
    </row>
    <row r="228" spans="1:14" x14ac:dyDescent="0.3">
      <c r="A228">
        <v>227</v>
      </c>
      <c r="B228" t="s">
        <v>201</v>
      </c>
      <c r="C228">
        <v>31</v>
      </c>
      <c r="D228" t="s">
        <v>10</v>
      </c>
      <c r="E228">
        <v>2</v>
      </c>
      <c r="F228" s="1">
        <v>45109</v>
      </c>
      <c r="G228" s="1">
        <v>45123</v>
      </c>
      <c r="H228">
        <v>1</v>
      </c>
      <c r="I228" s="3">
        <v>19684.07</v>
      </c>
      <c r="J228" t="str">
        <f>VLOOKUP(H228,Diagnosis!$A:$B,2,FALSE)</f>
        <v>Diabetes</v>
      </c>
      <c r="K228" t="str">
        <f>VLOOKUP(H228,Outcome!A$2:$B$7,2,FALSE)</f>
        <v>Recovered</v>
      </c>
      <c r="L228">
        <f t="shared" si="6"/>
        <v>14</v>
      </c>
      <c r="M228" t="str">
        <f>IF(Labs!E228&gt;120,"High","Normal")</f>
        <v>High</v>
      </c>
      <c r="N228" t="str">
        <f t="shared" si="7"/>
        <v>low risk</v>
      </c>
    </row>
    <row r="229" spans="1:14" x14ac:dyDescent="0.3">
      <c r="A229">
        <v>228</v>
      </c>
      <c r="B229" t="s">
        <v>202</v>
      </c>
      <c r="C229">
        <v>79</v>
      </c>
      <c r="D229" t="s">
        <v>10</v>
      </c>
      <c r="E229">
        <v>4</v>
      </c>
      <c r="F229" s="1">
        <v>44889</v>
      </c>
      <c r="G229" s="1">
        <v>44915</v>
      </c>
      <c r="H229">
        <v>1</v>
      </c>
      <c r="I229" s="3">
        <v>105039.45</v>
      </c>
      <c r="J229" t="str">
        <f>VLOOKUP(H229,Diagnosis!$A:$B,2,FALSE)</f>
        <v>Diabetes</v>
      </c>
      <c r="K229" t="str">
        <f>VLOOKUP(H229,Outcome!A$2:$B$7,2,FALSE)</f>
        <v>Recovered</v>
      </c>
      <c r="L229">
        <f t="shared" si="6"/>
        <v>26</v>
      </c>
      <c r="M229" t="str">
        <f>IF(Labs!E229&gt;120,"High","Normal")</f>
        <v>High</v>
      </c>
      <c r="N229" t="str">
        <f t="shared" si="7"/>
        <v>High Risk</v>
      </c>
    </row>
    <row r="230" spans="1:14" x14ac:dyDescent="0.3">
      <c r="A230">
        <v>229</v>
      </c>
      <c r="B230" t="s">
        <v>113</v>
      </c>
      <c r="C230">
        <v>21</v>
      </c>
      <c r="D230" t="s">
        <v>10</v>
      </c>
      <c r="E230">
        <v>9</v>
      </c>
      <c r="F230" s="1">
        <v>45518</v>
      </c>
      <c r="G230" s="1">
        <v>45533</v>
      </c>
      <c r="H230">
        <v>5</v>
      </c>
      <c r="I230" s="3">
        <v>90783.22</v>
      </c>
      <c r="J230" t="str">
        <f>VLOOKUP(H230,Diagnosis!$A:$B,2,FALSE)</f>
        <v>Heart Disease</v>
      </c>
      <c r="K230" t="str">
        <f>VLOOKUP(H230,Outcome!A$2:$B$7,2,FALSE)</f>
        <v>Readmitted</v>
      </c>
      <c r="L230">
        <f t="shared" si="6"/>
        <v>15</v>
      </c>
      <c r="M230" t="str">
        <f>IF(Labs!E230&gt;120,"High","Normal")</f>
        <v>High</v>
      </c>
      <c r="N230" t="str">
        <f t="shared" si="7"/>
        <v>High Risk</v>
      </c>
    </row>
    <row r="231" spans="1:14" x14ac:dyDescent="0.3">
      <c r="A231">
        <v>230</v>
      </c>
      <c r="B231" t="s">
        <v>203</v>
      </c>
      <c r="C231">
        <v>65</v>
      </c>
      <c r="D231" t="s">
        <v>10</v>
      </c>
      <c r="E231">
        <v>4</v>
      </c>
      <c r="F231" s="1">
        <v>45002</v>
      </c>
      <c r="G231" s="1">
        <v>45020</v>
      </c>
      <c r="H231">
        <v>2</v>
      </c>
      <c r="I231" s="3">
        <v>11470.92</v>
      </c>
      <c r="J231" t="str">
        <f>VLOOKUP(H231,Diagnosis!$A:$B,2,FALSE)</f>
        <v>Hypertension</v>
      </c>
      <c r="K231" t="str">
        <f>VLOOKUP(H231,Outcome!A$2:$B$7,2,FALSE)</f>
        <v>Improved</v>
      </c>
      <c r="L231">
        <f t="shared" si="6"/>
        <v>18</v>
      </c>
      <c r="M231" t="str">
        <f>IF(Labs!E231&gt;120,"High","Normal")</f>
        <v>High</v>
      </c>
      <c r="N231" t="str">
        <f t="shared" si="7"/>
        <v>High Risk</v>
      </c>
    </row>
    <row r="232" spans="1:14" x14ac:dyDescent="0.3">
      <c r="A232">
        <v>231</v>
      </c>
      <c r="B232" t="s">
        <v>204</v>
      </c>
      <c r="C232">
        <v>84</v>
      </c>
      <c r="D232" t="s">
        <v>10</v>
      </c>
      <c r="E232">
        <v>5</v>
      </c>
      <c r="F232" s="1">
        <v>45661</v>
      </c>
      <c r="G232" s="1">
        <v>45661</v>
      </c>
      <c r="H232">
        <v>4</v>
      </c>
      <c r="I232" s="3">
        <v>78989.679999999993</v>
      </c>
      <c r="J232" t="str">
        <f>VLOOKUP(H232,Diagnosis!$A:$B,2,FALSE)</f>
        <v>Pneumonia</v>
      </c>
      <c r="K232" t="str">
        <f>VLOOKUP(H232,Outcome!A$2:$B$7,2,FALSE)</f>
        <v>Referred</v>
      </c>
      <c r="L232">
        <f t="shared" si="6"/>
        <v>0</v>
      </c>
      <c r="M232" t="str">
        <f>IF(Labs!E232&gt;120,"High","Normal")</f>
        <v>High</v>
      </c>
      <c r="N232" t="str">
        <f t="shared" si="7"/>
        <v>High Risk</v>
      </c>
    </row>
    <row r="233" spans="1:14" x14ac:dyDescent="0.3">
      <c r="A233">
        <v>232</v>
      </c>
      <c r="B233" t="s">
        <v>142</v>
      </c>
      <c r="C233">
        <v>52</v>
      </c>
      <c r="D233" t="s">
        <v>10</v>
      </c>
      <c r="E233">
        <v>1</v>
      </c>
      <c r="F233" s="1">
        <v>45382</v>
      </c>
      <c r="G233" s="1">
        <v>45383</v>
      </c>
      <c r="H233">
        <v>2</v>
      </c>
      <c r="I233" s="3">
        <v>37051.32</v>
      </c>
      <c r="J233" t="str">
        <f>VLOOKUP(H233,Diagnosis!$A:$B,2,FALSE)</f>
        <v>Hypertension</v>
      </c>
      <c r="K233" t="str">
        <f>VLOOKUP(H233,Outcome!A$2:$B$7,2,FALSE)</f>
        <v>Improved</v>
      </c>
      <c r="L233">
        <f t="shared" si="6"/>
        <v>1</v>
      </c>
      <c r="M233" t="str">
        <f>IF(Labs!E233&gt;120,"High","Normal")</f>
        <v>High</v>
      </c>
      <c r="N233" t="str">
        <f t="shared" si="7"/>
        <v>High Risk</v>
      </c>
    </row>
    <row r="234" spans="1:14" x14ac:dyDescent="0.3">
      <c r="A234">
        <v>233</v>
      </c>
      <c r="B234" t="s">
        <v>205</v>
      </c>
      <c r="C234">
        <v>10</v>
      </c>
      <c r="D234" t="s">
        <v>10</v>
      </c>
      <c r="E234">
        <v>9</v>
      </c>
      <c r="F234" s="1">
        <v>45484</v>
      </c>
      <c r="G234" s="1">
        <v>45508</v>
      </c>
      <c r="H234">
        <v>2</v>
      </c>
      <c r="I234" s="3">
        <v>148992.76</v>
      </c>
      <c r="J234" t="str">
        <f>VLOOKUP(H234,Diagnosis!$A:$B,2,FALSE)</f>
        <v>Hypertension</v>
      </c>
      <c r="K234" t="str">
        <f>VLOOKUP(H234,Outcome!A$2:$B$7,2,FALSE)</f>
        <v>Improved</v>
      </c>
      <c r="L234">
        <f t="shared" si="6"/>
        <v>24</v>
      </c>
      <c r="M234" t="str">
        <f>IF(Labs!E234&gt;120,"High","Normal")</f>
        <v>High</v>
      </c>
      <c r="N234" t="str">
        <f t="shared" si="7"/>
        <v>High Risk</v>
      </c>
    </row>
    <row r="235" spans="1:14" x14ac:dyDescent="0.3">
      <c r="A235">
        <v>234</v>
      </c>
      <c r="B235" t="s">
        <v>206</v>
      </c>
      <c r="C235">
        <v>16</v>
      </c>
      <c r="D235" t="s">
        <v>17</v>
      </c>
      <c r="E235">
        <v>2</v>
      </c>
      <c r="F235" s="1">
        <v>45368</v>
      </c>
      <c r="G235" s="1">
        <v>45379</v>
      </c>
      <c r="H235">
        <v>4</v>
      </c>
      <c r="I235" s="3">
        <v>62687.64</v>
      </c>
      <c r="J235" t="str">
        <f>VLOOKUP(H235,Diagnosis!$A:$B,2,FALSE)</f>
        <v>Pneumonia</v>
      </c>
      <c r="K235" t="str">
        <f>VLOOKUP(H235,Outcome!A$2:$B$7,2,FALSE)</f>
        <v>Referred</v>
      </c>
      <c r="L235">
        <f t="shared" si="6"/>
        <v>11</v>
      </c>
      <c r="M235" t="str">
        <f>IF(Labs!E235&gt;120,"High","Normal")</f>
        <v>High</v>
      </c>
      <c r="N235" t="str">
        <f t="shared" si="7"/>
        <v>High Risk</v>
      </c>
    </row>
    <row r="236" spans="1:14" x14ac:dyDescent="0.3">
      <c r="A236">
        <v>235</v>
      </c>
      <c r="B236" t="s">
        <v>143</v>
      </c>
      <c r="C236">
        <v>26</v>
      </c>
      <c r="D236" t="s">
        <v>10</v>
      </c>
      <c r="E236">
        <v>9</v>
      </c>
      <c r="F236" s="1">
        <v>44644</v>
      </c>
      <c r="G236" s="1">
        <v>44645</v>
      </c>
      <c r="H236">
        <v>1</v>
      </c>
      <c r="I236" s="3">
        <v>129162.55</v>
      </c>
      <c r="J236" t="str">
        <f>VLOOKUP(H236,Diagnosis!$A:$B,2,FALSE)</f>
        <v>Diabetes</v>
      </c>
      <c r="K236" t="str">
        <f>VLOOKUP(H236,Outcome!A$2:$B$7,2,FALSE)</f>
        <v>Recovered</v>
      </c>
      <c r="L236">
        <f t="shared" si="6"/>
        <v>1</v>
      </c>
      <c r="M236" t="str">
        <f>IF(Labs!E236&gt;120,"High","Normal")</f>
        <v>High</v>
      </c>
      <c r="N236" t="str">
        <f t="shared" si="7"/>
        <v>low risk</v>
      </c>
    </row>
    <row r="237" spans="1:14" x14ac:dyDescent="0.3">
      <c r="A237">
        <v>236</v>
      </c>
      <c r="B237" t="s">
        <v>207</v>
      </c>
      <c r="C237">
        <v>59</v>
      </c>
      <c r="D237" t="s">
        <v>17</v>
      </c>
      <c r="E237">
        <v>10</v>
      </c>
      <c r="F237" s="1">
        <v>45617</v>
      </c>
      <c r="G237" s="1">
        <v>45621</v>
      </c>
      <c r="H237">
        <v>1</v>
      </c>
      <c r="I237" s="3">
        <v>111319.59</v>
      </c>
      <c r="J237" t="str">
        <f>VLOOKUP(H237,Diagnosis!$A:$B,2,FALSE)</f>
        <v>Diabetes</v>
      </c>
      <c r="K237" t="str">
        <f>VLOOKUP(H237,Outcome!A$2:$B$7,2,FALSE)</f>
        <v>Recovered</v>
      </c>
      <c r="L237">
        <f t="shared" si="6"/>
        <v>4</v>
      </c>
      <c r="M237" t="str">
        <f>IF(Labs!E237&gt;120,"High","Normal")</f>
        <v>High</v>
      </c>
      <c r="N237" t="str">
        <f t="shared" si="7"/>
        <v>low risk</v>
      </c>
    </row>
    <row r="238" spans="1:14" x14ac:dyDescent="0.3">
      <c r="A238">
        <v>237</v>
      </c>
      <c r="B238" t="s">
        <v>208</v>
      </c>
      <c r="C238">
        <v>79</v>
      </c>
      <c r="D238" t="s">
        <v>10</v>
      </c>
      <c r="E238">
        <v>10</v>
      </c>
      <c r="F238" s="1">
        <v>45250</v>
      </c>
      <c r="G238" s="1">
        <v>45266</v>
      </c>
      <c r="H238">
        <v>4</v>
      </c>
      <c r="I238" s="3">
        <v>96990.32</v>
      </c>
      <c r="J238" t="str">
        <f>VLOOKUP(H238,Diagnosis!$A:$B,2,FALSE)</f>
        <v>Pneumonia</v>
      </c>
      <c r="K238" t="str">
        <f>VLOOKUP(H238,Outcome!A$2:$B$7,2,FALSE)</f>
        <v>Referred</v>
      </c>
      <c r="L238">
        <f t="shared" si="6"/>
        <v>16</v>
      </c>
      <c r="M238" t="str">
        <f>IF(Labs!E238&gt;120,"High","Normal")</f>
        <v>High</v>
      </c>
      <c r="N238" t="str">
        <f t="shared" si="7"/>
        <v>High Risk</v>
      </c>
    </row>
    <row r="239" spans="1:14" x14ac:dyDescent="0.3">
      <c r="A239">
        <v>238</v>
      </c>
      <c r="B239" t="s">
        <v>209</v>
      </c>
      <c r="C239">
        <v>61</v>
      </c>
      <c r="D239" t="s">
        <v>17</v>
      </c>
      <c r="E239">
        <v>6</v>
      </c>
      <c r="F239" s="1">
        <v>45240</v>
      </c>
      <c r="G239" s="1">
        <v>45261</v>
      </c>
      <c r="H239">
        <v>1</v>
      </c>
      <c r="I239" s="3">
        <v>76435.899999999994</v>
      </c>
      <c r="J239" t="str">
        <f>VLOOKUP(H239,Diagnosis!$A:$B,2,FALSE)</f>
        <v>Diabetes</v>
      </c>
      <c r="K239" t="str">
        <f>VLOOKUP(H239,Outcome!A$2:$B$7,2,FALSE)</f>
        <v>Recovered</v>
      </c>
      <c r="L239">
        <f t="shared" si="6"/>
        <v>21</v>
      </c>
      <c r="M239" t="str">
        <f>IF(Labs!E239&gt;120,"High","Normal")</f>
        <v>High</v>
      </c>
      <c r="N239" t="str">
        <f t="shared" si="7"/>
        <v>low risk</v>
      </c>
    </row>
    <row r="240" spans="1:14" x14ac:dyDescent="0.3">
      <c r="A240">
        <v>239</v>
      </c>
      <c r="B240" t="s">
        <v>210</v>
      </c>
      <c r="C240">
        <v>77</v>
      </c>
      <c r="D240" t="s">
        <v>10</v>
      </c>
      <c r="E240">
        <v>5</v>
      </c>
      <c r="F240" s="1">
        <v>45904</v>
      </c>
      <c r="G240" s="1">
        <v>45929</v>
      </c>
      <c r="H240">
        <v>6</v>
      </c>
      <c r="I240" s="3">
        <v>105179.19</v>
      </c>
      <c r="J240" t="str">
        <f>VLOOKUP(H240,Diagnosis!$A:$B,2,FALSE)</f>
        <v>Kidney Disease</v>
      </c>
      <c r="K240" t="str">
        <f>VLOOKUP(H240,Outcome!A$2:$B$7,2,FALSE)</f>
        <v>Deceased</v>
      </c>
      <c r="L240">
        <f t="shared" si="6"/>
        <v>25</v>
      </c>
      <c r="M240" t="str">
        <f>IF(Labs!E240&gt;120,"High","Normal")</f>
        <v>High</v>
      </c>
      <c r="N240" t="str">
        <f t="shared" si="7"/>
        <v>High Risk</v>
      </c>
    </row>
    <row r="241" spans="1:14" x14ac:dyDescent="0.3">
      <c r="A241">
        <v>240</v>
      </c>
      <c r="B241" t="s">
        <v>211</v>
      </c>
      <c r="C241">
        <v>75</v>
      </c>
      <c r="D241" t="s">
        <v>10</v>
      </c>
      <c r="E241">
        <v>3</v>
      </c>
      <c r="F241" s="1">
        <v>45635</v>
      </c>
      <c r="G241" s="1">
        <v>45655</v>
      </c>
      <c r="H241">
        <v>3</v>
      </c>
      <c r="I241" s="3">
        <v>139992.59</v>
      </c>
      <c r="J241" t="str">
        <f>VLOOKUP(H241,Diagnosis!$A:$B,2,FALSE)</f>
        <v>Asthma</v>
      </c>
      <c r="K241" t="str">
        <f>VLOOKUP(H241,Outcome!A$2:$B$7,2,FALSE)</f>
        <v>Ongoing Treatment</v>
      </c>
      <c r="L241">
        <f t="shared" si="6"/>
        <v>20</v>
      </c>
      <c r="M241" t="str">
        <f>IF(Labs!E241&gt;120,"High","Normal")</f>
        <v>High</v>
      </c>
      <c r="N241" t="str">
        <f t="shared" si="7"/>
        <v>High Risk</v>
      </c>
    </row>
    <row r="242" spans="1:14" x14ac:dyDescent="0.3">
      <c r="A242">
        <v>241</v>
      </c>
      <c r="B242" t="s">
        <v>212</v>
      </c>
      <c r="C242">
        <v>88</v>
      </c>
      <c r="D242" t="s">
        <v>17</v>
      </c>
      <c r="E242">
        <v>1</v>
      </c>
      <c r="F242" s="1">
        <v>45734</v>
      </c>
      <c r="G242" s="1">
        <v>45764</v>
      </c>
      <c r="H242">
        <v>3</v>
      </c>
      <c r="I242" s="3">
        <v>36364.22</v>
      </c>
      <c r="J242" t="str">
        <f>VLOOKUP(H242,Diagnosis!$A:$B,2,FALSE)</f>
        <v>Asthma</v>
      </c>
      <c r="K242" t="str">
        <f>VLOOKUP(H242,Outcome!A$2:$B$7,2,FALSE)</f>
        <v>Ongoing Treatment</v>
      </c>
      <c r="L242">
        <f t="shared" si="6"/>
        <v>30</v>
      </c>
      <c r="M242" t="str">
        <f>IF(Labs!E242&gt;120,"High","Normal")</f>
        <v>High</v>
      </c>
      <c r="N242" t="str">
        <f t="shared" si="7"/>
        <v>High Risk</v>
      </c>
    </row>
    <row r="243" spans="1:14" x14ac:dyDescent="0.3">
      <c r="A243">
        <v>242</v>
      </c>
      <c r="B243" t="s">
        <v>213</v>
      </c>
      <c r="C243">
        <v>54</v>
      </c>
      <c r="D243" t="s">
        <v>17</v>
      </c>
      <c r="E243">
        <v>7</v>
      </c>
      <c r="F243" s="1">
        <v>45976</v>
      </c>
      <c r="G243" s="1">
        <v>45982</v>
      </c>
      <c r="H243">
        <v>2</v>
      </c>
      <c r="I243" s="3">
        <v>140057.57999999999</v>
      </c>
      <c r="J243" t="str">
        <f>VLOOKUP(H243,Diagnosis!$A:$B,2,FALSE)</f>
        <v>Hypertension</v>
      </c>
      <c r="K243" t="str">
        <f>VLOOKUP(H243,Outcome!A$2:$B$7,2,FALSE)</f>
        <v>Improved</v>
      </c>
      <c r="L243">
        <f t="shared" si="6"/>
        <v>6</v>
      </c>
      <c r="M243" t="str">
        <f>IF(Labs!E243&gt;120,"High","Normal")</f>
        <v>High</v>
      </c>
      <c r="N243" t="str">
        <f t="shared" si="7"/>
        <v>High Risk</v>
      </c>
    </row>
    <row r="244" spans="1:14" x14ac:dyDescent="0.3">
      <c r="A244">
        <v>243</v>
      </c>
      <c r="B244" t="s">
        <v>214</v>
      </c>
      <c r="C244">
        <v>91</v>
      </c>
      <c r="D244" t="s">
        <v>17</v>
      </c>
      <c r="E244">
        <v>9</v>
      </c>
      <c r="F244" s="1">
        <v>44986</v>
      </c>
      <c r="G244" s="1">
        <v>45003</v>
      </c>
      <c r="H244">
        <v>1</v>
      </c>
      <c r="I244" s="3">
        <v>120045.26</v>
      </c>
      <c r="J244" t="str">
        <f>VLOOKUP(H244,Diagnosis!$A:$B,2,FALSE)</f>
        <v>Diabetes</v>
      </c>
      <c r="K244" t="str">
        <f>VLOOKUP(H244,Outcome!A$2:$B$7,2,FALSE)</f>
        <v>Recovered</v>
      </c>
      <c r="L244">
        <f t="shared" si="6"/>
        <v>17</v>
      </c>
      <c r="M244" t="str">
        <f>IF(Labs!E244&gt;120,"High","Normal")</f>
        <v>High</v>
      </c>
      <c r="N244" t="str">
        <f t="shared" si="7"/>
        <v>High Risk</v>
      </c>
    </row>
    <row r="245" spans="1:14" x14ac:dyDescent="0.3">
      <c r="A245">
        <v>244</v>
      </c>
      <c r="B245" t="s">
        <v>215</v>
      </c>
      <c r="C245">
        <v>41</v>
      </c>
      <c r="D245" t="s">
        <v>17</v>
      </c>
      <c r="E245">
        <v>8</v>
      </c>
      <c r="F245" s="1">
        <v>45653</v>
      </c>
      <c r="G245" s="1">
        <v>45663</v>
      </c>
      <c r="H245">
        <v>2</v>
      </c>
      <c r="I245" s="3">
        <v>122466.67</v>
      </c>
      <c r="J245" t="str">
        <f>VLOOKUP(H245,Diagnosis!$A:$B,2,FALSE)</f>
        <v>Hypertension</v>
      </c>
      <c r="K245" t="str">
        <f>VLOOKUP(H245,Outcome!A$2:$B$7,2,FALSE)</f>
        <v>Improved</v>
      </c>
      <c r="L245">
        <f t="shared" si="6"/>
        <v>10</v>
      </c>
      <c r="M245" t="str">
        <f>IF(Labs!E245&gt;120,"High","Normal")</f>
        <v>High</v>
      </c>
      <c r="N245" t="str">
        <f t="shared" si="7"/>
        <v>High Risk</v>
      </c>
    </row>
    <row r="246" spans="1:14" x14ac:dyDescent="0.3">
      <c r="A246">
        <v>245</v>
      </c>
      <c r="B246" t="s">
        <v>167</v>
      </c>
      <c r="C246">
        <v>62</v>
      </c>
      <c r="D246" t="s">
        <v>17</v>
      </c>
      <c r="E246">
        <v>4</v>
      </c>
      <c r="F246" s="1">
        <v>45133</v>
      </c>
      <c r="G246" s="1">
        <v>45150</v>
      </c>
      <c r="H246">
        <v>1</v>
      </c>
      <c r="I246" s="3">
        <v>169613.68</v>
      </c>
      <c r="J246" t="str">
        <f>VLOOKUP(H246,Diagnosis!$A:$B,2,FALSE)</f>
        <v>Diabetes</v>
      </c>
      <c r="K246" t="str">
        <f>VLOOKUP(H246,Outcome!A$2:$B$7,2,FALSE)</f>
        <v>Recovered</v>
      </c>
      <c r="L246">
        <f t="shared" si="6"/>
        <v>17</v>
      </c>
      <c r="M246" t="str">
        <f>IF(Labs!E246&gt;120,"High","Normal")</f>
        <v>High</v>
      </c>
      <c r="N246" t="str">
        <f t="shared" si="7"/>
        <v>low risk</v>
      </c>
    </row>
    <row r="247" spans="1:14" x14ac:dyDescent="0.3">
      <c r="A247">
        <v>246</v>
      </c>
      <c r="B247" t="s">
        <v>216</v>
      </c>
      <c r="C247">
        <v>91</v>
      </c>
      <c r="D247" t="s">
        <v>17</v>
      </c>
      <c r="E247">
        <v>8</v>
      </c>
      <c r="F247" s="1">
        <v>45211</v>
      </c>
      <c r="G247" s="1">
        <v>45226</v>
      </c>
      <c r="H247">
        <v>1</v>
      </c>
      <c r="I247" s="3">
        <v>168231.82</v>
      </c>
      <c r="J247" t="str">
        <f>VLOOKUP(H247,Diagnosis!$A:$B,2,FALSE)</f>
        <v>Diabetes</v>
      </c>
      <c r="K247" t="str">
        <f>VLOOKUP(H247,Outcome!A$2:$B$7,2,FALSE)</f>
        <v>Recovered</v>
      </c>
      <c r="L247">
        <f t="shared" si="6"/>
        <v>15</v>
      </c>
      <c r="M247" t="str">
        <f>IF(Labs!E247&gt;120,"High","Normal")</f>
        <v>High</v>
      </c>
      <c r="N247" t="str">
        <f t="shared" si="7"/>
        <v>High Risk</v>
      </c>
    </row>
    <row r="248" spans="1:14" x14ac:dyDescent="0.3">
      <c r="A248">
        <v>247</v>
      </c>
      <c r="B248" t="s">
        <v>89</v>
      </c>
      <c r="C248">
        <v>16</v>
      </c>
      <c r="D248" t="s">
        <v>10</v>
      </c>
      <c r="E248">
        <v>7</v>
      </c>
      <c r="F248" s="1">
        <v>46238</v>
      </c>
      <c r="G248" s="1">
        <v>46249</v>
      </c>
      <c r="H248">
        <v>6</v>
      </c>
      <c r="I248" s="3">
        <v>145319.31</v>
      </c>
      <c r="J248" t="str">
        <f>VLOOKUP(H248,Diagnosis!$A:$B,2,FALSE)</f>
        <v>Kidney Disease</v>
      </c>
      <c r="K248" t="str">
        <f>VLOOKUP(H248,Outcome!A$2:$B$7,2,FALSE)</f>
        <v>Deceased</v>
      </c>
      <c r="L248">
        <f t="shared" si="6"/>
        <v>11</v>
      </c>
      <c r="M248" t="str">
        <f>IF(Labs!E248&gt;120,"High","Normal")</f>
        <v>High</v>
      </c>
      <c r="N248" t="str">
        <f t="shared" si="7"/>
        <v>High Risk</v>
      </c>
    </row>
    <row r="249" spans="1:14" x14ac:dyDescent="0.3">
      <c r="A249">
        <v>248</v>
      </c>
      <c r="B249" t="s">
        <v>217</v>
      </c>
      <c r="C249">
        <v>37</v>
      </c>
      <c r="D249" t="s">
        <v>17</v>
      </c>
      <c r="E249">
        <v>6</v>
      </c>
      <c r="F249" s="1">
        <v>45467</v>
      </c>
      <c r="G249" s="1">
        <v>45487</v>
      </c>
      <c r="H249">
        <v>1</v>
      </c>
      <c r="I249" s="3">
        <v>87536.57</v>
      </c>
      <c r="J249" t="str">
        <f>VLOOKUP(H249,Diagnosis!$A:$B,2,FALSE)</f>
        <v>Diabetes</v>
      </c>
      <c r="K249" t="str">
        <f>VLOOKUP(H249,Outcome!A$2:$B$7,2,FALSE)</f>
        <v>Recovered</v>
      </c>
      <c r="L249">
        <f t="shared" si="6"/>
        <v>20</v>
      </c>
      <c r="M249" t="str">
        <f>IF(Labs!E249&gt;120,"High","Normal")</f>
        <v>High</v>
      </c>
      <c r="N249" t="str">
        <f t="shared" si="7"/>
        <v>low risk</v>
      </c>
    </row>
    <row r="250" spans="1:14" x14ac:dyDescent="0.3">
      <c r="A250">
        <v>249</v>
      </c>
      <c r="B250" t="s">
        <v>218</v>
      </c>
      <c r="C250">
        <v>35</v>
      </c>
      <c r="D250" t="s">
        <v>10</v>
      </c>
      <c r="E250">
        <v>3</v>
      </c>
      <c r="F250" s="1">
        <v>44785</v>
      </c>
      <c r="G250" s="1">
        <v>44804</v>
      </c>
      <c r="H250">
        <v>3</v>
      </c>
      <c r="I250" s="3">
        <v>44972.57</v>
      </c>
      <c r="J250" t="str">
        <f>VLOOKUP(H250,Diagnosis!$A:$B,2,FALSE)</f>
        <v>Asthma</v>
      </c>
      <c r="K250" t="str">
        <f>VLOOKUP(H250,Outcome!A$2:$B$7,2,FALSE)</f>
        <v>Ongoing Treatment</v>
      </c>
      <c r="L250">
        <f t="shared" si="6"/>
        <v>19</v>
      </c>
      <c r="M250" t="str">
        <f>IF(Labs!E250&gt;120,"High","Normal")</f>
        <v>High</v>
      </c>
      <c r="N250" t="str">
        <f t="shared" si="7"/>
        <v>High Risk</v>
      </c>
    </row>
    <row r="251" spans="1:14" x14ac:dyDescent="0.3">
      <c r="A251">
        <v>250</v>
      </c>
      <c r="B251" t="s">
        <v>219</v>
      </c>
      <c r="C251">
        <v>29</v>
      </c>
      <c r="D251" t="s">
        <v>17</v>
      </c>
      <c r="E251">
        <v>1</v>
      </c>
      <c r="F251" s="1">
        <v>44767</v>
      </c>
      <c r="G251" s="1">
        <v>44780</v>
      </c>
      <c r="H251">
        <v>1</v>
      </c>
      <c r="I251" s="3">
        <v>86351.69</v>
      </c>
      <c r="J251" t="str">
        <f>VLOOKUP(H251,Diagnosis!$A:$B,2,FALSE)</f>
        <v>Diabetes</v>
      </c>
      <c r="K251" t="str">
        <f>VLOOKUP(H251,Outcome!A$2:$B$7,2,FALSE)</f>
        <v>Recovered</v>
      </c>
      <c r="L251">
        <f t="shared" si="6"/>
        <v>13</v>
      </c>
      <c r="M251" t="str">
        <f>IF(Labs!E251&gt;120,"High","Normal")</f>
        <v>High</v>
      </c>
      <c r="N251" t="str">
        <f t="shared" si="7"/>
        <v>low risk</v>
      </c>
    </row>
    <row r="252" spans="1:14" x14ac:dyDescent="0.3">
      <c r="A252">
        <v>251</v>
      </c>
      <c r="B252" t="s">
        <v>220</v>
      </c>
      <c r="C252">
        <v>71</v>
      </c>
      <c r="D252" t="s">
        <v>17</v>
      </c>
      <c r="E252">
        <v>7</v>
      </c>
      <c r="F252" s="1">
        <v>45899</v>
      </c>
      <c r="G252" s="1">
        <v>45928</v>
      </c>
      <c r="H252">
        <v>5</v>
      </c>
      <c r="I252" s="3">
        <v>86936.69</v>
      </c>
      <c r="J252" t="str">
        <f>VLOOKUP(H252,Diagnosis!$A:$B,2,FALSE)</f>
        <v>Heart Disease</v>
      </c>
      <c r="K252" t="str">
        <f>VLOOKUP(H252,Outcome!A$2:$B$7,2,FALSE)</f>
        <v>Readmitted</v>
      </c>
      <c r="L252">
        <f t="shared" si="6"/>
        <v>29</v>
      </c>
      <c r="M252" t="str">
        <f>IF(Labs!E252&gt;120,"High","Normal")</f>
        <v>High</v>
      </c>
      <c r="N252" t="str">
        <f t="shared" si="7"/>
        <v>High Risk</v>
      </c>
    </row>
    <row r="253" spans="1:14" x14ac:dyDescent="0.3">
      <c r="A253">
        <v>252</v>
      </c>
      <c r="B253" t="s">
        <v>221</v>
      </c>
      <c r="C253">
        <v>42</v>
      </c>
      <c r="D253" t="s">
        <v>10</v>
      </c>
      <c r="E253">
        <v>1</v>
      </c>
      <c r="F253" s="1">
        <v>46136</v>
      </c>
      <c r="G253" s="1">
        <v>46138</v>
      </c>
      <c r="H253">
        <v>3</v>
      </c>
      <c r="I253" s="3">
        <v>43719.09</v>
      </c>
      <c r="J253" t="str">
        <f>VLOOKUP(H253,Diagnosis!$A:$B,2,FALSE)</f>
        <v>Asthma</v>
      </c>
      <c r="K253" t="str">
        <f>VLOOKUP(H253,Outcome!A$2:$B$7,2,FALSE)</f>
        <v>Ongoing Treatment</v>
      </c>
      <c r="L253">
        <f t="shared" si="6"/>
        <v>2</v>
      </c>
      <c r="M253" t="str">
        <f>IF(Labs!E253&gt;120,"High","Normal")</f>
        <v>High</v>
      </c>
      <c r="N253" t="str">
        <f t="shared" si="7"/>
        <v>High Risk</v>
      </c>
    </row>
    <row r="254" spans="1:14" x14ac:dyDescent="0.3">
      <c r="A254">
        <v>253</v>
      </c>
      <c r="B254" t="s">
        <v>222</v>
      </c>
      <c r="C254">
        <v>54</v>
      </c>
      <c r="D254" t="s">
        <v>17</v>
      </c>
      <c r="E254">
        <v>1</v>
      </c>
      <c r="F254" s="1">
        <v>46274</v>
      </c>
      <c r="G254" s="1">
        <v>46286</v>
      </c>
      <c r="H254">
        <v>4</v>
      </c>
      <c r="I254" s="3">
        <v>35570.31</v>
      </c>
      <c r="J254" t="str">
        <f>VLOOKUP(H254,Diagnosis!$A:$B,2,FALSE)</f>
        <v>Pneumonia</v>
      </c>
      <c r="K254" t="str">
        <f>VLOOKUP(H254,Outcome!A$2:$B$7,2,FALSE)</f>
        <v>Referred</v>
      </c>
      <c r="L254">
        <f t="shared" si="6"/>
        <v>12</v>
      </c>
      <c r="M254" t="str">
        <f>IF(Labs!E254&gt;120,"High","Normal")</f>
        <v>High</v>
      </c>
      <c r="N254" t="str">
        <f t="shared" si="7"/>
        <v>High Risk</v>
      </c>
    </row>
    <row r="255" spans="1:14" x14ac:dyDescent="0.3">
      <c r="A255">
        <v>254</v>
      </c>
      <c r="B255" t="s">
        <v>217</v>
      </c>
      <c r="C255">
        <v>2</v>
      </c>
      <c r="D255" t="s">
        <v>10</v>
      </c>
      <c r="E255">
        <v>10</v>
      </c>
      <c r="F255" s="1">
        <v>45796</v>
      </c>
      <c r="G255" s="1">
        <v>45799</v>
      </c>
      <c r="H255">
        <v>5</v>
      </c>
      <c r="I255" s="3">
        <v>61969.98</v>
      </c>
      <c r="J255" t="str">
        <f>VLOOKUP(H255,Diagnosis!$A:$B,2,FALSE)</f>
        <v>Heart Disease</v>
      </c>
      <c r="K255" t="str">
        <f>VLOOKUP(H255,Outcome!A$2:$B$7,2,FALSE)</f>
        <v>Readmitted</v>
      </c>
      <c r="L255">
        <f t="shared" si="6"/>
        <v>3</v>
      </c>
      <c r="M255" t="str">
        <f>IF(Labs!E255&gt;120,"High","Normal")</f>
        <v>High</v>
      </c>
      <c r="N255" t="str">
        <f t="shared" si="7"/>
        <v>High Risk</v>
      </c>
    </row>
    <row r="256" spans="1:14" x14ac:dyDescent="0.3">
      <c r="A256">
        <v>255</v>
      </c>
      <c r="B256" t="s">
        <v>223</v>
      </c>
      <c r="C256">
        <v>68</v>
      </c>
      <c r="D256" t="s">
        <v>10</v>
      </c>
      <c r="E256">
        <v>3</v>
      </c>
      <c r="F256" s="1">
        <v>45594</v>
      </c>
      <c r="G256" s="1">
        <v>45608</v>
      </c>
      <c r="H256">
        <v>1</v>
      </c>
      <c r="I256" s="3">
        <v>146064.46</v>
      </c>
      <c r="J256" t="str">
        <f>VLOOKUP(H256,Diagnosis!$A:$B,2,FALSE)</f>
        <v>Diabetes</v>
      </c>
      <c r="K256" t="str">
        <f>VLOOKUP(H256,Outcome!A$2:$B$7,2,FALSE)</f>
        <v>Recovered</v>
      </c>
      <c r="L256">
        <f t="shared" si="6"/>
        <v>14</v>
      </c>
      <c r="M256" t="str">
        <f>IF(Labs!E256&gt;120,"High","Normal")</f>
        <v>High</v>
      </c>
      <c r="N256" t="str">
        <f t="shared" si="7"/>
        <v>High Risk</v>
      </c>
    </row>
    <row r="257" spans="1:14" x14ac:dyDescent="0.3">
      <c r="A257">
        <v>256</v>
      </c>
      <c r="B257" t="s">
        <v>224</v>
      </c>
      <c r="C257">
        <v>94</v>
      </c>
      <c r="D257" t="s">
        <v>10</v>
      </c>
      <c r="E257">
        <v>5</v>
      </c>
      <c r="F257" s="1">
        <v>46033</v>
      </c>
      <c r="G257" s="1">
        <v>46038</v>
      </c>
      <c r="H257">
        <v>1</v>
      </c>
      <c r="I257" s="3">
        <v>62337.41</v>
      </c>
      <c r="J257" t="str">
        <f>VLOOKUP(H257,Diagnosis!$A:$B,2,FALSE)</f>
        <v>Diabetes</v>
      </c>
      <c r="K257" t="str">
        <f>VLOOKUP(H257,Outcome!A$2:$B$7,2,FALSE)</f>
        <v>Recovered</v>
      </c>
      <c r="L257">
        <f t="shared" si="6"/>
        <v>5</v>
      </c>
      <c r="M257" t="str">
        <f>IF(Labs!E257&gt;120,"High","Normal")</f>
        <v>High</v>
      </c>
      <c r="N257" t="str">
        <f t="shared" si="7"/>
        <v>High Risk</v>
      </c>
    </row>
    <row r="258" spans="1:14" x14ac:dyDescent="0.3">
      <c r="A258">
        <v>257</v>
      </c>
      <c r="B258" t="s">
        <v>225</v>
      </c>
      <c r="C258">
        <v>87</v>
      </c>
      <c r="D258" t="s">
        <v>17</v>
      </c>
      <c r="E258">
        <v>3</v>
      </c>
      <c r="F258" s="1">
        <v>45813</v>
      </c>
      <c r="G258" s="1">
        <v>45840</v>
      </c>
      <c r="H258">
        <v>2</v>
      </c>
      <c r="I258" s="3">
        <v>74474.539999999994</v>
      </c>
      <c r="J258" t="str">
        <f>VLOOKUP(H258,Diagnosis!$A:$B,2,FALSE)</f>
        <v>Hypertension</v>
      </c>
      <c r="K258" t="str">
        <f>VLOOKUP(H258,Outcome!A$2:$B$7,2,FALSE)</f>
        <v>Improved</v>
      </c>
      <c r="L258">
        <f t="shared" si="6"/>
        <v>27</v>
      </c>
      <c r="M258" t="str">
        <f>IF(Labs!E258&gt;120,"High","Normal")</f>
        <v>High</v>
      </c>
      <c r="N258" t="str">
        <f t="shared" si="7"/>
        <v>High Risk</v>
      </c>
    </row>
    <row r="259" spans="1:14" x14ac:dyDescent="0.3">
      <c r="A259">
        <v>258</v>
      </c>
      <c r="B259" t="s">
        <v>226</v>
      </c>
      <c r="C259">
        <v>42</v>
      </c>
      <c r="D259" t="s">
        <v>17</v>
      </c>
      <c r="E259">
        <v>7</v>
      </c>
      <c r="F259" s="1">
        <v>45932</v>
      </c>
      <c r="G259" s="1">
        <v>45935</v>
      </c>
      <c r="H259">
        <v>1</v>
      </c>
      <c r="I259" s="3">
        <v>27458.61</v>
      </c>
      <c r="J259" t="str">
        <f>VLOOKUP(H259,Diagnosis!$A:$B,2,FALSE)</f>
        <v>Diabetes</v>
      </c>
      <c r="K259" t="str">
        <f>VLOOKUP(H259,Outcome!A$2:$B$7,2,FALSE)</f>
        <v>Recovered</v>
      </c>
      <c r="L259">
        <f t="shared" ref="L259:L322" si="8">DATEDIF(F259,G259,"d")</f>
        <v>3</v>
      </c>
      <c r="M259" t="str">
        <f>IF(Labs!E259&gt;120,"High","Normal")</f>
        <v>High</v>
      </c>
      <c r="N259" t="str">
        <f t="shared" si="7"/>
        <v>low risk</v>
      </c>
    </row>
    <row r="260" spans="1:14" x14ac:dyDescent="0.3">
      <c r="A260">
        <v>259</v>
      </c>
      <c r="B260" t="s">
        <v>227</v>
      </c>
      <c r="C260">
        <v>1</v>
      </c>
      <c r="D260" t="s">
        <v>10</v>
      </c>
      <c r="E260">
        <v>7</v>
      </c>
      <c r="F260" s="1">
        <v>45044</v>
      </c>
      <c r="G260" s="1">
        <v>45058</v>
      </c>
      <c r="H260">
        <v>3</v>
      </c>
      <c r="I260" s="3">
        <v>171841.18</v>
      </c>
      <c r="J260" t="str">
        <f>VLOOKUP(H260,Diagnosis!$A:$B,2,FALSE)</f>
        <v>Asthma</v>
      </c>
      <c r="K260" t="str">
        <f>VLOOKUP(H260,Outcome!A$2:$B$7,2,FALSE)</f>
        <v>Ongoing Treatment</v>
      </c>
      <c r="L260">
        <f t="shared" si="8"/>
        <v>14</v>
      </c>
      <c r="M260" t="str">
        <f>IF(Labs!E260&gt;120,"High","Normal")</f>
        <v>High</v>
      </c>
      <c r="N260" t="str">
        <f t="shared" ref="N260:N323" si="9">IF(OR(C260&gt;65,H260&lt;&gt;1),"High Risk","low risk")</f>
        <v>High Risk</v>
      </c>
    </row>
    <row r="261" spans="1:14" x14ac:dyDescent="0.3">
      <c r="A261">
        <v>260</v>
      </c>
      <c r="B261" t="s">
        <v>97</v>
      </c>
      <c r="C261">
        <v>93</v>
      </c>
      <c r="D261" t="s">
        <v>17</v>
      </c>
      <c r="E261">
        <v>5</v>
      </c>
      <c r="F261" s="1">
        <v>45900</v>
      </c>
      <c r="G261" s="1">
        <v>45911</v>
      </c>
      <c r="H261">
        <v>3</v>
      </c>
      <c r="I261" s="3">
        <v>13527.07</v>
      </c>
      <c r="J261" t="str">
        <f>VLOOKUP(H261,Diagnosis!$A:$B,2,FALSE)</f>
        <v>Asthma</v>
      </c>
      <c r="K261" t="str">
        <f>VLOOKUP(H261,Outcome!A$2:$B$7,2,FALSE)</f>
        <v>Ongoing Treatment</v>
      </c>
      <c r="L261">
        <f t="shared" si="8"/>
        <v>11</v>
      </c>
      <c r="M261" t="str">
        <f>IF(Labs!E261&gt;120,"High","Normal")</f>
        <v>High</v>
      </c>
      <c r="N261" t="str">
        <f t="shared" si="9"/>
        <v>High Risk</v>
      </c>
    </row>
    <row r="262" spans="1:14" x14ac:dyDescent="0.3">
      <c r="A262">
        <v>261</v>
      </c>
      <c r="B262" t="s">
        <v>228</v>
      </c>
      <c r="C262">
        <v>40</v>
      </c>
      <c r="D262" t="s">
        <v>17</v>
      </c>
      <c r="E262">
        <v>7</v>
      </c>
      <c r="F262" s="1">
        <v>45967</v>
      </c>
      <c r="G262" s="1">
        <v>45983</v>
      </c>
      <c r="H262">
        <v>5</v>
      </c>
      <c r="I262" s="3">
        <v>160084.75</v>
      </c>
      <c r="J262" t="str">
        <f>VLOOKUP(H262,Diagnosis!$A:$B,2,FALSE)</f>
        <v>Heart Disease</v>
      </c>
      <c r="K262" t="str">
        <f>VLOOKUP(H262,Outcome!A$2:$B$7,2,FALSE)</f>
        <v>Readmitted</v>
      </c>
      <c r="L262">
        <f t="shared" si="8"/>
        <v>16</v>
      </c>
      <c r="M262" t="str">
        <f>IF(Labs!E262&gt;120,"High","Normal")</f>
        <v>High</v>
      </c>
      <c r="N262" t="str">
        <f t="shared" si="9"/>
        <v>High Risk</v>
      </c>
    </row>
    <row r="263" spans="1:14" x14ac:dyDescent="0.3">
      <c r="A263">
        <v>262</v>
      </c>
      <c r="B263" t="s">
        <v>229</v>
      </c>
      <c r="C263">
        <v>82</v>
      </c>
      <c r="D263" t="s">
        <v>10</v>
      </c>
      <c r="E263">
        <v>6</v>
      </c>
      <c r="F263" s="1">
        <v>45820</v>
      </c>
      <c r="G263" s="1">
        <v>45827</v>
      </c>
      <c r="H263">
        <v>1</v>
      </c>
      <c r="I263" s="3">
        <v>26208.46</v>
      </c>
      <c r="J263" t="str">
        <f>VLOOKUP(H263,Diagnosis!$A:$B,2,FALSE)</f>
        <v>Diabetes</v>
      </c>
      <c r="K263" t="str">
        <f>VLOOKUP(H263,Outcome!A$2:$B$7,2,FALSE)</f>
        <v>Recovered</v>
      </c>
      <c r="L263">
        <f t="shared" si="8"/>
        <v>7</v>
      </c>
      <c r="M263" t="str">
        <f>IF(Labs!E263&gt;120,"High","Normal")</f>
        <v>High</v>
      </c>
      <c r="N263" t="str">
        <f t="shared" si="9"/>
        <v>High Risk</v>
      </c>
    </row>
    <row r="264" spans="1:14" x14ac:dyDescent="0.3">
      <c r="A264">
        <v>263</v>
      </c>
      <c r="B264" t="s">
        <v>112</v>
      </c>
      <c r="C264">
        <v>78</v>
      </c>
      <c r="D264" t="s">
        <v>10</v>
      </c>
      <c r="E264">
        <v>7</v>
      </c>
      <c r="F264" s="1">
        <v>45999</v>
      </c>
      <c r="G264" s="1">
        <v>46016</v>
      </c>
      <c r="H264">
        <v>5</v>
      </c>
      <c r="I264" s="3">
        <v>136929.72</v>
      </c>
      <c r="J264" t="str">
        <f>VLOOKUP(H264,Diagnosis!$A:$B,2,FALSE)</f>
        <v>Heart Disease</v>
      </c>
      <c r="K264" t="str">
        <f>VLOOKUP(H264,Outcome!A$2:$B$7,2,FALSE)</f>
        <v>Readmitted</v>
      </c>
      <c r="L264">
        <f t="shared" si="8"/>
        <v>17</v>
      </c>
      <c r="M264" t="str">
        <f>IF(Labs!E264&gt;120,"High","Normal")</f>
        <v>High</v>
      </c>
      <c r="N264" t="str">
        <f t="shared" si="9"/>
        <v>High Risk</v>
      </c>
    </row>
    <row r="265" spans="1:14" x14ac:dyDescent="0.3">
      <c r="A265">
        <v>264</v>
      </c>
      <c r="B265" t="s">
        <v>230</v>
      </c>
      <c r="C265">
        <v>88</v>
      </c>
      <c r="D265" t="s">
        <v>17</v>
      </c>
      <c r="E265">
        <v>9</v>
      </c>
      <c r="F265" s="1">
        <v>45476</v>
      </c>
      <c r="G265" s="1">
        <v>45492</v>
      </c>
      <c r="H265">
        <v>3</v>
      </c>
      <c r="I265" s="3">
        <v>16363.23</v>
      </c>
      <c r="J265" t="str">
        <f>VLOOKUP(H265,Diagnosis!$A:$B,2,FALSE)</f>
        <v>Asthma</v>
      </c>
      <c r="K265" t="str">
        <f>VLOOKUP(H265,Outcome!A$2:$B$7,2,FALSE)</f>
        <v>Ongoing Treatment</v>
      </c>
      <c r="L265">
        <f t="shared" si="8"/>
        <v>16</v>
      </c>
      <c r="M265" t="str">
        <f>IF(Labs!E265&gt;120,"High","Normal")</f>
        <v>High</v>
      </c>
      <c r="N265" t="str">
        <f t="shared" si="9"/>
        <v>High Risk</v>
      </c>
    </row>
    <row r="266" spans="1:14" x14ac:dyDescent="0.3">
      <c r="A266">
        <v>265</v>
      </c>
      <c r="B266" t="s">
        <v>231</v>
      </c>
      <c r="C266">
        <v>8</v>
      </c>
      <c r="D266" t="s">
        <v>17</v>
      </c>
      <c r="E266">
        <v>10</v>
      </c>
      <c r="F266" s="1">
        <v>45661</v>
      </c>
      <c r="G266" s="1">
        <v>45665</v>
      </c>
      <c r="H266">
        <v>1</v>
      </c>
      <c r="I266" s="3">
        <v>154171.26999999999</v>
      </c>
      <c r="J266" t="str">
        <f>VLOOKUP(H266,Diagnosis!$A:$B,2,FALSE)</f>
        <v>Diabetes</v>
      </c>
      <c r="K266" t="str">
        <f>VLOOKUP(H266,Outcome!A$2:$B$7,2,FALSE)</f>
        <v>Recovered</v>
      </c>
      <c r="L266">
        <f t="shared" si="8"/>
        <v>4</v>
      </c>
      <c r="M266" t="str">
        <f>IF(Labs!E266&gt;120,"High","Normal")</f>
        <v>High</v>
      </c>
      <c r="N266" t="str">
        <f t="shared" si="9"/>
        <v>low risk</v>
      </c>
    </row>
    <row r="267" spans="1:14" x14ac:dyDescent="0.3">
      <c r="A267">
        <v>266</v>
      </c>
      <c r="B267" t="s">
        <v>164</v>
      </c>
      <c r="C267">
        <v>88</v>
      </c>
      <c r="D267" t="s">
        <v>17</v>
      </c>
      <c r="E267">
        <v>10</v>
      </c>
      <c r="F267" s="1">
        <v>45563</v>
      </c>
      <c r="G267" s="1">
        <v>45565</v>
      </c>
      <c r="H267">
        <v>5</v>
      </c>
      <c r="I267" s="3">
        <v>81573.179999999993</v>
      </c>
      <c r="J267" t="str">
        <f>VLOOKUP(H267,Diagnosis!$A:$B,2,FALSE)</f>
        <v>Heart Disease</v>
      </c>
      <c r="K267" t="str">
        <f>VLOOKUP(H267,Outcome!A$2:$B$7,2,FALSE)</f>
        <v>Readmitted</v>
      </c>
      <c r="L267">
        <f t="shared" si="8"/>
        <v>2</v>
      </c>
      <c r="M267" t="str">
        <f>IF(Labs!E267&gt;120,"High","Normal")</f>
        <v>High</v>
      </c>
      <c r="N267" t="str">
        <f t="shared" si="9"/>
        <v>High Risk</v>
      </c>
    </row>
    <row r="268" spans="1:14" x14ac:dyDescent="0.3">
      <c r="A268">
        <v>267</v>
      </c>
      <c r="B268" t="s">
        <v>232</v>
      </c>
      <c r="C268">
        <v>17</v>
      </c>
      <c r="D268" t="s">
        <v>10</v>
      </c>
      <c r="E268">
        <v>8</v>
      </c>
      <c r="F268" s="1">
        <v>45716</v>
      </c>
      <c r="G268" s="1">
        <v>45717</v>
      </c>
      <c r="H268">
        <v>2</v>
      </c>
      <c r="I268" s="3">
        <v>121916.27</v>
      </c>
      <c r="J268" t="str">
        <f>VLOOKUP(H268,Diagnosis!$A:$B,2,FALSE)</f>
        <v>Hypertension</v>
      </c>
      <c r="K268" t="str">
        <f>VLOOKUP(H268,Outcome!A$2:$B$7,2,FALSE)</f>
        <v>Improved</v>
      </c>
      <c r="L268">
        <f t="shared" si="8"/>
        <v>1</v>
      </c>
      <c r="M268" t="str">
        <f>IF(Labs!E268&gt;120,"High","Normal")</f>
        <v>High</v>
      </c>
      <c r="N268" t="str">
        <f t="shared" si="9"/>
        <v>High Risk</v>
      </c>
    </row>
    <row r="269" spans="1:14" x14ac:dyDescent="0.3">
      <c r="A269">
        <v>268</v>
      </c>
      <c r="B269" t="s">
        <v>210</v>
      </c>
      <c r="C269">
        <v>51</v>
      </c>
      <c r="D269" t="s">
        <v>10</v>
      </c>
      <c r="E269">
        <v>1</v>
      </c>
      <c r="F269" s="1">
        <v>46089</v>
      </c>
      <c r="G269" s="1">
        <v>46095</v>
      </c>
      <c r="H269">
        <v>2</v>
      </c>
      <c r="I269" s="3">
        <v>10538.94</v>
      </c>
      <c r="J269" t="str">
        <f>VLOOKUP(H269,Diagnosis!$A:$B,2,FALSE)</f>
        <v>Hypertension</v>
      </c>
      <c r="K269" t="str">
        <f>VLOOKUP(H269,Outcome!A$2:$B$7,2,FALSE)</f>
        <v>Improved</v>
      </c>
      <c r="L269">
        <f t="shared" si="8"/>
        <v>6</v>
      </c>
      <c r="M269" t="str">
        <f>IF(Labs!E269&gt;120,"High","Normal")</f>
        <v>High</v>
      </c>
      <c r="N269" t="str">
        <f t="shared" si="9"/>
        <v>High Risk</v>
      </c>
    </row>
    <row r="270" spans="1:14" x14ac:dyDescent="0.3">
      <c r="A270">
        <v>269</v>
      </c>
      <c r="B270" t="s">
        <v>47</v>
      </c>
      <c r="C270">
        <v>70</v>
      </c>
      <c r="D270" t="s">
        <v>17</v>
      </c>
      <c r="E270">
        <v>2</v>
      </c>
      <c r="F270" s="1">
        <v>45528</v>
      </c>
      <c r="G270" s="1">
        <v>45529</v>
      </c>
      <c r="H270">
        <v>1</v>
      </c>
      <c r="I270" s="3">
        <v>34446.69</v>
      </c>
      <c r="J270" t="str">
        <f>VLOOKUP(H270,Diagnosis!$A:$B,2,FALSE)</f>
        <v>Diabetes</v>
      </c>
      <c r="K270" t="str">
        <f>VLOOKUP(H270,Outcome!A$2:$B$7,2,FALSE)</f>
        <v>Recovered</v>
      </c>
      <c r="L270">
        <f t="shared" si="8"/>
        <v>1</v>
      </c>
      <c r="M270" t="str">
        <f>IF(Labs!E270&gt;120,"High","Normal")</f>
        <v>High</v>
      </c>
      <c r="N270" t="str">
        <f t="shared" si="9"/>
        <v>High Risk</v>
      </c>
    </row>
    <row r="271" spans="1:14" x14ac:dyDescent="0.3">
      <c r="A271">
        <v>270</v>
      </c>
      <c r="B271" t="s">
        <v>233</v>
      </c>
      <c r="C271">
        <v>48</v>
      </c>
      <c r="D271" t="s">
        <v>10</v>
      </c>
      <c r="E271">
        <v>8</v>
      </c>
      <c r="F271" s="1">
        <v>45335</v>
      </c>
      <c r="G271" s="1">
        <v>45347</v>
      </c>
      <c r="H271">
        <v>1</v>
      </c>
      <c r="I271" s="3">
        <v>173635.63</v>
      </c>
      <c r="J271" t="str">
        <f>VLOOKUP(H271,Diagnosis!$A:$B,2,FALSE)</f>
        <v>Diabetes</v>
      </c>
      <c r="K271" t="str">
        <f>VLOOKUP(H271,Outcome!A$2:$B$7,2,FALSE)</f>
        <v>Recovered</v>
      </c>
      <c r="L271">
        <f t="shared" si="8"/>
        <v>12</v>
      </c>
      <c r="M271" t="str">
        <f>IF(Labs!E271&gt;120,"High","Normal")</f>
        <v>High</v>
      </c>
      <c r="N271" t="str">
        <f t="shared" si="9"/>
        <v>low risk</v>
      </c>
    </row>
    <row r="272" spans="1:14" x14ac:dyDescent="0.3">
      <c r="A272">
        <v>271</v>
      </c>
      <c r="B272" t="s">
        <v>30</v>
      </c>
      <c r="C272">
        <v>84</v>
      </c>
      <c r="D272" t="s">
        <v>10</v>
      </c>
      <c r="E272">
        <v>2</v>
      </c>
      <c r="F272" s="1">
        <v>44927</v>
      </c>
      <c r="G272" s="1">
        <v>44944</v>
      </c>
      <c r="H272">
        <v>2</v>
      </c>
      <c r="I272" s="3">
        <v>25104.11</v>
      </c>
      <c r="J272" t="str">
        <f>VLOOKUP(H272,Diagnosis!$A:$B,2,FALSE)</f>
        <v>Hypertension</v>
      </c>
      <c r="K272" t="str">
        <f>VLOOKUP(H272,Outcome!A$2:$B$7,2,FALSE)</f>
        <v>Improved</v>
      </c>
      <c r="L272">
        <f t="shared" si="8"/>
        <v>17</v>
      </c>
      <c r="M272" t="str">
        <f>IF(Labs!E272&gt;120,"High","Normal")</f>
        <v>High</v>
      </c>
      <c r="N272" t="str">
        <f t="shared" si="9"/>
        <v>High Risk</v>
      </c>
    </row>
    <row r="273" spans="1:14" x14ac:dyDescent="0.3">
      <c r="A273">
        <v>272</v>
      </c>
      <c r="B273" t="s">
        <v>234</v>
      </c>
      <c r="C273">
        <v>3</v>
      </c>
      <c r="D273" t="s">
        <v>10</v>
      </c>
      <c r="E273">
        <v>8</v>
      </c>
      <c r="F273" s="1">
        <v>45941</v>
      </c>
      <c r="G273" s="1">
        <v>45964</v>
      </c>
      <c r="H273">
        <v>2</v>
      </c>
      <c r="I273" s="3">
        <v>96918.22</v>
      </c>
      <c r="J273" t="str">
        <f>VLOOKUP(H273,Diagnosis!$A:$B,2,FALSE)</f>
        <v>Hypertension</v>
      </c>
      <c r="K273" t="str">
        <f>VLOOKUP(H273,Outcome!A$2:$B$7,2,FALSE)</f>
        <v>Improved</v>
      </c>
      <c r="L273">
        <f t="shared" si="8"/>
        <v>23</v>
      </c>
      <c r="M273" t="str">
        <f>IF(Labs!E273&gt;120,"High","Normal")</f>
        <v>High</v>
      </c>
      <c r="N273" t="str">
        <f t="shared" si="9"/>
        <v>High Risk</v>
      </c>
    </row>
    <row r="274" spans="1:14" x14ac:dyDescent="0.3">
      <c r="A274">
        <v>273</v>
      </c>
      <c r="B274" t="s">
        <v>235</v>
      </c>
      <c r="C274">
        <v>59</v>
      </c>
      <c r="D274" t="s">
        <v>10</v>
      </c>
      <c r="E274">
        <v>3</v>
      </c>
      <c r="F274" s="1">
        <v>45126</v>
      </c>
      <c r="G274" s="1">
        <v>45132</v>
      </c>
      <c r="H274">
        <v>5</v>
      </c>
      <c r="I274" s="3">
        <v>131191.75</v>
      </c>
      <c r="J274" t="str">
        <f>VLOOKUP(H274,Diagnosis!$A:$B,2,FALSE)</f>
        <v>Heart Disease</v>
      </c>
      <c r="K274" t="str">
        <f>VLOOKUP(H274,Outcome!A$2:$B$7,2,FALSE)</f>
        <v>Readmitted</v>
      </c>
      <c r="L274">
        <f t="shared" si="8"/>
        <v>6</v>
      </c>
      <c r="M274" t="str">
        <f>IF(Labs!E274&gt;120,"High","Normal")</f>
        <v>High</v>
      </c>
      <c r="N274" t="str">
        <f t="shared" si="9"/>
        <v>High Risk</v>
      </c>
    </row>
    <row r="275" spans="1:14" x14ac:dyDescent="0.3">
      <c r="A275">
        <v>274</v>
      </c>
      <c r="B275" t="s">
        <v>236</v>
      </c>
      <c r="C275">
        <v>85</v>
      </c>
      <c r="D275" t="s">
        <v>10</v>
      </c>
      <c r="E275">
        <v>10</v>
      </c>
      <c r="F275" s="1">
        <v>46130</v>
      </c>
      <c r="G275" s="1">
        <v>46159</v>
      </c>
      <c r="H275">
        <v>5</v>
      </c>
      <c r="I275" s="3">
        <v>5277.13</v>
      </c>
      <c r="J275" t="str">
        <f>VLOOKUP(H275,Diagnosis!$A:$B,2,FALSE)</f>
        <v>Heart Disease</v>
      </c>
      <c r="K275" t="str">
        <f>VLOOKUP(H275,Outcome!A$2:$B$7,2,FALSE)</f>
        <v>Readmitted</v>
      </c>
      <c r="L275">
        <f t="shared" si="8"/>
        <v>29</v>
      </c>
      <c r="M275" t="str">
        <f>IF(Labs!E275&gt;120,"High","Normal")</f>
        <v>High</v>
      </c>
      <c r="N275" t="str">
        <f t="shared" si="9"/>
        <v>High Risk</v>
      </c>
    </row>
    <row r="276" spans="1:14" x14ac:dyDescent="0.3">
      <c r="A276">
        <v>275</v>
      </c>
      <c r="B276" t="s">
        <v>237</v>
      </c>
      <c r="C276">
        <v>13</v>
      </c>
      <c r="D276" t="s">
        <v>17</v>
      </c>
      <c r="E276">
        <v>8</v>
      </c>
      <c r="F276" s="1">
        <v>45786</v>
      </c>
      <c r="G276" s="1">
        <v>45807</v>
      </c>
      <c r="H276">
        <v>3</v>
      </c>
      <c r="I276" s="3">
        <v>11140.05</v>
      </c>
      <c r="J276" t="str">
        <f>VLOOKUP(H276,Diagnosis!$A:$B,2,FALSE)</f>
        <v>Asthma</v>
      </c>
      <c r="K276" t="str">
        <f>VLOOKUP(H276,Outcome!A$2:$B$7,2,FALSE)</f>
        <v>Ongoing Treatment</v>
      </c>
      <c r="L276">
        <f t="shared" si="8"/>
        <v>21</v>
      </c>
      <c r="M276" t="str">
        <f>IF(Labs!E276&gt;120,"High","Normal")</f>
        <v>High</v>
      </c>
      <c r="N276" t="str">
        <f t="shared" si="9"/>
        <v>High Risk</v>
      </c>
    </row>
    <row r="277" spans="1:14" x14ac:dyDescent="0.3">
      <c r="A277">
        <v>276</v>
      </c>
      <c r="B277" t="s">
        <v>238</v>
      </c>
      <c r="C277">
        <v>57</v>
      </c>
      <c r="D277" t="s">
        <v>17</v>
      </c>
      <c r="E277">
        <v>9</v>
      </c>
      <c r="F277" s="1">
        <v>45006</v>
      </c>
      <c r="G277" s="1">
        <v>45030</v>
      </c>
      <c r="H277">
        <v>5</v>
      </c>
      <c r="I277" s="3">
        <v>12518.82</v>
      </c>
      <c r="J277" t="str">
        <f>VLOOKUP(H277,Diagnosis!$A:$B,2,FALSE)</f>
        <v>Heart Disease</v>
      </c>
      <c r="K277" t="str">
        <f>VLOOKUP(H277,Outcome!A$2:$B$7,2,FALSE)</f>
        <v>Readmitted</v>
      </c>
      <c r="L277">
        <f t="shared" si="8"/>
        <v>24</v>
      </c>
      <c r="M277" t="str">
        <f>IF(Labs!E277&gt;120,"High","Normal")</f>
        <v>High</v>
      </c>
      <c r="N277" t="str">
        <f t="shared" si="9"/>
        <v>High Risk</v>
      </c>
    </row>
    <row r="278" spans="1:14" x14ac:dyDescent="0.3">
      <c r="A278">
        <v>277</v>
      </c>
      <c r="B278" t="s">
        <v>239</v>
      </c>
      <c r="C278">
        <v>30</v>
      </c>
      <c r="D278" t="s">
        <v>10</v>
      </c>
      <c r="E278">
        <v>10</v>
      </c>
      <c r="F278" s="1">
        <v>45786</v>
      </c>
      <c r="G278" s="1">
        <v>45810</v>
      </c>
      <c r="H278">
        <v>3</v>
      </c>
      <c r="I278" s="3">
        <v>59418.06</v>
      </c>
      <c r="J278" t="str">
        <f>VLOOKUP(H278,Diagnosis!$A:$B,2,FALSE)</f>
        <v>Asthma</v>
      </c>
      <c r="K278" t="str">
        <f>VLOOKUP(H278,Outcome!A$2:$B$7,2,FALSE)</f>
        <v>Ongoing Treatment</v>
      </c>
      <c r="L278">
        <f t="shared" si="8"/>
        <v>24</v>
      </c>
      <c r="M278" t="str">
        <f>IF(Labs!E278&gt;120,"High","Normal")</f>
        <v>High</v>
      </c>
      <c r="N278" t="str">
        <f t="shared" si="9"/>
        <v>High Risk</v>
      </c>
    </row>
    <row r="279" spans="1:14" x14ac:dyDescent="0.3">
      <c r="A279">
        <v>278</v>
      </c>
      <c r="B279" t="s">
        <v>240</v>
      </c>
      <c r="C279">
        <v>85</v>
      </c>
      <c r="D279" t="s">
        <v>17</v>
      </c>
      <c r="E279">
        <v>7</v>
      </c>
      <c r="F279" s="1">
        <v>45177</v>
      </c>
      <c r="G279" s="1">
        <v>45185</v>
      </c>
      <c r="H279">
        <v>1</v>
      </c>
      <c r="I279" s="3">
        <v>170862.35</v>
      </c>
      <c r="J279" t="str">
        <f>VLOOKUP(H279,Diagnosis!$A:$B,2,FALSE)</f>
        <v>Diabetes</v>
      </c>
      <c r="K279" t="str">
        <f>VLOOKUP(H279,Outcome!A$2:$B$7,2,FALSE)</f>
        <v>Recovered</v>
      </c>
      <c r="L279">
        <f t="shared" si="8"/>
        <v>8</v>
      </c>
      <c r="M279" t="str">
        <f>IF(Labs!E279&gt;120,"High","Normal")</f>
        <v>High</v>
      </c>
      <c r="N279" t="str">
        <f t="shared" si="9"/>
        <v>High Risk</v>
      </c>
    </row>
    <row r="280" spans="1:14" x14ac:dyDescent="0.3">
      <c r="A280">
        <v>279</v>
      </c>
      <c r="B280" t="s">
        <v>241</v>
      </c>
      <c r="C280">
        <v>72</v>
      </c>
      <c r="D280" t="s">
        <v>10</v>
      </c>
      <c r="E280">
        <v>1</v>
      </c>
      <c r="F280" s="1">
        <v>45267</v>
      </c>
      <c r="G280" s="1">
        <v>45297</v>
      </c>
      <c r="H280">
        <v>2</v>
      </c>
      <c r="I280" s="3">
        <v>70154.95</v>
      </c>
      <c r="J280" t="str">
        <f>VLOOKUP(H280,Diagnosis!$A:$B,2,FALSE)</f>
        <v>Hypertension</v>
      </c>
      <c r="K280" t="str">
        <f>VLOOKUP(H280,Outcome!A$2:$B$7,2,FALSE)</f>
        <v>Improved</v>
      </c>
      <c r="L280">
        <f t="shared" si="8"/>
        <v>30</v>
      </c>
      <c r="M280" t="str">
        <f>IF(Labs!E280&gt;120,"High","Normal")</f>
        <v>High</v>
      </c>
      <c r="N280" t="str">
        <f t="shared" si="9"/>
        <v>High Risk</v>
      </c>
    </row>
    <row r="281" spans="1:14" x14ac:dyDescent="0.3">
      <c r="A281">
        <v>280</v>
      </c>
      <c r="B281" t="s">
        <v>242</v>
      </c>
      <c r="C281">
        <v>90</v>
      </c>
      <c r="D281" t="s">
        <v>10</v>
      </c>
      <c r="E281">
        <v>7</v>
      </c>
      <c r="F281" s="1">
        <v>44867</v>
      </c>
      <c r="G281" s="1">
        <v>44876</v>
      </c>
      <c r="H281">
        <v>2</v>
      </c>
      <c r="I281" s="3">
        <v>136408.85999999999</v>
      </c>
      <c r="J281" t="str">
        <f>VLOOKUP(H281,Diagnosis!$A:$B,2,FALSE)</f>
        <v>Hypertension</v>
      </c>
      <c r="K281" t="str">
        <f>VLOOKUP(H281,Outcome!A$2:$B$7,2,FALSE)</f>
        <v>Improved</v>
      </c>
      <c r="L281">
        <f t="shared" si="8"/>
        <v>9</v>
      </c>
      <c r="M281" t="str">
        <f>IF(Labs!E281&gt;120,"High","Normal")</f>
        <v>High</v>
      </c>
      <c r="N281" t="str">
        <f t="shared" si="9"/>
        <v>High Risk</v>
      </c>
    </row>
    <row r="282" spans="1:14" x14ac:dyDescent="0.3">
      <c r="A282">
        <v>281</v>
      </c>
      <c r="B282" t="s">
        <v>243</v>
      </c>
      <c r="C282">
        <v>29</v>
      </c>
      <c r="D282" t="s">
        <v>10</v>
      </c>
      <c r="E282">
        <v>3</v>
      </c>
      <c r="F282" s="1">
        <v>46212</v>
      </c>
      <c r="G282" s="1">
        <v>46226</v>
      </c>
      <c r="H282">
        <v>5</v>
      </c>
      <c r="I282" s="3">
        <v>102323.51</v>
      </c>
      <c r="J282" t="str">
        <f>VLOOKUP(H282,Diagnosis!$A:$B,2,FALSE)</f>
        <v>Heart Disease</v>
      </c>
      <c r="K282" t="str">
        <f>VLOOKUP(H282,Outcome!A$2:$B$7,2,FALSE)</f>
        <v>Readmitted</v>
      </c>
      <c r="L282">
        <f t="shared" si="8"/>
        <v>14</v>
      </c>
      <c r="M282" t="str">
        <f>IF(Labs!E282&gt;120,"High","Normal")</f>
        <v>High</v>
      </c>
      <c r="N282" t="str">
        <f t="shared" si="9"/>
        <v>High Risk</v>
      </c>
    </row>
    <row r="283" spans="1:14" x14ac:dyDescent="0.3">
      <c r="A283">
        <v>282</v>
      </c>
      <c r="B283" t="s">
        <v>244</v>
      </c>
      <c r="C283">
        <v>68</v>
      </c>
      <c r="D283" t="s">
        <v>17</v>
      </c>
      <c r="E283">
        <v>7</v>
      </c>
      <c r="F283" s="1">
        <v>45059</v>
      </c>
      <c r="G283" s="1">
        <v>45067</v>
      </c>
      <c r="H283">
        <v>1</v>
      </c>
      <c r="I283" s="3">
        <v>117290.29</v>
      </c>
      <c r="J283" t="str">
        <f>VLOOKUP(H283,Diagnosis!$A:$B,2,FALSE)</f>
        <v>Diabetes</v>
      </c>
      <c r="K283" t="str">
        <f>VLOOKUP(H283,Outcome!A$2:$B$7,2,FALSE)</f>
        <v>Recovered</v>
      </c>
      <c r="L283">
        <f t="shared" si="8"/>
        <v>8</v>
      </c>
      <c r="M283" t="str">
        <f>IF(Labs!E283&gt;120,"High","Normal")</f>
        <v>High</v>
      </c>
      <c r="N283" t="str">
        <f t="shared" si="9"/>
        <v>High Risk</v>
      </c>
    </row>
    <row r="284" spans="1:14" x14ac:dyDescent="0.3">
      <c r="A284">
        <v>283</v>
      </c>
      <c r="B284" t="s">
        <v>185</v>
      </c>
      <c r="C284">
        <v>12</v>
      </c>
      <c r="D284" t="s">
        <v>17</v>
      </c>
      <c r="E284">
        <v>1</v>
      </c>
      <c r="F284" s="1">
        <v>45111</v>
      </c>
      <c r="G284" s="1">
        <v>45123</v>
      </c>
      <c r="H284">
        <v>3</v>
      </c>
      <c r="I284" s="3">
        <v>109518.66</v>
      </c>
      <c r="J284" t="str">
        <f>VLOOKUP(H284,Diagnosis!$A:$B,2,FALSE)</f>
        <v>Asthma</v>
      </c>
      <c r="K284" t="str">
        <f>VLOOKUP(H284,Outcome!A$2:$B$7,2,FALSE)</f>
        <v>Ongoing Treatment</v>
      </c>
      <c r="L284">
        <f t="shared" si="8"/>
        <v>12</v>
      </c>
      <c r="M284" t="str">
        <f>IF(Labs!E284&gt;120,"High","Normal")</f>
        <v>High</v>
      </c>
      <c r="N284" t="str">
        <f t="shared" si="9"/>
        <v>High Risk</v>
      </c>
    </row>
    <row r="285" spans="1:14" x14ac:dyDescent="0.3">
      <c r="A285">
        <v>284</v>
      </c>
      <c r="B285" t="s">
        <v>245</v>
      </c>
      <c r="C285">
        <v>76</v>
      </c>
      <c r="D285" t="s">
        <v>17</v>
      </c>
      <c r="E285">
        <v>8</v>
      </c>
      <c r="F285" s="1">
        <v>44989</v>
      </c>
      <c r="G285" s="1">
        <v>45016</v>
      </c>
      <c r="H285">
        <v>5</v>
      </c>
      <c r="I285" s="3">
        <v>56315.87</v>
      </c>
      <c r="J285" t="str">
        <f>VLOOKUP(H285,Diagnosis!$A:$B,2,FALSE)</f>
        <v>Heart Disease</v>
      </c>
      <c r="K285" t="str">
        <f>VLOOKUP(H285,Outcome!A$2:$B$7,2,FALSE)</f>
        <v>Readmitted</v>
      </c>
      <c r="L285">
        <f t="shared" si="8"/>
        <v>27</v>
      </c>
      <c r="M285" t="str">
        <f>IF(Labs!E285&gt;120,"High","Normal")</f>
        <v>High</v>
      </c>
      <c r="N285" t="str">
        <f t="shared" si="9"/>
        <v>High Risk</v>
      </c>
    </row>
    <row r="286" spans="1:14" x14ac:dyDescent="0.3">
      <c r="A286">
        <v>285</v>
      </c>
      <c r="B286" t="s">
        <v>246</v>
      </c>
      <c r="C286">
        <v>25</v>
      </c>
      <c r="D286" t="s">
        <v>17</v>
      </c>
      <c r="E286">
        <v>8</v>
      </c>
      <c r="F286" s="1">
        <v>45058</v>
      </c>
      <c r="G286" s="1">
        <v>45080</v>
      </c>
      <c r="H286">
        <v>2</v>
      </c>
      <c r="I286" s="3">
        <v>38801.08</v>
      </c>
      <c r="J286" t="str">
        <f>VLOOKUP(H286,Diagnosis!$A:$B,2,FALSE)</f>
        <v>Hypertension</v>
      </c>
      <c r="K286" t="str">
        <f>VLOOKUP(H286,Outcome!A$2:$B$7,2,FALSE)</f>
        <v>Improved</v>
      </c>
      <c r="L286">
        <f t="shared" si="8"/>
        <v>22</v>
      </c>
      <c r="M286" t="str">
        <f>IF(Labs!E286&gt;120,"High","Normal")</f>
        <v>High</v>
      </c>
      <c r="N286" t="str">
        <f t="shared" si="9"/>
        <v>High Risk</v>
      </c>
    </row>
    <row r="287" spans="1:14" x14ac:dyDescent="0.3">
      <c r="A287">
        <v>286</v>
      </c>
      <c r="B287" t="s">
        <v>247</v>
      </c>
      <c r="C287">
        <v>42</v>
      </c>
      <c r="D287" t="s">
        <v>10</v>
      </c>
      <c r="E287">
        <v>7</v>
      </c>
      <c r="F287" s="1">
        <v>45516</v>
      </c>
      <c r="G287" s="1">
        <v>45533</v>
      </c>
      <c r="H287">
        <v>2</v>
      </c>
      <c r="I287" s="3">
        <v>57244.959999999999</v>
      </c>
      <c r="J287" t="str">
        <f>VLOOKUP(H287,Diagnosis!$A:$B,2,FALSE)</f>
        <v>Hypertension</v>
      </c>
      <c r="K287" t="str">
        <f>VLOOKUP(H287,Outcome!A$2:$B$7,2,FALSE)</f>
        <v>Improved</v>
      </c>
      <c r="L287">
        <f t="shared" si="8"/>
        <v>17</v>
      </c>
      <c r="M287" t="str">
        <f>IF(Labs!E287&gt;120,"High","Normal")</f>
        <v>High</v>
      </c>
      <c r="N287" t="str">
        <f t="shared" si="9"/>
        <v>High Risk</v>
      </c>
    </row>
    <row r="288" spans="1:14" x14ac:dyDescent="0.3">
      <c r="A288">
        <v>287</v>
      </c>
      <c r="B288" t="s">
        <v>137</v>
      </c>
      <c r="C288">
        <v>64</v>
      </c>
      <c r="D288" t="s">
        <v>10</v>
      </c>
      <c r="E288">
        <v>2</v>
      </c>
      <c r="F288" s="1">
        <v>46206</v>
      </c>
      <c r="G288" s="1">
        <v>46229</v>
      </c>
      <c r="H288">
        <v>2</v>
      </c>
      <c r="I288" s="3">
        <v>151552.28</v>
      </c>
      <c r="J288" t="str">
        <f>VLOOKUP(H288,Diagnosis!$A:$B,2,FALSE)</f>
        <v>Hypertension</v>
      </c>
      <c r="K288" t="str">
        <f>VLOOKUP(H288,Outcome!A$2:$B$7,2,FALSE)</f>
        <v>Improved</v>
      </c>
      <c r="L288">
        <f t="shared" si="8"/>
        <v>23</v>
      </c>
      <c r="M288" t="str">
        <f>IF(Labs!E288&gt;120,"High","Normal")</f>
        <v>High</v>
      </c>
      <c r="N288" t="str">
        <f t="shared" si="9"/>
        <v>High Risk</v>
      </c>
    </row>
    <row r="289" spans="1:14" x14ac:dyDescent="0.3">
      <c r="A289">
        <v>288</v>
      </c>
      <c r="B289" t="s">
        <v>85</v>
      </c>
      <c r="C289">
        <v>41</v>
      </c>
      <c r="D289" t="s">
        <v>10</v>
      </c>
      <c r="E289">
        <v>1</v>
      </c>
      <c r="F289" s="1">
        <v>45714</v>
      </c>
      <c r="G289" s="1">
        <v>45741</v>
      </c>
      <c r="H289">
        <v>1</v>
      </c>
      <c r="I289" s="3">
        <v>28401.279999999999</v>
      </c>
      <c r="J289" t="str">
        <f>VLOOKUP(H289,Diagnosis!$A:$B,2,FALSE)</f>
        <v>Diabetes</v>
      </c>
      <c r="K289" t="str">
        <f>VLOOKUP(H289,Outcome!A$2:$B$7,2,FALSE)</f>
        <v>Recovered</v>
      </c>
      <c r="L289">
        <f t="shared" si="8"/>
        <v>27</v>
      </c>
      <c r="M289" t="str">
        <f>IF(Labs!E289&gt;120,"High","Normal")</f>
        <v>High</v>
      </c>
      <c r="N289" t="str">
        <f t="shared" si="9"/>
        <v>low risk</v>
      </c>
    </row>
    <row r="290" spans="1:14" x14ac:dyDescent="0.3">
      <c r="A290">
        <v>289</v>
      </c>
      <c r="B290" t="s">
        <v>248</v>
      </c>
      <c r="C290">
        <v>75</v>
      </c>
      <c r="D290" t="s">
        <v>10</v>
      </c>
      <c r="E290">
        <v>5</v>
      </c>
      <c r="F290" s="1">
        <v>44874</v>
      </c>
      <c r="G290" s="1">
        <v>44880</v>
      </c>
      <c r="H290">
        <v>1</v>
      </c>
      <c r="I290" s="3">
        <v>69921.56</v>
      </c>
      <c r="J290" t="str">
        <f>VLOOKUP(H290,Diagnosis!$A:$B,2,FALSE)</f>
        <v>Diabetes</v>
      </c>
      <c r="K290" t="str">
        <f>VLOOKUP(H290,Outcome!A$2:$B$7,2,FALSE)</f>
        <v>Recovered</v>
      </c>
      <c r="L290">
        <f t="shared" si="8"/>
        <v>6</v>
      </c>
      <c r="M290" t="str">
        <f>IF(Labs!E290&gt;120,"High","Normal")</f>
        <v>High</v>
      </c>
      <c r="N290" t="str">
        <f t="shared" si="9"/>
        <v>High Risk</v>
      </c>
    </row>
    <row r="291" spans="1:14" x14ac:dyDescent="0.3">
      <c r="A291">
        <v>290</v>
      </c>
      <c r="B291" t="s">
        <v>249</v>
      </c>
      <c r="C291">
        <v>71</v>
      </c>
      <c r="D291" t="s">
        <v>10</v>
      </c>
      <c r="E291">
        <v>5</v>
      </c>
      <c r="F291" s="1">
        <v>46125</v>
      </c>
      <c r="G291" s="1">
        <v>46151</v>
      </c>
      <c r="H291">
        <v>2</v>
      </c>
      <c r="I291" s="3">
        <v>130931.54</v>
      </c>
      <c r="J291" t="str">
        <f>VLOOKUP(H291,Diagnosis!$A:$B,2,FALSE)</f>
        <v>Hypertension</v>
      </c>
      <c r="K291" t="str">
        <f>VLOOKUP(H291,Outcome!A$2:$B$7,2,FALSE)</f>
        <v>Improved</v>
      </c>
      <c r="L291">
        <f t="shared" si="8"/>
        <v>26</v>
      </c>
      <c r="M291" t="str">
        <f>IF(Labs!E291&gt;120,"High","Normal")</f>
        <v>High</v>
      </c>
      <c r="N291" t="str">
        <f t="shared" si="9"/>
        <v>High Risk</v>
      </c>
    </row>
    <row r="292" spans="1:14" x14ac:dyDescent="0.3">
      <c r="A292">
        <v>291</v>
      </c>
      <c r="B292" t="s">
        <v>87</v>
      </c>
      <c r="C292">
        <v>22</v>
      </c>
      <c r="D292" t="s">
        <v>10</v>
      </c>
      <c r="E292">
        <v>3</v>
      </c>
      <c r="F292" s="1">
        <v>44848</v>
      </c>
      <c r="G292" s="1">
        <v>44871</v>
      </c>
      <c r="H292">
        <v>2</v>
      </c>
      <c r="I292" s="3">
        <v>35168.480000000003</v>
      </c>
      <c r="J292" t="str">
        <f>VLOOKUP(H292,Diagnosis!$A:$B,2,FALSE)</f>
        <v>Hypertension</v>
      </c>
      <c r="K292" t="str">
        <f>VLOOKUP(H292,Outcome!A$2:$B$7,2,FALSE)</f>
        <v>Improved</v>
      </c>
      <c r="L292">
        <f t="shared" si="8"/>
        <v>23</v>
      </c>
      <c r="M292" t="str">
        <f>IF(Labs!E292&gt;120,"High","Normal")</f>
        <v>High</v>
      </c>
      <c r="N292" t="str">
        <f t="shared" si="9"/>
        <v>High Risk</v>
      </c>
    </row>
    <row r="293" spans="1:14" x14ac:dyDescent="0.3">
      <c r="A293">
        <v>292</v>
      </c>
      <c r="B293" t="s">
        <v>41</v>
      </c>
      <c r="C293">
        <v>68</v>
      </c>
      <c r="D293" t="s">
        <v>17</v>
      </c>
      <c r="E293">
        <v>2</v>
      </c>
      <c r="F293" s="1">
        <v>46237</v>
      </c>
      <c r="G293" s="1">
        <v>46258</v>
      </c>
      <c r="H293">
        <v>1</v>
      </c>
      <c r="I293" s="3">
        <v>3633.13</v>
      </c>
      <c r="J293" t="str">
        <f>VLOOKUP(H293,Diagnosis!$A:$B,2,FALSE)</f>
        <v>Diabetes</v>
      </c>
      <c r="K293" t="str">
        <f>VLOOKUP(H293,Outcome!A$2:$B$7,2,FALSE)</f>
        <v>Recovered</v>
      </c>
      <c r="L293">
        <f t="shared" si="8"/>
        <v>21</v>
      </c>
      <c r="M293" t="str">
        <f>IF(Labs!E293&gt;120,"High","Normal")</f>
        <v>High</v>
      </c>
      <c r="N293" t="str">
        <f t="shared" si="9"/>
        <v>High Risk</v>
      </c>
    </row>
    <row r="294" spans="1:14" x14ac:dyDescent="0.3">
      <c r="A294">
        <v>293</v>
      </c>
      <c r="B294" t="s">
        <v>193</v>
      </c>
      <c r="C294">
        <v>9</v>
      </c>
      <c r="D294" t="s">
        <v>17</v>
      </c>
      <c r="E294">
        <v>1</v>
      </c>
      <c r="F294" s="1">
        <v>45009</v>
      </c>
      <c r="G294" s="1">
        <v>45025</v>
      </c>
      <c r="H294">
        <v>2</v>
      </c>
      <c r="I294" s="3">
        <v>13229.9</v>
      </c>
      <c r="J294" t="str">
        <f>VLOOKUP(H294,Diagnosis!$A:$B,2,FALSE)</f>
        <v>Hypertension</v>
      </c>
      <c r="K294" t="str">
        <f>VLOOKUP(H294,Outcome!A$2:$B$7,2,FALSE)</f>
        <v>Improved</v>
      </c>
      <c r="L294">
        <f t="shared" si="8"/>
        <v>16</v>
      </c>
      <c r="M294" t="str">
        <f>IF(Labs!E294&gt;120,"High","Normal")</f>
        <v>High</v>
      </c>
      <c r="N294" t="str">
        <f t="shared" si="9"/>
        <v>High Risk</v>
      </c>
    </row>
    <row r="295" spans="1:14" x14ac:dyDescent="0.3">
      <c r="A295">
        <v>294</v>
      </c>
      <c r="B295" t="s">
        <v>250</v>
      </c>
      <c r="C295">
        <v>85</v>
      </c>
      <c r="D295" t="s">
        <v>10</v>
      </c>
      <c r="E295">
        <v>1</v>
      </c>
      <c r="F295" s="1">
        <v>44575</v>
      </c>
      <c r="G295" s="1">
        <v>44592</v>
      </c>
      <c r="H295">
        <v>2</v>
      </c>
      <c r="I295" s="3">
        <v>4603.55</v>
      </c>
      <c r="J295" t="str">
        <f>VLOOKUP(H295,Diagnosis!$A:$B,2,FALSE)</f>
        <v>Hypertension</v>
      </c>
      <c r="K295" t="str">
        <f>VLOOKUP(H295,Outcome!A$2:$B$7,2,FALSE)</f>
        <v>Improved</v>
      </c>
      <c r="L295">
        <f t="shared" si="8"/>
        <v>17</v>
      </c>
      <c r="M295" t="str">
        <f>IF(Labs!E295&gt;120,"High","Normal")</f>
        <v>High</v>
      </c>
      <c r="N295" t="str">
        <f t="shared" si="9"/>
        <v>High Risk</v>
      </c>
    </row>
    <row r="296" spans="1:14" x14ac:dyDescent="0.3">
      <c r="A296">
        <v>295</v>
      </c>
      <c r="B296" t="s">
        <v>251</v>
      </c>
      <c r="C296">
        <v>69</v>
      </c>
      <c r="D296" t="s">
        <v>10</v>
      </c>
      <c r="E296">
        <v>1</v>
      </c>
      <c r="F296" s="1">
        <v>45590</v>
      </c>
      <c r="G296" s="1">
        <v>45616</v>
      </c>
      <c r="H296">
        <v>3</v>
      </c>
      <c r="I296" s="3">
        <v>78926.740000000005</v>
      </c>
      <c r="J296" t="str">
        <f>VLOOKUP(H296,Diagnosis!$A:$B,2,FALSE)</f>
        <v>Asthma</v>
      </c>
      <c r="K296" t="str">
        <f>VLOOKUP(H296,Outcome!A$2:$B$7,2,FALSE)</f>
        <v>Ongoing Treatment</v>
      </c>
      <c r="L296">
        <f t="shared" si="8"/>
        <v>26</v>
      </c>
      <c r="M296" t="str">
        <f>IF(Labs!E296&gt;120,"High","Normal")</f>
        <v>High</v>
      </c>
      <c r="N296" t="str">
        <f t="shared" si="9"/>
        <v>High Risk</v>
      </c>
    </row>
    <row r="297" spans="1:14" x14ac:dyDescent="0.3">
      <c r="A297">
        <v>296</v>
      </c>
      <c r="B297" t="s">
        <v>252</v>
      </c>
      <c r="C297">
        <v>13</v>
      </c>
      <c r="D297" t="s">
        <v>17</v>
      </c>
      <c r="E297">
        <v>4</v>
      </c>
      <c r="F297" s="1">
        <v>44955</v>
      </c>
      <c r="G297" s="1">
        <v>44974</v>
      </c>
      <c r="H297">
        <v>2</v>
      </c>
      <c r="I297" s="3">
        <v>147200.54999999999</v>
      </c>
      <c r="J297" t="str">
        <f>VLOOKUP(H297,Diagnosis!$A:$B,2,FALSE)</f>
        <v>Hypertension</v>
      </c>
      <c r="K297" t="str">
        <f>VLOOKUP(H297,Outcome!A$2:$B$7,2,FALSE)</f>
        <v>Improved</v>
      </c>
      <c r="L297">
        <f t="shared" si="8"/>
        <v>19</v>
      </c>
      <c r="M297" t="str">
        <f>IF(Labs!E297&gt;120,"High","Normal")</f>
        <v>High</v>
      </c>
      <c r="N297" t="str">
        <f t="shared" si="9"/>
        <v>High Risk</v>
      </c>
    </row>
    <row r="298" spans="1:14" x14ac:dyDescent="0.3">
      <c r="A298">
        <v>297</v>
      </c>
      <c r="B298" t="s">
        <v>253</v>
      </c>
      <c r="C298">
        <v>11</v>
      </c>
      <c r="D298" t="s">
        <v>10</v>
      </c>
      <c r="E298">
        <v>7</v>
      </c>
      <c r="F298" s="1">
        <v>45502</v>
      </c>
      <c r="G298" s="1">
        <v>45520</v>
      </c>
      <c r="H298">
        <v>1</v>
      </c>
      <c r="I298" s="3">
        <v>126259.45</v>
      </c>
      <c r="J298" t="str">
        <f>VLOOKUP(H298,Diagnosis!$A:$B,2,FALSE)</f>
        <v>Diabetes</v>
      </c>
      <c r="K298" t="str">
        <f>VLOOKUP(H298,Outcome!A$2:$B$7,2,FALSE)</f>
        <v>Recovered</v>
      </c>
      <c r="L298">
        <f t="shared" si="8"/>
        <v>18</v>
      </c>
      <c r="M298" t="str">
        <f>IF(Labs!E298&gt;120,"High","Normal")</f>
        <v>High</v>
      </c>
      <c r="N298" t="str">
        <f t="shared" si="9"/>
        <v>low risk</v>
      </c>
    </row>
    <row r="299" spans="1:14" x14ac:dyDescent="0.3">
      <c r="A299">
        <v>298</v>
      </c>
      <c r="B299" t="s">
        <v>254</v>
      </c>
      <c r="C299">
        <v>84</v>
      </c>
      <c r="D299" t="s">
        <v>17</v>
      </c>
      <c r="E299">
        <v>2</v>
      </c>
      <c r="F299" s="1">
        <v>45392</v>
      </c>
      <c r="G299" s="1">
        <v>45404</v>
      </c>
      <c r="H299">
        <v>2</v>
      </c>
      <c r="I299" s="3">
        <v>86990.91</v>
      </c>
      <c r="J299" t="str">
        <f>VLOOKUP(H299,Diagnosis!$A:$B,2,FALSE)</f>
        <v>Hypertension</v>
      </c>
      <c r="K299" t="str">
        <f>VLOOKUP(H299,Outcome!A$2:$B$7,2,FALSE)</f>
        <v>Improved</v>
      </c>
      <c r="L299">
        <f t="shared" si="8"/>
        <v>12</v>
      </c>
      <c r="M299" t="str">
        <f>IF(Labs!E299&gt;120,"High","Normal")</f>
        <v>High</v>
      </c>
      <c r="N299" t="str">
        <f t="shared" si="9"/>
        <v>High Risk</v>
      </c>
    </row>
    <row r="300" spans="1:14" x14ac:dyDescent="0.3">
      <c r="A300">
        <v>299</v>
      </c>
      <c r="B300" t="s">
        <v>255</v>
      </c>
      <c r="C300">
        <v>11</v>
      </c>
      <c r="D300" t="s">
        <v>10</v>
      </c>
      <c r="E300">
        <v>7</v>
      </c>
      <c r="F300" s="1">
        <v>45882</v>
      </c>
      <c r="G300" s="1">
        <v>45907</v>
      </c>
      <c r="H300">
        <v>1</v>
      </c>
      <c r="I300" s="3">
        <v>175975.94</v>
      </c>
      <c r="J300" t="str">
        <f>VLOOKUP(H300,Diagnosis!$A:$B,2,FALSE)</f>
        <v>Diabetes</v>
      </c>
      <c r="K300" t="str">
        <f>VLOOKUP(H300,Outcome!A$2:$B$7,2,FALSE)</f>
        <v>Recovered</v>
      </c>
      <c r="L300">
        <f t="shared" si="8"/>
        <v>25</v>
      </c>
      <c r="M300" t="str">
        <f>IF(Labs!E300&gt;120,"High","Normal")</f>
        <v>High</v>
      </c>
      <c r="N300" t="str">
        <f t="shared" si="9"/>
        <v>low risk</v>
      </c>
    </row>
    <row r="301" spans="1:14" x14ac:dyDescent="0.3">
      <c r="A301">
        <v>300</v>
      </c>
      <c r="B301" t="s">
        <v>170</v>
      </c>
      <c r="C301">
        <v>6</v>
      </c>
      <c r="D301" t="s">
        <v>17</v>
      </c>
      <c r="E301">
        <v>4</v>
      </c>
      <c r="F301" s="1">
        <v>45979</v>
      </c>
      <c r="G301" s="1">
        <v>46007</v>
      </c>
      <c r="H301">
        <v>2</v>
      </c>
      <c r="I301" s="3">
        <v>50619.37</v>
      </c>
      <c r="J301" t="str">
        <f>VLOOKUP(H301,Diagnosis!$A:$B,2,FALSE)</f>
        <v>Hypertension</v>
      </c>
      <c r="K301" t="str">
        <f>VLOOKUP(H301,Outcome!A$2:$B$7,2,FALSE)</f>
        <v>Improved</v>
      </c>
      <c r="L301">
        <f t="shared" si="8"/>
        <v>28</v>
      </c>
      <c r="M301" t="str">
        <f>IF(Labs!E301&gt;120,"High","Normal")</f>
        <v>High</v>
      </c>
      <c r="N301" t="str">
        <f t="shared" si="9"/>
        <v>High Risk</v>
      </c>
    </row>
    <row r="302" spans="1:14" x14ac:dyDescent="0.3">
      <c r="A302">
        <v>301</v>
      </c>
      <c r="B302" t="s">
        <v>57</v>
      </c>
      <c r="C302">
        <v>70</v>
      </c>
      <c r="D302" t="s">
        <v>17</v>
      </c>
      <c r="E302">
        <v>3</v>
      </c>
      <c r="F302" s="1">
        <v>45206</v>
      </c>
      <c r="G302" s="1">
        <v>45206</v>
      </c>
      <c r="H302">
        <v>6</v>
      </c>
      <c r="I302" s="3">
        <v>106698.91</v>
      </c>
      <c r="J302" t="str">
        <f>VLOOKUP(H302,Diagnosis!$A:$B,2,FALSE)</f>
        <v>Kidney Disease</v>
      </c>
      <c r="K302" t="str">
        <f>VLOOKUP(H302,Outcome!A$2:$B$7,2,FALSE)</f>
        <v>Deceased</v>
      </c>
      <c r="L302">
        <f t="shared" si="8"/>
        <v>0</v>
      </c>
      <c r="M302" t="str">
        <f>IF(Labs!E302&gt;120,"High","Normal")</f>
        <v>High</v>
      </c>
      <c r="N302" t="str">
        <f t="shared" si="9"/>
        <v>High Risk</v>
      </c>
    </row>
    <row r="303" spans="1:14" x14ac:dyDescent="0.3">
      <c r="A303">
        <v>302</v>
      </c>
      <c r="B303" t="s">
        <v>117</v>
      </c>
      <c r="C303">
        <v>39</v>
      </c>
      <c r="D303" t="s">
        <v>17</v>
      </c>
      <c r="E303">
        <v>10</v>
      </c>
      <c r="F303" s="1">
        <v>45054</v>
      </c>
      <c r="G303" s="1">
        <v>45072</v>
      </c>
      <c r="H303">
        <v>4</v>
      </c>
      <c r="I303" s="3">
        <v>71575.3</v>
      </c>
      <c r="J303" t="str">
        <f>VLOOKUP(H303,Diagnosis!$A:$B,2,FALSE)</f>
        <v>Pneumonia</v>
      </c>
      <c r="K303" t="str">
        <f>VLOOKUP(H303,Outcome!A$2:$B$7,2,FALSE)</f>
        <v>Referred</v>
      </c>
      <c r="L303">
        <f t="shared" si="8"/>
        <v>18</v>
      </c>
      <c r="M303" t="str">
        <f>IF(Labs!E303&gt;120,"High","Normal")</f>
        <v>High</v>
      </c>
      <c r="N303" t="str">
        <f t="shared" si="9"/>
        <v>High Risk</v>
      </c>
    </row>
    <row r="304" spans="1:14" x14ac:dyDescent="0.3">
      <c r="A304">
        <v>303</v>
      </c>
      <c r="B304" t="s">
        <v>179</v>
      </c>
      <c r="C304">
        <v>50</v>
      </c>
      <c r="D304" t="s">
        <v>17</v>
      </c>
      <c r="E304">
        <v>2</v>
      </c>
      <c r="F304" s="1">
        <v>45587</v>
      </c>
      <c r="G304" s="1">
        <v>45610</v>
      </c>
      <c r="H304">
        <v>6</v>
      </c>
      <c r="I304" s="3">
        <v>12031.12</v>
      </c>
      <c r="J304" t="str">
        <f>VLOOKUP(H304,Diagnosis!$A:$B,2,FALSE)</f>
        <v>Kidney Disease</v>
      </c>
      <c r="K304" t="str">
        <f>VLOOKUP(H304,Outcome!A$2:$B$7,2,FALSE)</f>
        <v>Deceased</v>
      </c>
      <c r="L304">
        <f t="shared" si="8"/>
        <v>23</v>
      </c>
      <c r="M304" t="str">
        <f>IF(Labs!E304&gt;120,"High","Normal")</f>
        <v>High</v>
      </c>
      <c r="N304" t="str">
        <f t="shared" si="9"/>
        <v>High Risk</v>
      </c>
    </row>
    <row r="305" spans="1:14" x14ac:dyDescent="0.3">
      <c r="A305">
        <v>304</v>
      </c>
      <c r="B305" t="s">
        <v>256</v>
      </c>
      <c r="C305">
        <v>10</v>
      </c>
      <c r="D305" t="s">
        <v>10</v>
      </c>
      <c r="E305">
        <v>10</v>
      </c>
      <c r="F305" s="1">
        <v>46136</v>
      </c>
      <c r="G305" s="1">
        <v>46155</v>
      </c>
      <c r="H305">
        <v>6</v>
      </c>
      <c r="I305" s="3">
        <v>72914.789999999994</v>
      </c>
      <c r="J305" t="str">
        <f>VLOOKUP(H305,Diagnosis!$A:$B,2,FALSE)</f>
        <v>Kidney Disease</v>
      </c>
      <c r="K305" t="str">
        <f>VLOOKUP(H305,Outcome!A$2:$B$7,2,FALSE)</f>
        <v>Deceased</v>
      </c>
      <c r="L305">
        <f t="shared" si="8"/>
        <v>19</v>
      </c>
      <c r="M305" t="str">
        <f>IF(Labs!E305&gt;120,"High","Normal")</f>
        <v>High</v>
      </c>
      <c r="N305" t="str">
        <f t="shared" si="9"/>
        <v>High Risk</v>
      </c>
    </row>
    <row r="306" spans="1:14" x14ac:dyDescent="0.3">
      <c r="A306">
        <v>305</v>
      </c>
      <c r="B306" t="s">
        <v>257</v>
      </c>
      <c r="C306">
        <v>82</v>
      </c>
      <c r="D306" t="s">
        <v>10</v>
      </c>
      <c r="E306">
        <v>8</v>
      </c>
      <c r="F306" s="1">
        <v>45566</v>
      </c>
      <c r="G306" s="1">
        <v>45573</v>
      </c>
      <c r="H306">
        <v>2</v>
      </c>
      <c r="I306" s="3">
        <v>169552.85</v>
      </c>
      <c r="J306" t="str">
        <f>VLOOKUP(H306,Diagnosis!$A:$B,2,FALSE)</f>
        <v>Hypertension</v>
      </c>
      <c r="K306" t="str">
        <f>VLOOKUP(H306,Outcome!A$2:$B$7,2,FALSE)</f>
        <v>Improved</v>
      </c>
      <c r="L306">
        <f t="shared" si="8"/>
        <v>7</v>
      </c>
      <c r="M306" t="str">
        <f>IF(Labs!E306&gt;120,"High","Normal")</f>
        <v>High</v>
      </c>
      <c r="N306" t="str">
        <f t="shared" si="9"/>
        <v>High Risk</v>
      </c>
    </row>
    <row r="307" spans="1:14" x14ac:dyDescent="0.3">
      <c r="A307">
        <v>306</v>
      </c>
      <c r="B307" t="s">
        <v>38</v>
      </c>
      <c r="C307">
        <v>88</v>
      </c>
      <c r="D307" t="s">
        <v>10</v>
      </c>
      <c r="E307">
        <v>2</v>
      </c>
      <c r="F307" s="1">
        <v>46143</v>
      </c>
      <c r="G307" s="1">
        <v>46162</v>
      </c>
      <c r="H307">
        <v>1</v>
      </c>
      <c r="I307" s="3">
        <v>46244.84</v>
      </c>
      <c r="J307" t="str">
        <f>VLOOKUP(H307,Diagnosis!$A:$B,2,FALSE)</f>
        <v>Diabetes</v>
      </c>
      <c r="K307" t="str">
        <f>VLOOKUP(H307,Outcome!A$2:$B$7,2,FALSE)</f>
        <v>Recovered</v>
      </c>
      <c r="L307">
        <f t="shared" si="8"/>
        <v>19</v>
      </c>
      <c r="M307" t="str">
        <f>IF(Labs!E307&gt;120,"High","Normal")</f>
        <v>High</v>
      </c>
      <c r="N307" t="str">
        <f t="shared" si="9"/>
        <v>High Risk</v>
      </c>
    </row>
    <row r="308" spans="1:14" x14ac:dyDescent="0.3">
      <c r="A308">
        <v>307</v>
      </c>
      <c r="B308" t="s">
        <v>258</v>
      </c>
      <c r="C308">
        <v>35</v>
      </c>
      <c r="D308" t="s">
        <v>17</v>
      </c>
      <c r="E308">
        <v>7</v>
      </c>
      <c r="F308" s="1">
        <v>46019</v>
      </c>
      <c r="G308" s="1">
        <v>46044</v>
      </c>
      <c r="H308">
        <v>2</v>
      </c>
      <c r="I308" s="3">
        <v>133788.81</v>
      </c>
      <c r="J308" t="str">
        <f>VLOOKUP(H308,Diagnosis!$A:$B,2,FALSE)</f>
        <v>Hypertension</v>
      </c>
      <c r="K308" t="str">
        <f>VLOOKUP(H308,Outcome!A$2:$B$7,2,FALSE)</f>
        <v>Improved</v>
      </c>
      <c r="L308">
        <f t="shared" si="8"/>
        <v>25</v>
      </c>
      <c r="M308" t="str">
        <f>IF(Labs!E308&gt;120,"High","Normal")</f>
        <v>High</v>
      </c>
      <c r="N308" t="str">
        <f t="shared" si="9"/>
        <v>High Risk</v>
      </c>
    </row>
    <row r="309" spans="1:14" x14ac:dyDescent="0.3">
      <c r="A309">
        <v>308</v>
      </c>
      <c r="B309" t="s">
        <v>259</v>
      </c>
      <c r="C309">
        <v>14</v>
      </c>
      <c r="D309" t="s">
        <v>17</v>
      </c>
      <c r="E309">
        <v>1</v>
      </c>
      <c r="F309" s="1">
        <v>45193</v>
      </c>
      <c r="G309" s="1">
        <v>45207</v>
      </c>
      <c r="H309">
        <v>2</v>
      </c>
      <c r="I309" s="3">
        <v>50383.54</v>
      </c>
      <c r="J309" t="str">
        <f>VLOOKUP(H309,Diagnosis!$A:$B,2,FALSE)</f>
        <v>Hypertension</v>
      </c>
      <c r="K309" t="str">
        <f>VLOOKUP(H309,Outcome!A$2:$B$7,2,FALSE)</f>
        <v>Improved</v>
      </c>
      <c r="L309">
        <f t="shared" si="8"/>
        <v>14</v>
      </c>
      <c r="M309" t="str">
        <f>IF(Labs!E309&gt;120,"High","Normal")</f>
        <v>High</v>
      </c>
      <c r="N309" t="str">
        <f t="shared" si="9"/>
        <v>High Risk</v>
      </c>
    </row>
    <row r="310" spans="1:14" x14ac:dyDescent="0.3">
      <c r="A310">
        <v>309</v>
      </c>
      <c r="B310" t="s">
        <v>260</v>
      </c>
      <c r="C310">
        <v>24</v>
      </c>
      <c r="D310" t="s">
        <v>10</v>
      </c>
      <c r="E310">
        <v>8</v>
      </c>
      <c r="F310" s="1">
        <v>45702</v>
      </c>
      <c r="G310" s="1">
        <v>45719</v>
      </c>
      <c r="H310">
        <v>2</v>
      </c>
      <c r="I310" s="3">
        <v>20834.490000000002</v>
      </c>
      <c r="J310" t="str">
        <f>VLOOKUP(H310,Diagnosis!$A:$B,2,FALSE)</f>
        <v>Hypertension</v>
      </c>
      <c r="K310" t="str">
        <f>VLOOKUP(H310,Outcome!A$2:$B$7,2,FALSE)</f>
        <v>Improved</v>
      </c>
      <c r="L310">
        <f t="shared" si="8"/>
        <v>17</v>
      </c>
      <c r="M310" t="str">
        <f>IF(Labs!E310&gt;120,"High","Normal")</f>
        <v>High</v>
      </c>
      <c r="N310" t="str">
        <f t="shared" si="9"/>
        <v>High Risk</v>
      </c>
    </row>
    <row r="311" spans="1:14" x14ac:dyDescent="0.3">
      <c r="A311">
        <v>310</v>
      </c>
      <c r="B311" t="s">
        <v>261</v>
      </c>
      <c r="C311">
        <v>71</v>
      </c>
      <c r="D311" t="s">
        <v>17</v>
      </c>
      <c r="E311">
        <v>10</v>
      </c>
      <c r="F311" s="1">
        <v>45786</v>
      </c>
      <c r="G311" s="1">
        <v>45811</v>
      </c>
      <c r="H311">
        <v>1</v>
      </c>
      <c r="I311" s="3">
        <v>70879.73</v>
      </c>
      <c r="J311" t="str">
        <f>VLOOKUP(H311,Diagnosis!$A:$B,2,FALSE)</f>
        <v>Diabetes</v>
      </c>
      <c r="K311" t="str">
        <f>VLOOKUP(H311,Outcome!A$2:$B$7,2,FALSE)</f>
        <v>Recovered</v>
      </c>
      <c r="L311">
        <f t="shared" si="8"/>
        <v>25</v>
      </c>
      <c r="M311" t="str">
        <f>IF(Labs!E311&gt;120,"High","Normal")</f>
        <v>High</v>
      </c>
      <c r="N311" t="str">
        <f t="shared" si="9"/>
        <v>High Risk</v>
      </c>
    </row>
    <row r="312" spans="1:14" x14ac:dyDescent="0.3">
      <c r="A312">
        <v>311</v>
      </c>
      <c r="B312" t="s">
        <v>262</v>
      </c>
      <c r="C312">
        <v>50</v>
      </c>
      <c r="D312" t="s">
        <v>17</v>
      </c>
      <c r="E312">
        <v>9</v>
      </c>
      <c r="F312" s="1">
        <v>45059</v>
      </c>
      <c r="G312" s="1">
        <v>45077</v>
      </c>
      <c r="H312">
        <v>2</v>
      </c>
      <c r="I312" s="3">
        <v>124143.59</v>
      </c>
      <c r="J312" t="str">
        <f>VLOOKUP(H312,Diagnosis!$A:$B,2,FALSE)</f>
        <v>Hypertension</v>
      </c>
      <c r="K312" t="str">
        <f>VLOOKUP(H312,Outcome!A$2:$B$7,2,FALSE)</f>
        <v>Improved</v>
      </c>
      <c r="L312">
        <f t="shared" si="8"/>
        <v>18</v>
      </c>
      <c r="M312" t="str">
        <f>IF(Labs!E312&gt;120,"High","Normal")</f>
        <v>High</v>
      </c>
      <c r="N312" t="str">
        <f t="shared" si="9"/>
        <v>High Risk</v>
      </c>
    </row>
    <row r="313" spans="1:14" x14ac:dyDescent="0.3">
      <c r="A313">
        <v>312</v>
      </c>
      <c r="B313" t="s">
        <v>263</v>
      </c>
      <c r="C313">
        <v>35</v>
      </c>
      <c r="D313" t="s">
        <v>10</v>
      </c>
      <c r="E313">
        <v>5</v>
      </c>
      <c r="F313" s="1">
        <v>45571</v>
      </c>
      <c r="G313" s="1">
        <v>45575</v>
      </c>
      <c r="H313">
        <v>1</v>
      </c>
      <c r="I313" s="3">
        <v>79655.039999999994</v>
      </c>
      <c r="J313" t="str">
        <f>VLOOKUP(H313,Diagnosis!$A:$B,2,FALSE)</f>
        <v>Diabetes</v>
      </c>
      <c r="K313" t="str">
        <f>VLOOKUP(H313,Outcome!A$2:$B$7,2,FALSE)</f>
        <v>Recovered</v>
      </c>
      <c r="L313">
        <f t="shared" si="8"/>
        <v>4</v>
      </c>
      <c r="M313" t="str">
        <f>IF(Labs!E313&gt;120,"High","Normal")</f>
        <v>High</v>
      </c>
      <c r="N313" t="str">
        <f t="shared" si="9"/>
        <v>low risk</v>
      </c>
    </row>
    <row r="314" spans="1:14" x14ac:dyDescent="0.3">
      <c r="A314">
        <v>313</v>
      </c>
      <c r="B314" t="s">
        <v>264</v>
      </c>
      <c r="C314">
        <v>62</v>
      </c>
      <c r="D314" t="s">
        <v>17</v>
      </c>
      <c r="E314">
        <v>6</v>
      </c>
      <c r="F314" s="1">
        <v>45077</v>
      </c>
      <c r="G314" s="1">
        <v>45107</v>
      </c>
      <c r="H314">
        <v>1</v>
      </c>
      <c r="I314" s="3">
        <v>113443.48</v>
      </c>
      <c r="J314" t="str">
        <f>VLOOKUP(H314,Diagnosis!$A:$B,2,FALSE)</f>
        <v>Diabetes</v>
      </c>
      <c r="K314" t="str">
        <f>VLOOKUP(H314,Outcome!A$2:$B$7,2,FALSE)</f>
        <v>Recovered</v>
      </c>
      <c r="L314">
        <f t="shared" si="8"/>
        <v>30</v>
      </c>
      <c r="M314" t="str">
        <f>IF(Labs!E314&gt;120,"High","Normal")</f>
        <v>High</v>
      </c>
      <c r="N314" t="str">
        <f t="shared" si="9"/>
        <v>low risk</v>
      </c>
    </row>
    <row r="315" spans="1:14" x14ac:dyDescent="0.3">
      <c r="A315">
        <v>314</v>
      </c>
      <c r="B315" t="s">
        <v>96</v>
      </c>
      <c r="C315">
        <v>26</v>
      </c>
      <c r="D315" t="s">
        <v>10</v>
      </c>
      <c r="E315">
        <v>2</v>
      </c>
      <c r="F315" s="1">
        <v>44839</v>
      </c>
      <c r="G315" s="1">
        <v>44848</v>
      </c>
      <c r="H315">
        <v>1</v>
      </c>
      <c r="I315" s="3">
        <v>72735.33</v>
      </c>
      <c r="J315" t="str">
        <f>VLOOKUP(H315,Diagnosis!$A:$B,2,FALSE)</f>
        <v>Diabetes</v>
      </c>
      <c r="K315" t="str">
        <f>VLOOKUP(H315,Outcome!A$2:$B$7,2,FALSE)</f>
        <v>Recovered</v>
      </c>
      <c r="L315">
        <f t="shared" si="8"/>
        <v>9</v>
      </c>
      <c r="M315" t="str">
        <f>IF(Labs!E315&gt;120,"High","Normal")</f>
        <v>High</v>
      </c>
      <c r="N315" t="str">
        <f t="shared" si="9"/>
        <v>low risk</v>
      </c>
    </row>
    <row r="316" spans="1:14" x14ac:dyDescent="0.3">
      <c r="A316">
        <v>315</v>
      </c>
      <c r="B316" t="s">
        <v>265</v>
      </c>
      <c r="C316">
        <v>43</v>
      </c>
      <c r="D316" t="s">
        <v>10</v>
      </c>
      <c r="E316">
        <v>6</v>
      </c>
      <c r="F316" s="1">
        <v>45443</v>
      </c>
      <c r="G316" s="1">
        <v>45469</v>
      </c>
      <c r="H316">
        <v>4</v>
      </c>
      <c r="I316" s="3">
        <v>118059.04</v>
      </c>
      <c r="J316" t="str">
        <f>VLOOKUP(H316,Diagnosis!$A:$B,2,FALSE)</f>
        <v>Pneumonia</v>
      </c>
      <c r="K316" t="str">
        <f>VLOOKUP(H316,Outcome!A$2:$B$7,2,FALSE)</f>
        <v>Referred</v>
      </c>
      <c r="L316">
        <f t="shared" si="8"/>
        <v>26</v>
      </c>
      <c r="M316" t="str">
        <f>IF(Labs!E316&gt;120,"High","Normal")</f>
        <v>High</v>
      </c>
      <c r="N316" t="str">
        <f t="shared" si="9"/>
        <v>High Risk</v>
      </c>
    </row>
    <row r="317" spans="1:14" x14ac:dyDescent="0.3">
      <c r="A317">
        <v>316</v>
      </c>
      <c r="B317" t="s">
        <v>200</v>
      </c>
      <c r="C317">
        <v>39</v>
      </c>
      <c r="D317" t="s">
        <v>10</v>
      </c>
      <c r="E317">
        <v>10</v>
      </c>
      <c r="F317" s="1">
        <v>45985</v>
      </c>
      <c r="G317" s="1">
        <v>45991</v>
      </c>
      <c r="H317">
        <v>2</v>
      </c>
      <c r="I317" s="3">
        <v>34030.620000000003</v>
      </c>
      <c r="J317" t="str">
        <f>VLOOKUP(H317,Diagnosis!$A:$B,2,FALSE)</f>
        <v>Hypertension</v>
      </c>
      <c r="K317" t="str">
        <f>VLOOKUP(H317,Outcome!A$2:$B$7,2,FALSE)</f>
        <v>Improved</v>
      </c>
      <c r="L317">
        <f t="shared" si="8"/>
        <v>6</v>
      </c>
      <c r="M317" t="str">
        <f>IF(Labs!E317&gt;120,"High","Normal")</f>
        <v>High</v>
      </c>
      <c r="N317" t="str">
        <f t="shared" si="9"/>
        <v>High Risk</v>
      </c>
    </row>
    <row r="318" spans="1:14" x14ac:dyDescent="0.3">
      <c r="A318">
        <v>317</v>
      </c>
      <c r="B318" t="s">
        <v>266</v>
      </c>
      <c r="C318">
        <v>38</v>
      </c>
      <c r="D318" t="s">
        <v>10</v>
      </c>
      <c r="E318">
        <v>10</v>
      </c>
      <c r="F318" s="1">
        <v>46163</v>
      </c>
      <c r="G318" s="1">
        <v>46170</v>
      </c>
      <c r="H318">
        <v>1</v>
      </c>
      <c r="I318" s="3">
        <v>52253.279999999999</v>
      </c>
      <c r="J318" t="str">
        <f>VLOOKUP(H318,Diagnosis!$A:$B,2,FALSE)</f>
        <v>Diabetes</v>
      </c>
      <c r="K318" t="str">
        <f>VLOOKUP(H318,Outcome!A$2:$B$7,2,FALSE)</f>
        <v>Recovered</v>
      </c>
      <c r="L318">
        <f t="shared" si="8"/>
        <v>7</v>
      </c>
      <c r="M318" t="str">
        <f>IF(Labs!E318&gt;120,"High","Normal")</f>
        <v>High</v>
      </c>
      <c r="N318" t="str">
        <f t="shared" si="9"/>
        <v>low risk</v>
      </c>
    </row>
    <row r="319" spans="1:14" x14ac:dyDescent="0.3">
      <c r="A319">
        <v>318</v>
      </c>
      <c r="B319" t="s">
        <v>267</v>
      </c>
      <c r="C319">
        <v>15</v>
      </c>
      <c r="D319" t="s">
        <v>17</v>
      </c>
      <c r="E319">
        <v>10</v>
      </c>
      <c r="F319" s="1">
        <v>45679</v>
      </c>
      <c r="G319" s="1">
        <v>45684</v>
      </c>
      <c r="H319">
        <v>3</v>
      </c>
      <c r="I319" s="3">
        <v>100142.6</v>
      </c>
      <c r="J319" t="str">
        <f>VLOOKUP(H319,Diagnosis!$A:$B,2,FALSE)</f>
        <v>Asthma</v>
      </c>
      <c r="K319" t="str">
        <f>VLOOKUP(H319,Outcome!A$2:$B$7,2,FALSE)</f>
        <v>Ongoing Treatment</v>
      </c>
      <c r="L319">
        <f t="shared" si="8"/>
        <v>5</v>
      </c>
      <c r="M319" t="str">
        <f>IF(Labs!E319&gt;120,"High","Normal")</f>
        <v>High</v>
      </c>
      <c r="N319" t="str">
        <f t="shared" si="9"/>
        <v>High Risk</v>
      </c>
    </row>
    <row r="320" spans="1:14" x14ac:dyDescent="0.3">
      <c r="A320">
        <v>319</v>
      </c>
      <c r="B320" t="s">
        <v>268</v>
      </c>
      <c r="C320">
        <v>57</v>
      </c>
      <c r="D320" t="s">
        <v>10</v>
      </c>
      <c r="E320">
        <v>2</v>
      </c>
      <c r="F320" s="1">
        <v>46239</v>
      </c>
      <c r="G320" s="1">
        <v>46266</v>
      </c>
      <c r="H320">
        <v>4</v>
      </c>
      <c r="I320" s="3">
        <v>75122.63</v>
      </c>
      <c r="J320" t="str">
        <f>VLOOKUP(H320,Diagnosis!$A:$B,2,FALSE)</f>
        <v>Pneumonia</v>
      </c>
      <c r="K320" t="str">
        <f>VLOOKUP(H320,Outcome!A$2:$B$7,2,FALSE)</f>
        <v>Referred</v>
      </c>
      <c r="L320">
        <f t="shared" si="8"/>
        <v>27</v>
      </c>
      <c r="M320" t="str">
        <f>IF(Labs!E320&gt;120,"High","Normal")</f>
        <v>High</v>
      </c>
      <c r="N320" t="str">
        <f t="shared" si="9"/>
        <v>High Risk</v>
      </c>
    </row>
    <row r="321" spans="1:14" x14ac:dyDescent="0.3">
      <c r="A321">
        <v>320</v>
      </c>
      <c r="B321" t="s">
        <v>269</v>
      </c>
      <c r="C321">
        <v>82</v>
      </c>
      <c r="D321" t="s">
        <v>10</v>
      </c>
      <c r="E321">
        <v>4</v>
      </c>
      <c r="F321" s="1">
        <v>45079</v>
      </c>
      <c r="G321" s="1">
        <v>45100</v>
      </c>
      <c r="H321">
        <v>1</v>
      </c>
      <c r="I321" s="3">
        <v>77605.210000000006</v>
      </c>
      <c r="J321" t="str">
        <f>VLOOKUP(H321,Diagnosis!$A:$B,2,FALSE)</f>
        <v>Diabetes</v>
      </c>
      <c r="K321" t="str">
        <f>VLOOKUP(H321,Outcome!A$2:$B$7,2,FALSE)</f>
        <v>Recovered</v>
      </c>
      <c r="L321">
        <f t="shared" si="8"/>
        <v>21</v>
      </c>
      <c r="M321" t="str">
        <f>IF(Labs!E321&gt;120,"High","Normal")</f>
        <v>High</v>
      </c>
      <c r="N321" t="str">
        <f t="shared" si="9"/>
        <v>High Risk</v>
      </c>
    </row>
    <row r="322" spans="1:14" x14ac:dyDescent="0.3">
      <c r="A322">
        <v>321</v>
      </c>
      <c r="B322" t="s">
        <v>270</v>
      </c>
      <c r="C322">
        <v>58</v>
      </c>
      <c r="D322" t="s">
        <v>10</v>
      </c>
      <c r="E322">
        <v>10</v>
      </c>
      <c r="F322" s="1">
        <v>45382</v>
      </c>
      <c r="G322" s="1">
        <v>45399</v>
      </c>
      <c r="H322">
        <v>2</v>
      </c>
      <c r="I322" s="3">
        <v>165869.60999999999</v>
      </c>
      <c r="J322" t="str">
        <f>VLOOKUP(H322,Diagnosis!$A:$B,2,FALSE)</f>
        <v>Hypertension</v>
      </c>
      <c r="K322" t="str">
        <f>VLOOKUP(H322,Outcome!A$2:$B$7,2,FALSE)</f>
        <v>Improved</v>
      </c>
      <c r="L322">
        <f t="shared" si="8"/>
        <v>17</v>
      </c>
      <c r="M322" t="str">
        <f>IF(Labs!E322&gt;120,"High","Normal")</f>
        <v>High</v>
      </c>
      <c r="N322" t="str">
        <f t="shared" si="9"/>
        <v>High Risk</v>
      </c>
    </row>
    <row r="323" spans="1:14" x14ac:dyDescent="0.3">
      <c r="A323">
        <v>322</v>
      </c>
      <c r="B323" t="s">
        <v>244</v>
      </c>
      <c r="C323">
        <v>5</v>
      </c>
      <c r="D323" t="s">
        <v>10</v>
      </c>
      <c r="E323">
        <v>9</v>
      </c>
      <c r="F323" s="1">
        <v>45778</v>
      </c>
      <c r="G323" s="1">
        <v>45798</v>
      </c>
      <c r="H323">
        <v>5</v>
      </c>
      <c r="I323" s="3">
        <v>21913.07</v>
      </c>
      <c r="J323" t="str">
        <f>VLOOKUP(H323,Diagnosis!$A:$B,2,FALSE)</f>
        <v>Heart Disease</v>
      </c>
      <c r="K323" t="str">
        <f>VLOOKUP(H323,Outcome!A$2:$B$7,2,FALSE)</f>
        <v>Readmitted</v>
      </c>
      <c r="L323">
        <f t="shared" ref="L323:L386" si="10">DATEDIF(F323,G323,"d")</f>
        <v>20</v>
      </c>
      <c r="M323" t="str">
        <f>IF(Labs!E323&gt;120,"High","Normal")</f>
        <v>High</v>
      </c>
      <c r="N323" t="str">
        <f t="shared" si="9"/>
        <v>High Risk</v>
      </c>
    </row>
    <row r="324" spans="1:14" x14ac:dyDescent="0.3">
      <c r="A324">
        <v>323</v>
      </c>
      <c r="B324" t="s">
        <v>271</v>
      </c>
      <c r="C324">
        <v>22</v>
      </c>
      <c r="D324" t="s">
        <v>17</v>
      </c>
      <c r="E324">
        <v>10</v>
      </c>
      <c r="F324" s="1">
        <v>45883</v>
      </c>
      <c r="G324" s="1">
        <v>45904</v>
      </c>
      <c r="H324">
        <v>2</v>
      </c>
      <c r="I324" s="3">
        <v>174108.98</v>
      </c>
      <c r="J324" t="str">
        <f>VLOOKUP(H324,Diagnosis!$A:$B,2,FALSE)</f>
        <v>Hypertension</v>
      </c>
      <c r="K324" t="str">
        <f>VLOOKUP(H324,Outcome!A$2:$B$7,2,FALSE)</f>
        <v>Improved</v>
      </c>
      <c r="L324">
        <f t="shared" si="10"/>
        <v>21</v>
      </c>
      <c r="M324" t="str">
        <f>IF(Labs!E324&gt;120,"High","Normal")</f>
        <v>High</v>
      </c>
      <c r="N324" t="str">
        <f t="shared" ref="N324:N387" si="11">IF(OR(C324&gt;65,H324&lt;&gt;1),"High Risk","low risk")</f>
        <v>High Risk</v>
      </c>
    </row>
    <row r="325" spans="1:14" x14ac:dyDescent="0.3">
      <c r="A325">
        <v>324</v>
      </c>
      <c r="B325" t="s">
        <v>272</v>
      </c>
      <c r="C325">
        <v>14</v>
      </c>
      <c r="D325" t="s">
        <v>17</v>
      </c>
      <c r="E325">
        <v>2</v>
      </c>
      <c r="F325" s="1">
        <v>45091</v>
      </c>
      <c r="G325" s="1">
        <v>45098</v>
      </c>
      <c r="H325">
        <v>2</v>
      </c>
      <c r="I325" s="3">
        <v>94586.6</v>
      </c>
      <c r="J325" t="str">
        <f>VLOOKUP(H325,Diagnosis!$A:$B,2,FALSE)</f>
        <v>Hypertension</v>
      </c>
      <c r="K325" t="str">
        <f>VLOOKUP(H325,Outcome!A$2:$B$7,2,FALSE)</f>
        <v>Improved</v>
      </c>
      <c r="L325">
        <f t="shared" si="10"/>
        <v>7</v>
      </c>
      <c r="M325" t="str">
        <f>IF(Labs!E325&gt;120,"High","Normal")</f>
        <v>High</v>
      </c>
      <c r="N325" t="str">
        <f t="shared" si="11"/>
        <v>High Risk</v>
      </c>
    </row>
    <row r="326" spans="1:14" x14ac:dyDescent="0.3">
      <c r="A326">
        <v>325</v>
      </c>
      <c r="B326" t="s">
        <v>44</v>
      </c>
      <c r="C326">
        <v>29</v>
      </c>
      <c r="D326" t="s">
        <v>10</v>
      </c>
      <c r="E326">
        <v>6</v>
      </c>
      <c r="F326" s="1">
        <v>45363</v>
      </c>
      <c r="G326" s="1">
        <v>45377</v>
      </c>
      <c r="H326">
        <v>4</v>
      </c>
      <c r="I326" s="3">
        <v>106974.72</v>
      </c>
      <c r="J326" t="str">
        <f>VLOOKUP(H326,Diagnosis!$A:$B,2,FALSE)</f>
        <v>Pneumonia</v>
      </c>
      <c r="K326" t="str">
        <f>VLOOKUP(H326,Outcome!A$2:$B$7,2,FALSE)</f>
        <v>Referred</v>
      </c>
      <c r="L326">
        <f t="shared" si="10"/>
        <v>14</v>
      </c>
      <c r="M326" t="str">
        <f>IF(Labs!E326&gt;120,"High","Normal")</f>
        <v>High</v>
      </c>
      <c r="N326" t="str">
        <f t="shared" si="11"/>
        <v>High Risk</v>
      </c>
    </row>
    <row r="327" spans="1:14" x14ac:dyDescent="0.3">
      <c r="A327">
        <v>326</v>
      </c>
      <c r="B327" t="s">
        <v>273</v>
      </c>
      <c r="C327">
        <v>45</v>
      </c>
      <c r="D327" t="s">
        <v>17</v>
      </c>
      <c r="E327">
        <v>8</v>
      </c>
      <c r="F327" s="1">
        <v>44776</v>
      </c>
      <c r="G327" s="1">
        <v>44785</v>
      </c>
      <c r="H327">
        <v>2</v>
      </c>
      <c r="I327" s="3">
        <v>173206.7</v>
      </c>
      <c r="J327" t="str">
        <f>VLOOKUP(H327,Diagnosis!$A:$B,2,FALSE)</f>
        <v>Hypertension</v>
      </c>
      <c r="K327" t="str">
        <f>VLOOKUP(H327,Outcome!A$2:$B$7,2,FALSE)</f>
        <v>Improved</v>
      </c>
      <c r="L327">
        <f t="shared" si="10"/>
        <v>9</v>
      </c>
      <c r="M327" t="str">
        <f>IF(Labs!E327&gt;120,"High","Normal")</f>
        <v>High</v>
      </c>
      <c r="N327" t="str">
        <f t="shared" si="11"/>
        <v>High Risk</v>
      </c>
    </row>
    <row r="328" spans="1:14" x14ac:dyDescent="0.3">
      <c r="A328">
        <v>327</v>
      </c>
      <c r="B328" t="s">
        <v>24</v>
      </c>
      <c r="C328">
        <v>45</v>
      </c>
      <c r="D328" t="s">
        <v>10</v>
      </c>
      <c r="E328">
        <v>6</v>
      </c>
      <c r="F328" s="1">
        <v>45494</v>
      </c>
      <c r="G328" s="1">
        <v>45519</v>
      </c>
      <c r="H328">
        <v>1</v>
      </c>
      <c r="I328" s="3">
        <v>88219.36</v>
      </c>
      <c r="J328" t="str">
        <f>VLOOKUP(H328,Diagnosis!$A:$B,2,FALSE)</f>
        <v>Diabetes</v>
      </c>
      <c r="K328" t="str">
        <f>VLOOKUP(H328,Outcome!A$2:$B$7,2,FALSE)</f>
        <v>Recovered</v>
      </c>
      <c r="L328">
        <f t="shared" si="10"/>
        <v>25</v>
      </c>
      <c r="M328" t="str">
        <f>IF(Labs!E328&gt;120,"High","Normal")</f>
        <v>High</v>
      </c>
      <c r="N328" t="str">
        <f t="shared" si="11"/>
        <v>low risk</v>
      </c>
    </row>
    <row r="329" spans="1:14" x14ac:dyDescent="0.3">
      <c r="A329">
        <v>328</v>
      </c>
      <c r="B329" t="s">
        <v>274</v>
      </c>
      <c r="C329">
        <v>57</v>
      </c>
      <c r="D329" t="s">
        <v>10</v>
      </c>
      <c r="E329">
        <v>6</v>
      </c>
      <c r="F329" s="1">
        <v>44699</v>
      </c>
      <c r="G329" s="1">
        <v>44708</v>
      </c>
      <c r="H329">
        <v>1</v>
      </c>
      <c r="I329" s="3">
        <v>128663.27</v>
      </c>
      <c r="J329" t="str">
        <f>VLOOKUP(H329,Diagnosis!$A:$B,2,FALSE)</f>
        <v>Diabetes</v>
      </c>
      <c r="K329" t="str">
        <f>VLOOKUP(H329,Outcome!A$2:$B$7,2,FALSE)</f>
        <v>Recovered</v>
      </c>
      <c r="L329">
        <f t="shared" si="10"/>
        <v>9</v>
      </c>
      <c r="M329" t="str">
        <f>IF(Labs!E329&gt;120,"High","Normal")</f>
        <v>High</v>
      </c>
      <c r="N329" t="str">
        <f t="shared" si="11"/>
        <v>low risk</v>
      </c>
    </row>
    <row r="330" spans="1:14" x14ac:dyDescent="0.3">
      <c r="A330">
        <v>329</v>
      </c>
      <c r="B330" t="s">
        <v>275</v>
      </c>
      <c r="C330">
        <v>83</v>
      </c>
      <c r="D330" t="s">
        <v>17</v>
      </c>
      <c r="E330">
        <v>3</v>
      </c>
      <c r="F330" s="1">
        <v>46078</v>
      </c>
      <c r="G330" s="1">
        <v>46085</v>
      </c>
      <c r="H330">
        <v>2</v>
      </c>
      <c r="I330" s="3">
        <v>100464.08</v>
      </c>
      <c r="J330" t="str">
        <f>VLOOKUP(H330,Diagnosis!$A:$B,2,FALSE)</f>
        <v>Hypertension</v>
      </c>
      <c r="K330" t="str">
        <f>VLOOKUP(H330,Outcome!A$2:$B$7,2,FALSE)</f>
        <v>Improved</v>
      </c>
      <c r="L330">
        <f t="shared" si="10"/>
        <v>7</v>
      </c>
      <c r="M330" t="str">
        <f>IF(Labs!E330&gt;120,"High","Normal")</f>
        <v>High</v>
      </c>
      <c r="N330" t="str">
        <f t="shared" si="11"/>
        <v>High Risk</v>
      </c>
    </row>
    <row r="331" spans="1:14" x14ac:dyDescent="0.3">
      <c r="A331">
        <v>330</v>
      </c>
      <c r="B331" t="s">
        <v>276</v>
      </c>
      <c r="C331">
        <v>55</v>
      </c>
      <c r="D331" t="s">
        <v>10</v>
      </c>
      <c r="E331">
        <v>4</v>
      </c>
      <c r="F331" s="1">
        <v>46195</v>
      </c>
      <c r="G331" s="1">
        <v>46207</v>
      </c>
      <c r="H331">
        <v>2</v>
      </c>
      <c r="I331" s="3">
        <v>35583.68</v>
      </c>
      <c r="J331" t="str">
        <f>VLOOKUP(H331,Diagnosis!$A:$B,2,FALSE)</f>
        <v>Hypertension</v>
      </c>
      <c r="K331" t="str">
        <f>VLOOKUP(H331,Outcome!A$2:$B$7,2,FALSE)</f>
        <v>Improved</v>
      </c>
      <c r="L331">
        <f t="shared" si="10"/>
        <v>12</v>
      </c>
      <c r="M331" t="str">
        <f>IF(Labs!E331&gt;120,"High","Normal")</f>
        <v>High</v>
      </c>
      <c r="N331" t="str">
        <f t="shared" si="11"/>
        <v>High Risk</v>
      </c>
    </row>
    <row r="332" spans="1:14" x14ac:dyDescent="0.3">
      <c r="A332">
        <v>331</v>
      </c>
      <c r="B332" t="s">
        <v>277</v>
      </c>
      <c r="C332">
        <v>4</v>
      </c>
      <c r="D332" t="s">
        <v>17</v>
      </c>
      <c r="E332">
        <v>8</v>
      </c>
      <c r="F332" s="1">
        <v>45774</v>
      </c>
      <c r="G332" s="1">
        <v>45787</v>
      </c>
      <c r="H332">
        <v>2</v>
      </c>
      <c r="I332" s="3">
        <v>127590.57</v>
      </c>
      <c r="J332" t="str">
        <f>VLOOKUP(H332,Diagnosis!$A:$B,2,FALSE)</f>
        <v>Hypertension</v>
      </c>
      <c r="K332" t="str">
        <f>VLOOKUP(H332,Outcome!A$2:$B$7,2,FALSE)</f>
        <v>Improved</v>
      </c>
      <c r="L332">
        <f t="shared" si="10"/>
        <v>13</v>
      </c>
      <c r="M332" t="str">
        <f>IF(Labs!E332&gt;120,"High","Normal")</f>
        <v>High</v>
      </c>
      <c r="N332" t="str">
        <f t="shared" si="11"/>
        <v>High Risk</v>
      </c>
    </row>
    <row r="333" spans="1:14" x14ac:dyDescent="0.3">
      <c r="A333">
        <v>332</v>
      </c>
      <c r="B333" t="s">
        <v>98</v>
      </c>
      <c r="C333">
        <v>91</v>
      </c>
      <c r="D333" t="s">
        <v>17</v>
      </c>
      <c r="E333">
        <v>10</v>
      </c>
      <c r="F333" s="1">
        <v>44770</v>
      </c>
      <c r="G333" s="1">
        <v>44795</v>
      </c>
      <c r="H333">
        <v>5</v>
      </c>
      <c r="I333" s="3">
        <v>35685.370000000003</v>
      </c>
      <c r="J333" t="str">
        <f>VLOOKUP(H333,Diagnosis!$A:$B,2,FALSE)</f>
        <v>Heart Disease</v>
      </c>
      <c r="K333" t="str">
        <f>VLOOKUP(H333,Outcome!A$2:$B$7,2,FALSE)</f>
        <v>Readmitted</v>
      </c>
      <c r="L333">
        <f t="shared" si="10"/>
        <v>25</v>
      </c>
      <c r="M333" t="str">
        <f>IF(Labs!E333&gt;120,"High","Normal")</f>
        <v>High</v>
      </c>
      <c r="N333" t="str">
        <f t="shared" si="11"/>
        <v>High Risk</v>
      </c>
    </row>
    <row r="334" spans="1:14" x14ac:dyDescent="0.3">
      <c r="A334">
        <v>333</v>
      </c>
      <c r="B334" t="s">
        <v>113</v>
      </c>
      <c r="C334">
        <v>59</v>
      </c>
      <c r="D334" t="s">
        <v>17</v>
      </c>
      <c r="E334">
        <v>5</v>
      </c>
      <c r="F334" s="1">
        <v>45935</v>
      </c>
      <c r="G334" s="1">
        <v>45962</v>
      </c>
      <c r="H334">
        <v>2</v>
      </c>
      <c r="I334" s="3">
        <v>173950.16</v>
      </c>
      <c r="J334" t="str">
        <f>VLOOKUP(H334,Diagnosis!$A:$B,2,FALSE)</f>
        <v>Hypertension</v>
      </c>
      <c r="K334" t="str">
        <f>VLOOKUP(H334,Outcome!A$2:$B$7,2,FALSE)</f>
        <v>Improved</v>
      </c>
      <c r="L334">
        <f t="shared" si="10"/>
        <v>27</v>
      </c>
      <c r="M334" t="str">
        <f>IF(Labs!E334&gt;120,"High","Normal")</f>
        <v>High</v>
      </c>
      <c r="N334" t="str">
        <f t="shared" si="11"/>
        <v>High Risk</v>
      </c>
    </row>
    <row r="335" spans="1:14" x14ac:dyDescent="0.3">
      <c r="A335">
        <v>334</v>
      </c>
      <c r="B335" t="s">
        <v>104</v>
      </c>
      <c r="C335">
        <v>50</v>
      </c>
      <c r="D335" t="s">
        <v>10</v>
      </c>
      <c r="E335">
        <v>10</v>
      </c>
      <c r="F335" s="1">
        <v>44795</v>
      </c>
      <c r="G335" s="1">
        <v>44806</v>
      </c>
      <c r="H335">
        <v>2</v>
      </c>
      <c r="I335" s="3">
        <v>83770.25</v>
      </c>
      <c r="J335" t="str">
        <f>VLOOKUP(H335,Diagnosis!$A:$B,2,FALSE)</f>
        <v>Hypertension</v>
      </c>
      <c r="K335" t="str">
        <f>VLOOKUP(H335,Outcome!A$2:$B$7,2,FALSE)</f>
        <v>Improved</v>
      </c>
      <c r="L335">
        <f t="shared" si="10"/>
        <v>11</v>
      </c>
      <c r="M335" t="str">
        <f>IF(Labs!E335&gt;120,"High","Normal")</f>
        <v>High</v>
      </c>
      <c r="N335" t="str">
        <f t="shared" si="11"/>
        <v>High Risk</v>
      </c>
    </row>
    <row r="336" spans="1:14" x14ac:dyDescent="0.3">
      <c r="A336">
        <v>335</v>
      </c>
      <c r="B336" t="s">
        <v>278</v>
      </c>
      <c r="C336">
        <v>79</v>
      </c>
      <c r="D336" t="s">
        <v>17</v>
      </c>
      <c r="E336">
        <v>3</v>
      </c>
      <c r="F336" s="1">
        <v>45203</v>
      </c>
      <c r="G336" s="1">
        <v>45206</v>
      </c>
      <c r="H336">
        <v>1</v>
      </c>
      <c r="I336" s="3">
        <v>23258.43</v>
      </c>
      <c r="J336" t="str">
        <f>VLOOKUP(H336,Diagnosis!$A:$B,2,FALSE)</f>
        <v>Diabetes</v>
      </c>
      <c r="K336" t="str">
        <f>VLOOKUP(H336,Outcome!A$2:$B$7,2,FALSE)</f>
        <v>Recovered</v>
      </c>
      <c r="L336">
        <f t="shared" si="10"/>
        <v>3</v>
      </c>
      <c r="M336" t="str">
        <f>IF(Labs!E336&gt;120,"High","Normal")</f>
        <v>High</v>
      </c>
      <c r="N336" t="str">
        <f t="shared" si="11"/>
        <v>High Risk</v>
      </c>
    </row>
    <row r="337" spans="1:14" x14ac:dyDescent="0.3">
      <c r="A337">
        <v>336</v>
      </c>
      <c r="B337" t="s">
        <v>143</v>
      </c>
      <c r="C337">
        <v>66</v>
      </c>
      <c r="D337" t="s">
        <v>10</v>
      </c>
      <c r="E337">
        <v>7</v>
      </c>
      <c r="F337" s="1">
        <v>45783</v>
      </c>
      <c r="G337" s="1">
        <v>45787</v>
      </c>
      <c r="H337">
        <v>2</v>
      </c>
      <c r="I337" s="3">
        <v>77589.38</v>
      </c>
      <c r="J337" t="str">
        <f>VLOOKUP(H337,Diagnosis!$A:$B,2,FALSE)</f>
        <v>Hypertension</v>
      </c>
      <c r="K337" t="str">
        <f>VLOOKUP(H337,Outcome!A$2:$B$7,2,FALSE)</f>
        <v>Improved</v>
      </c>
      <c r="L337">
        <f t="shared" si="10"/>
        <v>4</v>
      </c>
      <c r="M337" t="str">
        <f>IF(Labs!E337&gt;120,"High","Normal")</f>
        <v>High</v>
      </c>
      <c r="N337" t="str">
        <f t="shared" si="11"/>
        <v>High Risk</v>
      </c>
    </row>
    <row r="338" spans="1:14" x14ac:dyDescent="0.3">
      <c r="A338">
        <v>337</v>
      </c>
      <c r="B338" t="s">
        <v>279</v>
      </c>
      <c r="C338">
        <v>89</v>
      </c>
      <c r="D338" t="s">
        <v>17</v>
      </c>
      <c r="E338">
        <v>9</v>
      </c>
      <c r="F338" s="1">
        <v>44903</v>
      </c>
      <c r="G338" s="1">
        <v>44918</v>
      </c>
      <c r="H338">
        <v>1</v>
      </c>
      <c r="I338" s="3">
        <v>35710</v>
      </c>
      <c r="J338" t="str">
        <f>VLOOKUP(H338,Diagnosis!$A:$B,2,FALSE)</f>
        <v>Diabetes</v>
      </c>
      <c r="K338" t="str">
        <f>VLOOKUP(H338,Outcome!A$2:$B$7,2,FALSE)</f>
        <v>Recovered</v>
      </c>
      <c r="L338">
        <f t="shared" si="10"/>
        <v>15</v>
      </c>
      <c r="M338" t="str">
        <f>IF(Labs!E338&gt;120,"High","Normal")</f>
        <v>High</v>
      </c>
      <c r="N338" t="str">
        <f t="shared" si="11"/>
        <v>High Risk</v>
      </c>
    </row>
    <row r="339" spans="1:14" x14ac:dyDescent="0.3">
      <c r="A339">
        <v>338</v>
      </c>
      <c r="B339" t="s">
        <v>171</v>
      </c>
      <c r="C339">
        <v>7</v>
      </c>
      <c r="D339" t="s">
        <v>10</v>
      </c>
      <c r="E339">
        <v>1</v>
      </c>
      <c r="F339" s="1">
        <v>45554</v>
      </c>
      <c r="G339" s="1">
        <v>45558</v>
      </c>
      <c r="H339">
        <v>1</v>
      </c>
      <c r="I339" s="3">
        <v>70650.09</v>
      </c>
      <c r="J339" t="str">
        <f>VLOOKUP(H339,Diagnosis!$A:$B,2,FALSE)</f>
        <v>Diabetes</v>
      </c>
      <c r="K339" t="str">
        <f>VLOOKUP(H339,Outcome!A$2:$B$7,2,FALSE)</f>
        <v>Recovered</v>
      </c>
      <c r="L339">
        <f t="shared" si="10"/>
        <v>4</v>
      </c>
      <c r="M339" t="str">
        <f>IF(Labs!E339&gt;120,"High","Normal")</f>
        <v>High</v>
      </c>
      <c r="N339" t="str">
        <f t="shared" si="11"/>
        <v>low risk</v>
      </c>
    </row>
    <row r="340" spans="1:14" x14ac:dyDescent="0.3">
      <c r="A340">
        <v>339</v>
      </c>
      <c r="B340" t="s">
        <v>280</v>
      </c>
      <c r="C340">
        <v>84</v>
      </c>
      <c r="D340" t="s">
        <v>10</v>
      </c>
      <c r="E340">
        <v>7</v>
      </c>
      <c r="F340" s="1">
        <v>45964</v>
      </c>
      <c r="G340" s="1">
        <v>45979</v>
      </c>
      <c r="H340">
        <v>2</v>
      </c>
      <c r="I340" s="3">
        <v>151580.79</v>
      </c>
      <c r="J340" t="str">
        <f>VLOOKUP(H340,Diagnosis!$A:$B,2,FALSE)</f>
        <v>Hypertension</v>
      </c>
      <c r="K340" t="str">
        <f>VLOOKUP(H340,Outcome!A$2:$B$7,2,FALSE)</f>
        <v>Improved</v>
      </c>
      <c r="L340">
        <f t="shared" si="10"/>
        <v>15</v>
      </c>
      <c r="M340" t="str">
        <f>IF(Labs!E340&gt;120,"High","Normal")</f>
        <v>High</v>
      </c>
      <c r="N340" t="str">
        <f t="shared" si="11"/>
        <v>High Risk</v>
      </c>
    </row>
    <row r="341" spans="1:14" x14ac:dyDescent="0.3">
      <c r="A341">
        <v>340</v>
      </c>
      <c r="B341" t="s">
        <v>281</v>
      </c>
      <c r="C341">
        <v>11</v>
      </c>
      <c r="D341" t="s">
        <v>17</v>
      </c>
      <c r="E341">
        <v>4</v>
      </c>
      <c r="F341" s="1">
        <v>45160</v>
      </c>
      <c r="G341" s="1">
        <v>45161</v>
      </c>
      <c r="H341">
        <v>1</v>
      </c>
      <c r="I341" s="3">
        <v>97925.53</v>
      </c>
      <c r="J341" t="str">
        <f>VLOOKUP(H341,Diagnosis!$A:$B,2,FALSE)</f>
        <v>Diabetes</v>
      </c>
      <c r="K341" t="str">
        <f>VLOOKUP(H341,Outcome!A$2:$B$7,2,FALSE)</f>
        <v>Recovered</v>
      </c>
      <c r="L341">
        <f t="shared" si="10"/>
        <v>1</v>
      </c>
      <c r="M341" t="str">
        <f>IF(Labs!E341&gt;120,"High","Normal")</f>
        <v>High</v>
      </c>
      <c r="N341" t="str">
        <f t="shared" si="11"/>
        <v>low risk</v>
      </c>
    </row>
    <row r="342" spans="1:14" x14ac:dyDescent="0.3">
      <c r="A342">
        <v>341</v>
      </c>
      <c r="B342" t="s">
        <v>282</v>
      </c>
      <c r="C342">
        <v>73</v>
      </c>
      <c r="D342" t="s">
        <v>10</v>
      </c>
      <c r="E342">
        <v>9</v>
      </c>
      <c r="F342" s="1">
        <v>45608</v>
      </c>
      <c r="G342" s="1">
        <v>45611</v>
      </c>
      <c r="H342">
        <v>2</v>
      </c>
      <c r="I342" s="3">
        <v>50050.28</v>
      </c>
      <c r="J342" t="str">
        <f>VLOOKUP(H342,Diagnosis!$A:$B,2,FALSE)</f>
        <v>Hypertension</v>
      </c>
      <c r="K342" t="str">
        <f>VLOOKUP(H342,Outcome!A$2:$B$7,2,FALSE)</f>
        <v>Improved</v>
      </c>
      <c r="L342">
        <f t="shared" si="10"/>
        <v>3</v>
      </c>
      <c r="M342" t="str">
        <f>IF(Labs!E342&gt;120,"High","Normal")</f>
        <v>High</v>
      </c>
      <c r="N342" t="str">
        <f t="shared" si="11"/>
        <v>High Risk</v>
      </c>
    </row>
    <row r="343" spans="1:14" x14ac:dyDescent="0.3">
      <c r="A343">
        <v>342</v>
      </c>
      <c r="B343" t="s">
        <v>283</v>
      </c>
      <c r="C343">
        <v>70</v>
      </c>
      <c r="D343" t="s">
        <v>17</v>
      </c>
      <c r="E343">
        <v>8</v>
      </c>
      <c r="F343" s="1">
        <v>45680</v>
      </c>
      <c r="G343" s="1">
        <v>45686</v>
      </c>
      <c r="H343">
        <v>6</v>
      </c>
      <c r="I343" s="3">
        <v>20678.919999999998</v>
      </c>
      <c r="J343" t="str">
        <f>VLOOKUP(H343,Diagnosis!$A:$B,2,FALSE)</f>
        <v>Kidney Disease</v>
      </c>
      <c r="K343" t="str">
        <f>VLOOKUP(H343,Outcome!A$2:$B$7,2,FALSE)</f>
        <v>Deceased</v>
      </c>
      <c r="L343">
        <f t="shared" si="10"/>
        <v>6</v>
      </c>
      <c r="M343" t="str">
        <f>IF(Labs!E343&gt;120,"High","Normal")</f>
        <v>High</v>
      </c>
      <c r="N343" t="str">
        <f t="shared" si="11"/>
        <v>High Risk</v>
      </c>
    </row>
    <row r="344" spans="1:14" x14ac:dyDescent="0.3">
      <c r="A344">
        <v>343</v>
      </c>
      <c r="B344" t="s">
        <v>284</v>
      </c>
      <c r="C344">
        <v>5</v>
      </c>
      <c r="D344" t="s">
        <v>10</v>
      </c>
      <c r="E344">
        <v>5</v>
      </c>
      <c r="F344" s="1">
        <v>45275</v>
      </c>
      <c r="G344" s="1">
        <v>45302</v>
      </c>
      <c r="H344">
        <v>4</v>
      </c>
      <c r="I344" s="3">
        <v>80434.91</v>
      </c>
      <c r="J344" t="str">
        <f>VLOOKUP(H344,Diagnosis!$A:$B,2,FALSE)</f>
        <v>Pneumonia</v>
      </c>
      <c r="K344" t="str">
        <f>VLOOKUP(H344,Outcome!A$2:$B$7,2,FALSE)</f>
        <v>Referred</v>
      </c>
      <c r="L344">
        <f t="shared" si="10"/>
        <v>27</v>
      </c>
      <c r="M344" t="str">
        <f>IF(Labs!E344&gt;120,"High","Normal")</f>
        <v>High</v>
      </c>
      <c r="N344" t="str">
        <f t="shared" si="11"/>
        <v>High Risk</v>
      </c>
    </row>
    <row r="345" spans="1:14" x14ac:dyDescent="0.3">
      <c r="A345">
        <v>344</v>
      </c>
      <c r="B345" t="s">
        <v>285</v>
      </c>
      <c r="C345">
        <v>27</v>
      </c>
      <c r="D345" t="s">
        <v>10</v>
      </c>
      <c r="E345">
        <v>10</v>
      </c>
      <c r="F345" s="1">
        <v>45857</v>
      </c>
      <c r="G345" s="1">
        <v>45870</v>
      </c>
      <c r="H345">
        <v>1</v>
      </c>
      <c r="I345" s="3">
        <v>27214.21</v>
      </c>
      <c r="J345" t="str">
        <f>VLOOKUP(H345,Diagnosis!$A:$B,2,FALSE)</f>
        <v>Diabetes</v>
      </c>
      <c r="K345" t="str">
        <f>VLOOKUP(H345,Outcome!A$2:$B$7,2,FALSE)</f>
        <v>Recovered</v>
      </c>
      <c r="L345">
        <f t="shared" si="10"/>
        <v>13</v>
      </c>
      <c r="M345" t="str">
        <f>IF(Labs!E345&gt;120,"High","Normal")</f>
        <v>High</v>
      </c>
      <c r="N345" t="str">
        <f t="shared" si="11"/>
        <v>low risk</v>
      </c>
    </row>
    <row r="346" spans="1:14" x14ac:dyDescent="0.3">
      <c r="A346">
        <v>345</v>
      </c>
      <c r="B346" t="s">
        <v>286</v>
      </c>
      <c r="C346">
        <v>8</v>
      </c>
      <c r="D346" t="s">
        <v>10</v>
      </c>
      <c r="E346">
        <v>9</v>
      </c>
      <c r="F346" s="1">
        <v>45137</v>
      </c>
      <c r="G346" s="1">
        <v>45156</v>
      </c>
      <c r="H346">
        <v>2</v>
      </c>
      <c r="I346" s="3">
        <v>59948.52</v>
      </c>
      <c r="J346" t="str">
        <f>VLOOKUP(H346,Diagnosis!$A:$B,2,FALSE)</f>
        <v>Hypertension</v>
      </c>
      <c r="K346" t="str">
        <f>VLOOKUP(H346,Outcome!A$2:$B$7,2,FALSE)</f>
        <v>Improved</v>
      </c>
      <c r="L346">
        <f t="shared" si="10"/>
        <v>19</v>
      </c>
      <c r="M346" t="str">
        <f>IF(Labs!E346&gt;120,"High","Normal")</f>
        <v>High</v>
      </c>
      <c r="N346" t="str">
        <f t="shared" si="11"/>
        <v>High Risk</v>
      </c>
    </row>
    <row r="347" spans="1:14" x14ac:dyDescent="0.3">
      <c r="A347">
        <v>346</v>
      </c>
      <c r="B347" t="s">
        <v>287</v>
      </c>
      <c r="C347">
        <v>74</v>
      </c>
      <c r="D347" t="s">
        <v>10</v>
      </c>
      <c r="E347">
        <v>9</v>
      </c>
      <c r="F347" s="1">
        <v>45953</v>
      </c>
      <c r="G347" s="1">
        <v>45979</v>
      </c>
      <c r="H347">
        <v>1</v>
      </c>
      <c r="I347" s="3">
        <v>173392.03</v>
      </c>
      <c r="J347" t="str">
        <f>VLOOKUP(H347,Diagnosis!$A:$B,2,FALSE)</f>
        <v>Diabetes</v>
      </c>
      <c r="K347" t="str">
        <f>VLOOKUP(H347,Outcome!A$2:$B$7,2,FALSE)</f>
        <v>Recovered</v>
      </c>
      <c r="L347">
        <f t="shared" si="10"/>
        <v>26</v>
      </c>
      <c r="M347" t="str">
        <f>IF(Labs!E347&gt;120,"High","Normal")</f>
        <v>High</v>
      </c>
      <c r="N347" t="str">
        <f t="shared" si="11"/>
        <v>High Risk</v>
      </c>
    </row>
    <row r="348" spans="1:14" x14ac:dyDescent="0.3">
      <c r="A348">
        <v>347</v>
      </c>
      <c r="B348" t="s">
        <v>288</v>
      </c>
      <c r="C348">
        <v>36</v>
      </c>
      <c r="D348" t="s">
        <v>17</v>
      </c>
      <c r="E348">
        <v>3</v>
      </c>
      <c r="F348" s="1">
        <v>45073</v>
      </c>
      <c r="G348" s="1">
        <v>45077</v>
      </c>
      <c r="H348">
        <v>3</v>
      </c>
      <c r="I348" s="3">
        <v>149555.51999999999</v>
      </c>
      <c r="J348" t="str">
        <f>VLOOKUP(H348,Diagnosis!$A:$B,2,FALSE)</f>
        <v>Asthma</v>
      </c>
      <c r="K348" t="str">
        <f>VLOOKUP(H348,Outcome!A$2:$B$7,2,FALSE)</f>
        <v>Ongoing Treatment</v>
      </c>
      <c r="L348">
        <f t="shared" si="10"/>
        <v>4</v>
      </c>
      <c r="M348" t="str">
        <f>IF(Labs!E348&gt;120,"High","Normal")</f>
        <v>High</v>
      </c>
      <c r="N348" t="str">
        <f t="shared" si="11"/>
        <v>High Risk</v>
      </c>
    </row>
    <row r="349" spans="1:14" x14ac:dyDescent="0.3">
      <c r="A349">
        <v>348</v>
      </c>
      <c r="B349" t="s">
        <v>289</v>
      </c>
      <c r="C349">
        <v>19</v>
      </c>
      <c r="D349" t="s">
        <v>10</v>
      </c>
      <c r="E349">
        <v>7</v>
      </c>
      <c r="F349" s="1">
        <v>45330</v>
      </c>
      <c r="G349" s="1">
        <v>45344</v>
      </c>
      <c r="H349">
        <v>1</v>
      </c>
      <c r="I349" s="3">
        <v>143541.26</v>
      </c>
      <c r="J349" t="str">
        <f>VLOOKUP(H349,Diagnosis!$A:$B,2,FALSE)</f>
        <v>Diabetes</v>
      </c>
      <c r="K349" t="str">
        <f>VLOOKUP(H349,Outcome!A$2:$B$7,2,FALSE)</f>
        <v>Recovered</v>
      </c>
      <c r="L349">
        <f t="shared" si="10"/>
        <v>14</v>
      </c>
      <c r="M349" t="str">
        <f>IF(Labs!E349&gt;120,"High","Normal")</f>
        <v>High</v>
      </c>
      <c r="N349" t="str">
        <f t="shared" si="11"/>
        <v>low risk</v>
      </c>
    </row>
    <row r="350" spans="1:14" x14ac:dyDescent="0.3">
      <c r="A350">
        <v>349</v>
      </c>
      <c r="B350" t="s">
        <v>203</v>
      </c>
      <c r="C350">
        <v>66</v>
      </c>
      <c r="D350" t="s">
        <v>10</v>
      </c>
      <c r="E350">
        <v>6</v>
      </c>
      <c r="F350" s="1">
        <v>45493</v>
      </c>
      <c r="G350" s="1">
        <v>45523</v>
      </c>
      <c r="H350">
        <v>2</v>
      </c>
      <c r="I350" s="3">
        <v>105797.11</v>
      </c>
      <c r="J350" t="str">
        <f>VLOOKUP(H350,Diagnosis!$A:$B,2,FALSE)</f>
        <v>Hypertension</v>
      </c>
      <c r="K350" t="str">
        <f>VLOOKUP(H350,Outcome!A$2:$B$7,2,FALSE)</f>
        <v>Improved</v>
      </c>
      <c r="L350">
        <f t="shared" si="10"/>
        <v>30</v>
      </c>
      <c r="M350" t="str">
        <f>IF(Labs!E350&gt;120,"High","Normal")</f>
        <v>High</v>
      </c>
      <c r="N350" t="str">
        <f t="shared" si="11"/>
        <v>High Risk</v>
      </c>
    </row>
    <row r="351" spans="1:14" x14ac:dyDescent="0.3">
      <c r="A351">
        <v>350</v>
      </c>
      <c r="B351" t="s">
        <v>290</v>
      </c>
      <c r="C351">
        <v>82</v>
      </c>
      <c r="D351" t="s">
        <v>10</v>
      </c>
      <c r="E351">
        <v>2</v>
      </c>
      <c r="F351" s="1">
        <v>46191</v>
      </c>
      <c r="G351" s="1">
        <v>46208</v>
      </c>
      <c r="H351">
        <v>2</v>
      </c>
      <c r="I351" s="3">
        <v>174342.82</v>
      </c>
      <c r="J351" t="str">
        <f>VLOOKUP(H351,Diagnosis!$A:$B,2,FALSE)</f>
        <v>Hypertension</v>
      </c>
      <c r="K351" t="str">
        <f>VLOOKUP(H351,Outcome!A$2:$B$7,2,FALSE)</f>
        <v>Improved</v>
      </c>
      <c r="L351">
        <f t="shared" si="10"/>
        <v>17</v>
      </c>
      <c r="M351" t="str">
        <f>IF(Labs!E351&gt;120,"High","Normal")</f>
        <v>High</v>
      </c>
      <c r="N351" t="str">
        <f t="shared" si="11"/>
        <v>High Risk</v>
      </c>
    </row>
    <row r="352" spans="1:14" x14ac:dyDescent="0.3">
      <c r="A352">
        <v>351</v>
      </c>
      <c r="B352" t="s">
        <v>291</v>
      </c>
      <c r="C352">
        <v>35</v>
      </c>
      <c r="D352" t="s">
        <v>10</v>
      </c>
      <c r="E352">
        <v>5</v>
      </c>
      <c r="F352" s="1">
        <v>45253</v>
      </c>
      <c r="G352" s="1">
        <v>45270</v>
      </c>
      <c r="H352">
        <v>2</v>
      </c>
      <c r="I352" s="3">
        <v>102990.22</v>
      </c>
      <c r="J352" t="str">
        <f>VLOOKUP(H352,Diagnosis!$A:$B,2,FALSE)</f>
        <v>Hypertension</v>
      </c>
      <c r="K352" t="str">
        <f>VLOOKUP(H352,Outcome!A$2:$B$7,2,FALSE)</f>
        <v>Improved</v>
      </c>
      <c r="L352">
        <f t="shared" si="10"/>
        <v>17</v>
      </c>
      <c r="M352" t="str">
        <f>IF(Labs!E352&gt;120,"High","Normal")</f>
        <v>High</v>
      </c>
      <c r="N352" t="str">
        <f t="shared" si="11"/>
        <v>High Risk</v>
      </c>
    </row>
    <row r="353" spans="1:14" x14ac:dyDescent="0.3">
      <c r="A353">
        <v>352</v>
      </c>
      <c r="B353" t="s">
        <v>292</v>
      </c>
      <c r="C353">
        <v>88</v>
      </c>
      <c r="D353" t="s">
        <v>17</v>
      </c>
      <c r="E353">
        <v>1</v>
      </c>
      <c r="F353" s="1">
        <v>44765</v>
      </c>
      <c r="G353" s="1">
        <v>44785</v>
      </c>
      <c r="H353">
        <v>4</v>
      </c>
      <c r="I353" s="3">
        <v>84075.76</v>
      </c>
      <c r="J353" t="str">
        <f>VLOOKUP(H353,Diagnosis!$A:$B,2,FALSE)</f>
        <v>Pneumonia</v>
      </c>
      <c r="K353" t="str">
        <f>VLOOKUP(H353,Outcome!A$2:$B$7,2,FALSE)</f>
        <v>Referred</v>
      </c>
      <c r="L353">
        <f t="shared" si="10"/>
        <v>20</v>
      </c>
      <c r="M353" t="str">
        <f>IF(Labs!E353&gt;120,"High","Normal")</f>
        <v>High</v>
      </c>
      <c r="N353" t="str">
        <f t="shared" si="11"/>
        <v>High Risk</v>
      </c>
    </row>
    <row r="354" spans="1:14" x14ac:dyDescent="0.3">
      <c r="A354">
        <v>353</v>
      </c>
      <c r="B354" t="s">
        <v>293</v>
      </c>
      <c r="C354">
        <v>57</v>
      </c>
      <c r="D354" t="s">
        <v>10</v>
      </c>
      <c r="E354">
        <v>1</v>
      </c>
      <c r="F354" s="1">
        <v>45438</v>
      </c>
      <c r="G354" s="1">
        <v>45444</v>
      </c>
      <c r="H354">
        <v>6</v>
      </c>
      <c r="I354" s="3">
        <v>163919.78</v>
      </c>
      <c r="J354" t="str">
        <f>VLOOKUP(H354,Diagnosis!$A:$B,2,FALSE)</f>
        <v>Kidney Disease</v>
      </c>
      <c r="K354" t="str">
        <f>VLOOKUP(H354,Outcome!A$2:$B$7,2,FALSE)</f>
        <v>Deceased</v>
      </c>
      <c r="L354">
        <f t="shared" si="10"/>
        <v>6</v>
      </c>
      <c r="M354" t="str">
        <f>IF(Labs!E354&gt;120,"High","Normal")</f>
        <v>High</v>
      </c>
      <c r="N354" t="str">
        <f t="shared" si="11"/>
        <v>High Risk</v>
      </c>
    </row>
    <row r="355" spans="1:14" x14ac:dyDescent="0.3">
      <c r="A355">
        <v>354</v>
      </c>
      <c r="B355" t="s">
        <v>192</v>
      </c>
      <c r="C355">
        <v>36</v>
      </c>
      <c r="D355" t="s">
        <v>17</v>
      </c>
      <c r="E355">
        <v>6</v>
      </c>
      <c r="F355" s="1">
        <v>45074</v>
      </c>
      <c r="G355" s="1">
        <v>45076</v>
      </c>
      <c r="H355">
        <v>2</v>
      </c>
      <c r="I355" s="3">
        <v>162924.54999999999</v>
      </c>
      <c r="J355" t="str">
        <f>VLOOKUP(H355,Diagnosis!$A:$B,2,FALSE)</f>
        <v>Hypertension</v>
      </c>
      <c r="K355" t="str">
        <f>VLOOKUP(H355,Outcome!A$2:$B$7,2,FALSE)</f>
        <v>Improved</v>
      </c>
      <c r="L355">
        <f t="shared" si="10"/>
        <v>2</v>
      </c>
      <c r="M355" t="str">
        <f>IF(Labs!E355&gt;120,"High","Normal")</f>
        <v>High</v>
      </c>
      <c r="N355" t="str">
        <f t="shared" si="11"/>
        <v>High Risk</v>
      </c>
    </row>
    <row r="356" spans="1:14" x14ac:dyDescent="0.3">
      <c r="A356">
        <v>355</v>
      </c>
      <c r="B356" t="s">
        <v>42</v>
      </c>
      <c r="C356">
        <v>51</v>
      </c>
      <c r="D356" t="s">
        <v>10</v>
      </c>
      <c r="E356">
        <v>4</v>
      </c>
      <c r="F356" s="1">
        <v>45441</v>
      </c>
      <c r="G356" s="1">
        <v>45461</v>
      </c>
      <c r="H356">
        <v>1</v>
      </c>
      <c r="I356" s="3">
        <v>19395.099999999999</v>
      </c>
      <c r="J356" t="str">
        <f>VLOOKUP(H356,Diagnosis!$A:$B,2,FALSE)</f>
        <v>Diabetes</v>
      </c>
      <c r="K356" t="str">
        <f>VLOOKUP(H356,Outcome!A$2:$B$7,2,FALSE)</f>
        <v>Recovered</v>
      </c>
      <c r="L356">
        <f t="shared" si="10"/>
        <v>20</v>
      </c>
      <c r="M356" t="str">
        <f>IF(Labs!E356&gt;120,"High","Normal")</f>
        <v>High</v>
      </c>
      <c r="N356" t="str">
        <f t="shared" si="11"/>
        <v>low risk</v>
      </c>
    </row>
    <row r="357" spans="1:14" x14ac:dyDescent="0.3">
      <c r="A357">
        <v>356</v>
      </c>
      <c r="B357" t="s">
        <v>291</v>
      </c>
      <c r="C357">
        <v>10</v>
      </c>
      <c r="D357" t="s">
        <v>17</v>
      </c>
      <c r="E357">
        <v>10</v>
      </c>
      <c r="F357" s="1">
        <v>45025</v>
      </c>
      <c r="G357" s="1">
        <v>45041</v>
      </c>
      <c r="H357">
        <v>3</v>
      </c>
      <c r="I357" s="3">
        <v>4148.43</v>
      </c>
      <c r="J357" t="str">
        <f>VLOOKUP(H357,Diagnosis!$A:$B,2,FALSE)</f>
        <v>Asthma</v>
      </c>
      <c r="K357" t="str">
        <f>VLOOKUP(H357,Outcome!A$2:$B$7,2,FALSE)</f>
        <v>Ongoing Treatment</v>
      </c>
      <c r="L357">
        <f t="shared" si="10"/>
        <v>16</v>
      </c>
      <c r="M357" t="str">
        <f>IF(Labs!E357&gt;120,"High","Normal")</f>
        <v>High</v>
      </c>
      <c r="N357" t="str">
        <f t="shared" si="11"/>
        <v>High Risk</v>
      </c>
    </row>
    <row r="358" spans="1:14" x14ac:dyDescent="0.3">
      <c r="A358">
        <v>357</v>
      </c>
      <c r="B358" t="s">
        <v>26</v>
      </c>
      <c r="C358">
        <v>55</v>
      </c>
      <c r="D358" t="s">
        <v>17</v>
      </c>
      <c r="E358">
        <v>8</v>
      </c>
      <c r="F358" s="1">
        <v>44707</v>
      </c>
      <c r="G358" s="1">
        <v>44714</v>
      </c>
      <c r="H358">
        <v>2</v>
      </c>
      <c r="I358" s="3">
        <v>132210.5</v>
      </c>
      <c r="J358" t="str">
        <f>VLOOKUP(H358,Diagnosis!$A:$B,2,FALSE)</f>
        <v>Hypertension</v>
      </c>
      <c r="K358" t="str">
        <f>VLOOKUP(H358,Outcome!A$2:$B$7,2,FALSE)</f>
        <v>Improved</v>
      </c>
      <c r="L358">
        <f t="shared" si="10"/>
        <v>7</v>
      </c>
      <c r="M358" t="str">
        <f>IF(Labs!E358&gt;120,"High","Normal")</f>
        <v>High</v>
      </c>
      <c r="N358" t="str">
        <f t="shared" si="11"/>
        <v>High Risk</v>
      </c>
    </row>
    <row r="359" spans="1:14" x14ac:dyDescent="0.3">
      <c r="A359">
        <v>358</v>
      </c>
      <c r="B359" t="s">
        <v>294</v>
      </c>
      <c r="C359">
        <v>41</v>
      </c>
      <c r="D359" t="s">
        <v>10</v>
      </c>
      <c r="E359">
        <v>5</v>
      </c>
      <c r="F359" s="1">
        <v>44842</v>
      </c>
      <c r="G359" s="1">
        <v>44854</v>
      </c>
      <c r="H359">
        <v>4</v>
      </c>
      <c r="I359" s="3">
        <v>136185.51</v>
      </c>
      <c r="J359" t="str">
        <f>VLOOKUP(H359,Diagnosis!$A:$B,2,FALSE)</f>
        <v>Pneumonia</v>
      </c>
      <c r="K359" t="str">
        <f>VLOOKUP(H359,Outcome!A$2:$B$7,2,FALSE)</f>
        <v>Referred</v>
      </c>
      <c r="L359">
        <f t="shared" si="10"/>
        <v>12</v>
      </c>
      <c r="M359" t="str">
        <f>IF(Labs!E359&gt;120,"High","Normal")</f>
        <v>High</v>
      </c>
      <c r="N359" t="str">
        <f t="shared" si="11"/>
        <v>High Risk</v>
      </c>
    </row>
    <row r="360" spans="1:14" x14ac:dyDescent="0.3">
      <c r="A360">
        <v>359</v>
      </c>
      <c r="B360" t="s">
        <v>295</v>
      </c>
      <c r="C360">
        <v>9</v>
      </c>
      <c r="D360" t="s">
        <v>17</v>
      </c>
      <c r="E360">
        <v>10</v>
      </c>
      <c r="F360" s="1">
        <v>45893</v>
      </c>
      <c r="G360" s="1">
        <v>45898</v>
      </c>
      <c r="H360">
        <v>2</v>
      </c>
      <c r="I360" s="3">
        <v>130731.68</v>
      </c>
      <c r="J360" t="str">
        <f>VLOOKUP(H360,Diagnosis!$A:$B,2,FALSE)</f>
        <v>Hypertension</v>
      </c>
      <c r="K360" t="str">
        <f>VLOOKUP(H360,Outcome!A$2:$B$7,2,FALSE)</f>
        <v>Improved</v>
      </c>
      <c r="L360">
        <f t="shared" si="10"/>
        <v>5</v>
      </c>
      <c r="M360" t="str">
        <f>IF(Labs!E360&gt;120,"High","Normal")</f>
        <v>High</v>
      </c>
      <c r="N360" t="str">
        <f t="shared" si="11"/>
        <v>High Risk</v>
      </c>
    </row>
    <row r="361" spans="1:14" x14ac:dyDescent="0.3">
      <c r="A361">
        <v>360</v>
      </c>
      <c r="B361" t="s">
        <v>173</v>
      </c>
      <c r="C361">
        <v>79</v>
      </c>
      <c r="D361" t="s">
        <v>10</v>
      </c>
      <c r="E361">
        <v>4</v>
      </c>
      <c r="F361" s="1">
        <v>44739</v>
      </c>
      <c r="G361" s="1">
        <v>44767</v>
      </c>
      <c r="H361">
        <v>1</v>
      </c>
      <c r="I361" s="3">
        <v>136059.1</v>
      </c>
      <c r="J361" t="str">
        <f>VLOOKUP(H361,Diagnosis!$A:$B,2,FALSE)</f>
        <v>Diabetes</v>
      </c>
      <c r="K361" t="str">
        <f>VLOOKUP(H361,Outcome!A$2:$B$7,2,FALSE)</f>
        <v>Recovered</v>
      </c>
      <c r="L361">
        <f t="shared" si="10"/>
        <v>28</v>
      </c>
      <c r="M361" t="str">
        <f>IF(Labs!E361&gt;120,"High","Normal")</f>
        <v>High</v>
      </c>
      <c r="N361" t="str">
        <f t="shared" si="11"/>
        <v>High Risk</v>
      </c>
    </row>
    <row r="362" spans="1:14" x14ac:dyDescent="0.3">
      <c r="A362">
        <v>361</v>
      </c>
      <c r="B362" t="s">
        <v>296</v>
      </c>
      <c r="C362">
        <v>45</v>
      </c>
      <c r="D362" t="s">
        <v>10</v>
      </c>
      <c r="E362">
        <v>6</v>
      </c>
      <c r="F362" s="1">
        <v>46182</v>
      </c>
      <c r="G362" s="1">
        <v>46186</v>
      </c>
      <c r="H362">
        <v>1</v>
      </c>
      <c r="I362" s="3">
        <v>116920.15</v>
      </c>
      <c r="J362" t="str">
        <f>VLOOKUP(H362,Diagnosis!$A:$B,2,FALSE)</f>
        <v>Diabetes</v>
      </c>
      <c r="K362" t="str">
        <f>VLOOKUP(H362,Outcome!A$2:$B$7,2,FALSE)</f>
        <v>Recovered</v>
      </c>
      <c r="L362">
        <f t="shared" si="10"/>
        <v>4</v>
      </c>
      <c r="M362" t="str">
        <f>IF(Labs!E362&gt;120,"High","Normal")</f>
        <v>High</v>
      </c>
      <c r="N362" t="str">
        <f t="shared" si="11"/>
        <v>low risk</v>
      </c>
    </row>
    <row r="363" spans="1:14" x14ac:dyDescent="0.3">
      <c r="A363">
        <v>362</v>
      </c>
      <c r="B363" t="s">
        <v>247</v>
      </c>
      <c r="C363">
        <v>77</v>
      </c>
      <c r="D363" t="s">
        <v>10</v>
      </c>
      <c r="E363">
        <v>1</v>
      </c>
      <c r="F363" s="1">
        <v>45910</v>
      </c>
      <c r="G363" s="1">
        <v>45938</v>
      </c>
      <c r="H363">
        <v>1</v>
      </c>
      <c r="I363" s="3">
        <v>94400.47</v>
      </c>
      <c r="J363" t="str">
        <f>VLOOKUP(H363,Diagnosis!$A:$B,2,FALSE)</f>
        <v>Diabetes</v>
      </c>
      <c r="K363" t="str">
        <f>VLOOKUP(H363,Outcome!A$2:$B$7,2,FALSE)</f>
        <v>Recovered</v>
      </c>
      <c r="L363">
        <f t="shared" si="10"/>
        <v>28</v>
      </c>
      <c r="M363" t="str">
        <f>IF(Labs!E363&gt;120,"High","Normal")</f>
        <v>High</v>
      </c>
      <c r="N363" t="str">
        <f t="shared" si="11"/>
        <v>High Risk</v>
      </c>
    </row>
    <row r="364" spans="1:14" x14ac:dyDescent="0.3">
      <c r="A364">
        <v>363</v>
      </c>
      <c r="B364" t="s">
        <v>297</v>
      </c>
      <c r="C364">
        <v>51</v>
      </c>
      <c r="D364" t="s">
        <v>10</v>
      </c>
      <c r="E364">
        <v>1</v>
      </c>
      <c r="F364" s="1">
        <v>46167</v>
      </c>
      <c r="G364" s="1">
        <v>46195</v>
      </c>
      <c r="H364">
        <v>4</v>
      </c>
      <c r="I364" s="3">
        <v>44983.040000000001</v>
      </c>
      <c r="J364" t="str">
        <f>VLOOKUP(H364,Diagnosis!$A:$B,2,FALSE)</f>
        <v>Pneumonia</v>
      </c>
      <c r="K364" t="str">
        <f>VLOOKUP(H364,Outcome!A$2:$B$7,2,FALSE)</f>
        <v>Referred</v>
      </c>
      <c r="L364">
        <f t="shared" si="10"/>
        <v>28</v>
      </c>
      <c r="M364" t="str">
        <f>IF(Labs!E364&gt;120,"High","Normal")</f>
        <v>High</v>
      </c>
      <c r="N364" t="str">
        <f t="shared" si="11"/>
        <v>High Risk</v>
      </c>
    </row>
    <row r="365" spans="1:14" x14ac:dyDescent="0.3">
      <c r="A365">
        <v>364</v>
      </c>
      <c r="B365" t="s">
        <v>14</v>
      </c>
      <c r="C365">
        <v>31</v>
      </c>
      <c r="D365" t="s">
        <v>10</v>
      </c>
      <c r="E365">
        <v>10</v>
      </c>
      <c r="F365" s="1">
        <v>44707</v>
      </c>
      <c r="G365" s="1">
        <v>44723</v>
      </c>
      <c r="H365">
        <v>5</v>
      </c>
      <c r="I365" s="3">
        <v>4641.8900000000003</v>
      </c>
      <c r="J365" t="str">
        <f>VLOOKUP(H365,Diagnosis!$A:$B,2,FALSE)</f>
        <v>Heart Disease</v>
      </c>
      <c r="K365" t="str">
        <f>VLOOKUP(H365,Outcome!A$2:$B$7,2,FALSE)</f>
        <v>Readmitted</v>
      </c>
      <c r="L365">
        <f t="shared" si="10"/>
        <v>16</v>
      </c>
      <c r="M365" t="str">
        <f>IF(Labs!E365&gt;120,"High","Normal")</f>
        <v>High</v>
      </c>
      <c r="N365" t="str">
        <f t="shared" si="11"/>
        <v>High Risk</v>
      </c>
    </row>
    <row r="366" spans="1:14" x14ac:dyDescent="0.3">
      <c r="A366">
        <v>365</v>
      </c>
      <c r="B366" t="s">
        <v>298</v>
      </c>
      <c r="C366">
        <v>17</v>
      </c>
      <c r="D366" t="s">
        <v>10</v>
      </c>
      <c r="E366">
        <v>10</v>
      </c>
      <c r="F366" s="1">
        <v>45423</v>
      </c>
      <c r="G366" s="1">
        <v>45434</v>
      </c>
      <c r="H366">
        <v>2</v>
      </c>
      <c r="I366" s="3">
        <v>33166.730000000003</v>
      </c>
      <c r="J366" t="str">
        <f>VLOOKUP(H366,Diagnosis!$A:$B,2,FALSE)</f>
        <v>Hypertension</v>
      </c>
      <c r="K366" t="str">
        <f>VLOOKUP(H366,Outcome!A$2:$B$7,2,FALSE)</f>
        <v>Improved</v>
      </c>
      <c r="L366">
        <f t="shared" si="10"/>
        <v>11</v>
      </c>
      <c r="M366" t="str">
        <f>IF(Labs!E366&gt;120,"High","Normal")</f>
        <v>High</v>
      </c>
      <c r="N366" t="str">
        <f t="shared" si="11"/>
        <v>High Risk</v>
      </c>
    </row>
    <row r="367" spans="1:14" x14ac:dyDescent="0.3">
      <c r="A367">
        <v>366</v>
      </c>
      <c r="B367" t="s">
        <v>299</v>
      </c>
      <c r="C367">
        <v>3</v>
      </c>
      <c r="D367" t="s">
        <v>17</v>
      </c>
      <c r="E367">
        <v>1</v>
      </c>
      <c r="F367" s="1">
        <v>45098</v>
      </c>
      <c r="G367" s="1">
        <v>45104</v>
      </c>
      <c r="H367">
        <v>1</v>
      </c>
      <c r="I367" s="3">
        <v>13233.22</v>
      </c>
      <c r="J367" t="str">
        <f>VLOOKUP(H367,Diagnosis!$A:$B,2,FALSE)</f>
        <v>Diabetes</v>
      </c>
      <c r="K367" t="str">
        <f>VLOOKUP(H367,Outcome!A$2:$B$7,2,FALSE)</f>
        <v>Recovered</v>
      </c>
      <c r="L367">
        <f t="shared" si="10"/>
        <v>6</v>
      </c>
      <c r="M367" t="str">
        <f>IF(Labs!E367&gt;120,"High","Normal")</f>
        <v>High</v>
      </c>
      <c r="N367" t="str">
        <f t="shared" si="11"/>
        <v>low risk</v>
      </c>
    </row>
    <row r="368" spans="1:14" x14ac:dyDescent="0.3">
      <c r="A368">
        <v>367</v>
      </c>
      <c r="B368" t="s">
        <v>158</v>
      </c>
      <c r="C368">
        <v>37</v>
      </c>
      <c r="D368" t="s">
        <v>10</v>
      </c>
      <c r="E368">
        <v>7</v>
      </c>
      <c r="F368" s="1">
        <v>45999</v>
      </c>
      <c r="G368" s="1">
        <v>46011</v>
      </c>
      <c r="H368">
        <v>1</v>
      </c>
      <c r="I368" s="3">
        <v>97740.25</v>
      </c>
      <c r="J368" t="str">
        <f>VLOOKUP(H368,Diagnosis!$A:$B,2,FALSE)</f>
        <v>Diabetes</v>
      </c>
      <c r="K368" t="str">
        <f>VLOOKUP(H368,Outcome!A$2:$B$7,2,FALSE)</f>
        <v>Recovered</v>
      </c>
      <c r="L368">
        <f t="shared" si="10"/>
        <v>12</v>
      </c>
      <c r="M368" t="str">
        <f>IF(Labs!E368&gt;120,"High","Normal")</f>
        <v>High</v>
      </c>
      <c r="N368" t="str">
        <f t="shared" si="11"/>
        <v>low risk</v>
      </c>
    </row>
    <row r="369" spans="1:14" x14ac:dyDescent="0.3">
      <c r="A369">
        <v>368</v>
      </c>
      <c r="B369" t="s">
        <v>300</v>
      </c>
      <c r="C369">
        <v>36</v>
      </c>
      <c r="D369" t="s">
        <v>17</v>
      </c>
      <c r="E369">
        <v>5</v>
      </c>
      <c r="F369" s="1">
        <v>44723</v>
      </c>
      <c r="G369" s="1">
        <v>44739</v>
      </c>
      <c r="H369">
        <v>5</v>
      </c>
      <c r="I369" s="3">
        <v>175440.63</v>
      </c>
      <c r="J369" t="str">
        <f>VLOOKUP(H369,Diagnosis!$A:$B,2,FALSE)</f>
        <v>Heart Disease</v>
      </c>
      <c r="K369" t="str">
        <f>VLOOKUP(H369,Outcome!A$2:$B$7,2,FALSE)</f>
        <v>Readmitted</v>
      </c>
      <c r="L369">
        <f t="shared" si="10"/>
        <v>16</v>
      </c>
      <c r="M369" t="str">
        <f>IF(Labs!E369&gt;120,"High","Normal")</f>
        <v>High</v>
      </c>
      <c r="N369" t="str">
        <f t="shared" si="11"/>
        <v>High Risk</v>
      </c>
    </row>
    <row r="370" spans="1:14" x14ac:dyDescent="0.3">
      <c r="A370">
        <v>369</v>
      </c>
      <c r="B370" t="s">
        <v>301</v>
      </c>
      <c r="C370">
        <v>42</v>
      </c>
      <c r="D370" t="s">
        <v>10</v>
      </c>
      <c r="E370">
        <v>10</v>
      </c>
      <c r="F370" s="1">
        <v>45861</v>
      </c>
      <c r="G370" s="1">
        <v>45885</v>
      </c>
      <c r="H370">
        <v>4</v>
      </c>
      <c r="I370" s="3">
        <v>123387.38</v>
      </c>
      <c r="J370" t="str">
        <f>VLOOKUP(H370,Diagnosis!$A:$B,2,FALSE)</f>
        <v>Pneumonia</v>
      </c>
      <c r="K370" t="str">
        <f>VLOOKUP(H370,Outcome!A$2:$B$7,2,FALSE)</f>
        <v>Referred</v>
      </c>
      <c r="L370">
        <f t="shared" si="10"/>
        <v>24</v>
      </c>
      <c r="M370" t="str">
        <f>IF(Labs!E370&gt;120,"High","Normal")</f>
        <v>High</v>
      </c>
      <c r="N370" t="str">
        <f t="shared" si="11"/>
        <v>High Risk</v>
      </c>
    </row>
    <row r="371" spans="1:14" x14ac:dyDescent="0.3">
      <c r="A371">
        <v>370</v>
      </c>
      <c r="B371" t="s">
        <v>302</v>
      </c>
      <c r="C371">
        <v>90</v>
      </c>
      <c r="D371" t="s">
        <v>10</v>
      </c>
      <c r="E371">
        <v>4</v>
      </c>
      <c r="F371" s="1">
        <v>44680</v>
      </c>
      <c r="G371" s="1">
        <v>44687</v>
      </c>
      <c r="H371">
        <v>1</v>
      </c>
      <c r="I371" s="3">
        <v>79620.84</v>
      </c>
      <c r="J371" t="str">
        <f>VLOOKUP(H371,Diagnosis!$A:$B,2,FALSE)</f>
        <v>Diabetes</v>
      </c>
      <c r="K371" t="str">
        <f>VLOOKUP(H371,Outcome!A$2:$B$7,2,FALSE)</f>
        <v>Recovered</v>
      </c>
      <c r="L371">
        <f t="shared" si="10"/>
        <v>7</v>
      </c>
      <c r="M371" t="str">
        <f>IF(Labs!E371&gt;120,"High","Normal")</f>
        <v>High</v>
      </c>
      <c r="N371" t="str">
        <f t="shared" si="11"/>
        <v>High Risk</v>
      </c>
    </row>
    <row r="372" spans="1:14" x14ac:dyDescent="0.3">
      <c r="A372">
        <v>371</v>
      </c>
      <c r="B372" t="s">
        <v>46</v>
      </c>
      <c r="C372">
        <v>78</v>
      </c>
      <c r="D372" t="s">
        <v>17</v>
      </c>
      <c r="E372">
        <v>5</v>
      </c>
      <c r="F372" s="1">
        <v>45926</v>
      </c>
      <c r="G372" s="1">
        <v>45949</v>
      </c>
      <c r="H372">
        <v>3</v>
      </c>
      <c r="I372" s="3">
        <v>33677.15</v>
      </c>
      <c r="J372" t="str">
        <f>VLOOKUP(H372,Diagnosis!$A:$B,2,FALSE)</f>
        <v>Asthma</v>
      </c>
      <c r="K372" t="str">
        <f>VLOOKUP(H372,Outcome!A$2:$B$7,2,FALSE)</f>
        <v>Ongoing Treatment</v>
      </c>
      <c r="L372">
        <f t="shared" si="10"/>
        <v>23</v>
      </c>
      <c r="M372" t="str">
        <f>IF(Labs!E372&gt;120,"High","Normal")</f>
        <v>High</v>
      </c>
      <c r="N372" t="str">
        <f t="shared" si="11"/>
        <v>High Risk</v>
      </c>
    </row>
    <row r="373" spans="1:14" x14ac:dyDescent="0.3">
      <c r="A373">
        <v>372</v>
      </c>
      <c r="B373" t="s">
        <v>116</v>
      </c>
      <c r="C373">
        <v>90</v>
      </c>
      <c r="D373" t="s">
        <v>17</v>
      </c>
      <c r="E373">
        <v>3</v>
      </c>
      <c r="F373" s="1">
        <v>45578</v>
      </c>
      <c r="G373" s="1">
        <v>45608</v>
      </c>
      <c r="H373">
        <v>1</v>
      </c>
      <c r="I373" s="3">
        <v>94307.05</v>
      </c>
      <c r="J373" t="str">
        <f>VLOOKUP(H373,Diagnosis!$A:$B,2,FALSE)</f>
        <v>Diabetes</v>
      </c>
      <c r="K373" t="str">
        <f>VLOOKUP(H373,Outcome!A$2:$B$7,2,FALSE)</f>
        <v>Recovered</v>
      </c>
      <c r="L373">
        <f t="shared" si="10"/>
        <v>30</v>
      </c>
      <c r="M373" t="str">
        <f>IF(Labs!E373&gt;120,"High","Normal")</f>
        <v>High</v>
      </c>
      <c r="N373" t="str">
        <f t="shared" si="11"/>
        <v>High Risk</v>
      </c>
    </row>
    <row r="374" spans="1:14" x14ac:dyDescent="0.3">
      <c r="A374">
        <v>373</v>
      </c>
      <c r="B374" t="s">
        <v>58</v>
      </c>
      <c r="C374">
        <v>48</v>
      </c>
      <c r="D374" t="s">
        <v>17</v>
      </c>
      <c r="E374">
        <v>5</v>
      </c>
      <c r="F374" s="1">
        <v>46063</v>
      </c>
      <c r="G374" s="1">
        <v>46091</v>
      </c>
      <c r="H374">
        <v>1</v>
      </c>
      <c r="I374" s="3">
        <v>162231.79</v>
      </c>
      <c r="J374" t="str">
        <f>VLOOKUP(H374,Diagnosis!$A:$B,2,FALSE)</f>
        <v>Diabetes</v>
      </c>
      <c r="K374" t="str">
        <f>VLOOKUP(H374,Outcome!A$2:$B$7,2,FALSE)</f>
        <v>Recovered</v>
      </c>
      <c r="L374">
        <f t="shared" si="10"/>
        <v>28</v>
      </c>
      <c r="M374" t="str">
        <f>IF(Labs!E374&gt;120,"High","Normal")</f>
        <v>High</v>
      </c>
      <c r="N374" t="str">
        <f t="shared" si="11"/>
        <v>low risk</v>
      </c>
    </row>
    <row r="375" spans="1:14" x14ac:dyDescent="0.3">
      <c r="A375">
        <v>374</v>
      </c>
      <c r="B375" t="s">
        <v>272</v>
      </c>
      <c r="C375">
        <v>35</v>
      </c>
      <c r="D375" t="s">
        <v>17</v>
      </c>
      <c r="E375">
        <v>5</v>
      </c>
      <c r="F375" s="1">
        <v>46020</v>
      </c>
      <c r="G375" s="1">
        <v>46038</v>
      </c>
      <c r="H375">
        <v>2</v>
      </c>
      <c r="I375" s="3">
        <v>90566.19</v>
      </c>
      <c r="J375" t="str">
        <f>VLOOKUP(H375,Diagnosis!$A:$B,2,FALSE)</f>
        <v>Hypertension</v>
      </c>
      <c r="K375" t="str">
        <f>VLOOKUP(H375,Outcome!A$2:$B$7,2,FALSE)</f>
        <v>Improved</v>
      </c>
      <c r="L375">
        <f t="shared" si="10"/>
        <v>18</v>
      </c>
      <c r="M375" t="str">
        <f>IF(Labs!E375&gt;120,"High","Normal")</f>
        <v>High</v>
      </c>
      <c r="N375" t="str">
        <f t="shared" si="11"/>
        <v>High Risk</v>
      </c>
    </row>
    <row r="376" spans="1:14" x14ac:dyDescent="0.3">
      <c r="A376">
        <v>375</v>
      </c>
      <c r="B376" t="s">
        <v>174</v>
      </c>
      <c r="C376">
        <v>8</v>
      </c>
      <c r="D376" t="s">
        <v>10</v>
      </c>
      <c r="E376">
        <v>10</v>
      </c>
      <c r="F376" s="1">
        <v>44903</v>
      </c>
      <c r="G376" s="1">
        <v>44914</v>
      </c>
      <c r="H376">
        <v>1</v>
      </c>
      <c r="I376" s="3">
        <v>139765.89000000001</v>
      </c>
      <c r="J376" t="str">
        <f>VLOOKUP(H376,Diagnosis!$A:$B,2,FALSE)</f>
        <v>Diabetes</v>
      </c>
      <c r="K376" t="str">
        <f>VLOOKUP(H376,Outcome!A$2:$B$7,2,FALSE)</f>
        <v>Recovered</v>
      </c>
      <c r="L376">
        <f t="shared" si="10"/>
        <v>11</v>
      </c>
      <c r="M376" t="str">
        <f>IF(Labs!E376&gt;120,"High","Normal")</f>
        <v>High</v>
      </c>
      <c r="N376" t="str">
        <f t="shared" si="11"/>
        <v>low risk</v>
      </c>
    </row>
    <row r="377" spans="1:14" x14ac:dyDescent="0.3">
      <c r="A377">
        <v>376</v>
      </c>
      <c r="B377" t="s">
        <v>231</v>
      </c>
      <c r="C377">
        <v>30</v>
      </c>
      <c r="D377" t="s">
        <v>17</v>
      </c>
      <c r="E377">
        <v>1</v>
      </c>
      <c r="F377" s="1">
        <v>44587</v>
      </c>
      <c r="G377" s="1">
        <v>44594</v>
      </c>
      <c r="H377">
        <v>1</v>
      </c>
      <c r="I377" s="3">
        <v>67105.83</v>
      </c>
      <c r="J377" t="str">
        <f>VLOOKUP(H377,Diagnosis!$A:$B,2,FALSE)</f>
        <v>Diabetes</v>
      </c>
      <c r="K377" t="str">
        <f>VLOOKUP(H377,Outcome!A$2:$B$7,2,FALSE)</f>
        <v>Recovered</v>
      </c>
      <c r="L377">
        <f t="shared" si="10"/>
        <v>7</v>
      </c>
      <c r="M377" t="str">
        <f>IF(Labs!E377&gt;120,"High","Normal")</f>
        <v>High</v>
      </c>
      <c r="N377" t="str">
        <f t="shared" si="11"/>
        <v>low risk</v>
      </c>
    </row>
    <row r="378" spans="1:14" x14ac:dyDescent="0.3">
      <c r="A378">
        <v>377</v>
      </c>
      <c r="B378" t="s">
        <v>303</v>
      </c>
      <c r="C378">
        <v>5</v>
      </c>
      <c r="D378" t="s">
        <v>10</v>
      </c>
      <c r="E378">
        <v>4</v>
      </c>
      <c r="F378" s="1">
        <v>45221</v>
      </c>
      <c r="G378" s="1">
        <v>45228</v>
      </c>
      <c r="H378">
        <v>2</v>
      </c>
      <c r="I378" s="3">
        <v>130351.11</v>
      </c>
      <c r="J378" t="str">
        <f>VLOOKUP(H378,Diagnosis!$A:$B,2,FALSE)</f>
        <v>Hypertension</v>
      </c>
      <c r="K378" t="str">
        <f>VLOOKUP(H378,Outcome!A$2:$B$7,2,FALSE)</f>
        <v>Improved</v>
      </c>
      <c r="L378">
        <f t="shared" si="10"/>
        <v>7</v>
      </c>
      <c r="M378" t="str">
        <f>IF(Labs!E378&gt;120,"High","Normal")</f>
        <v>High</v>
      </c>
      <c r="N378" t="str">
        <f t="shared" si="11"/>
        <v>High Risk</v>
      </c>
    </row>
    <row r="379" spans="1:14" x14ac:dyDescent="0.3">
      <c r="A379">
        <v>378</v>
      </c>
      <c r="B379" t="s">
        <v>21</v>
      </c>
      <c r="C379">
        <v>74</v>
      </c>
      <c r="D379" t="s">
        <v>10</v>
      </c>
      <c r="E379">
        <v>2</v>
      </c>
      <c r="F379" s="1">
        <v>45590</v>
      </c>
      <c r="G379" s="1">
        <v>45611</v>
      </c>
      <c r="H379">
        <v>5</v>
      </c>
      <c r="I379" s="3">
        <v>34333.620000000003</v>
      </c>
      <c r="J379" t="str">
        <f>VLOOKUP(H379,Diagnosis!$A:$B,2,FALSE)</f>
        <v>Heart Disease</v>
      </c>
      <c r="K379" t="str">
        <f>VLOOKUP(H379,Outcome!A$2:$B$7,2,FALSE)</f>
        <v>Readmitted</v>
      </c>
      <c r="L379">
        <f t="shared" si="10"/>
        <v>21</v>
      </c>
      <c r="M379" t="str">
        <f>IF(Labs!E379&gt;120,"High","Normal")</f>
        <v>High</v>
      </c>
      <c r="N379" t="str">
        <f t="shared" si="11"/>
        <v>High Risk</v>
      </c>
    </row>
    <row r="380" spans="1:14" x14ac:dyDescent="0.3">
      <c r="A380">
        <v>379</v>
      </c>
      <c r="B380" t="s">
        <v>304</v>
      </c>
      <c r="C380">
        <v>52</v>
      </c>
      <c r="D380" t="s">
        <v>17</v>
      </c>
      <c r="E380">
        <v>8</v>
      </c>
      <c r="F380" s="1">
        <v>45140</v>
      </c>
      <c r="G380" s="1">
        <v>45164</v>
      </c>
      <c r="H380">
        <v>4</v>
      </c>
      <c r="I380" s="3">
        <v>60595.91</v>
      </c>
      <c r="J380" t="str">
        <f>VLOOKUP(H380,Diagnosis!$A:$B,2,FALSE)</f>
        <v>Pneumonia</v>
      </c>
      <c r="K380" t="str">
        <f>VLOOKUP(H380,Outcome!A$2:$B$7,2,FALSE)</f>
        <v>Referred</v>
      </c>
      <c r="L380">
        <f t="shared" si="10"/>
        <v>24</v>
      </c>
      <c r="M380" t="str">
        <f>IF(Labs!E380&gt;120,"High","Normal")</f>
        <v>High</v>
      </c>
      <c r="N380" t="str">
        <f t="shared" si="11"/>
        <v>High Risk</v>
      </c>
    </row>
    <row r="381" spans="1:14" x14ac:dyDescent="0.3">
      <c r="A381">
        <v>380</v>
      </c>
      <c r="B381" t="s">
        <v>305</v>
      </c>
      <c r="C381">
        <v>2</v>
      </c>
      <c r="D381" t="s">
        <v>10</v>
      </c>
      <c r="E381">
        <v>4</v>
      </c>
      <c r="F381" s="1">
        <v>45159</v>
      </c>
      <c r="G381" s="1">
        <v>45177</v>
      </c>
      <c r="H381">
        <v>4</v>
      </c>
      <c r="I381" s="3">
        <v>133774.74</v>
      </c>
      <c r="J381" t="str">
        <f>VLOOKUP(H381,Diagnosis!$A:$B,2,FALSE)</f>
        <v>Pneumonia</v>
      </c>
      <c r="K381" t="str">
        <f>VLOOKUP(H381,Outcome!A$2:$B$7,2,FALSE)</f>
        <v>Referred</v>
      </c>
      <c r="L381">
        <f t="shared" si="10"/>
        <v>18</v>
      </c>
      <c r="M381" t="str">
        <f>IF(Labs!E381&gt;120,"High","Normal")</f>
        <v>High</v>
      </c>
      <c r="N381" t="str">
        <f t="shared" si="11"/>
        <v>High Risk</v>
      </c>
    </row>
    <row r="382" spans="1:14" x14ac:dyDescent="0.3">
      <c r="A382">
        <v>381</v>
      </c>
      <c r="B382" t="s">
        <v>306</v>
      </c>
      <c r="C382">
        <v>48</v>
      </c>
      <c r="D382" t="s">
        <v>10</v>
      </c>
      <c r="E382">
        <v>4</v>
      </c>
      <c r="F382" s="1">
        <v>46062</v>
      </c>
      <c r="G382" s="1">
        <v>46090</v>
      </c>
      <c r="H382">
        <v>2</v>
      </c>
      <c r="I382" s="3">
        <v>143785.29999999999</v>
      </c>
      <c r="J382" t="str">
        <f>VLOOKUP(H382,Diagnosis!$A:$B,2,FALSE)</f>
        <v>Hypertension</v>
      </c>
      <c r="K382" t="str">
        <f>VLOOKUP(H382,Outcome!A$2:$B$7,2,FALSE)</f>
        <v>Improved</v>
      </c>
      <c r="L382">
        <f t="shared" si="10"/>
        <v>28</v>
      </c>
      <c r="M382" t="str">
        <f>IF(Labs!E382&gt;120,"High","Normal")</f>
        <v>High</v>
      </c>
      <c r="N382" t="str">
        <f t="shared" si="11"/>
        <v>High Risk</v>
      </c>
    </row>
    <row r="383" spans="1:14" x14ac:dyDescent="0.3">
      <c r="A383">
        <v>382</v>
      </c>
      <c r="B383" t="s">
        <v>307</v>
      </c>
      <c r="C383">
        <v>53</v>
      </c>
      <c r="D383" t="s">
        <v>17</v>
      </c>
      <c r="E383">
        <v>4</v>
      </c>
      <c r="F383" s="1">
        <v>45671</v>
      </c>
      <c r="G383" s="1">
        <v>45682</v>
      </c>
      <c r="H383">
        <v>2</v>
      </c>
      <c r="I383" s="3">
        <v>125589.29</v>
      </c>
      <c r="J383" t="str">
        <f>VLOOKUP(H383,Diagnosis!$A:$B,2,FALSE)</f>
        <v>Hypertension</v>
      </c>
      <c r="K383" t="str">
        <f>VLOOKUP(H383,Outcome!A$2:$B$7,2,FALSE)</f>
        <v>Improved</v>
      </c>
      <c r="L383">
        <f t="shared" si="10"/>
        <v>11</v>
      </c>
      <c r="M383" t="str">
        <f>IF(Labs!E383&gt;120,"High","Normal")</f>
        <v>High</v>
      </c>
      <c r="N383" t="str">
        <f t="shared" si="11"/>
        <v>High Risk</v>
      </c>
    </row>
    <row r="384" spans="1:14" x14ac:dyDescent="0.3">
      <c r="A384">
        <v>383</v>
      </c>
      <c r="B384" t="s">
        <v>50</v>
      </c>
      <c r="C384">
        <v>1</v>
      </c>
      <c r="D384" t="s">
        <v>10</v>
      </c>
      <c r="E384">
        <v>5</v>
      </c>
      <c r="F384" s="1">
        <v>44774</v>
      </c>
      <c r="G384" s="1">
        <v>44780</v>
      </c>
      <c r="H384">
        <v>2</v>
      </c>
      <c r="I384" s="3">
        <v>44774.75</v>
      </c>
      <c r="J384" t="str">
        <f>VLOOKUP(H384,Diagnosis!$A:$B,2,FALSE)</f>
        <v>Hypertension</v>
      </c>
      <c r="K384" t="str">
        <f>VLOOKUP(H384,Outcome!A$2:$B$7,2,FALSE)</f>
        <v>Improved</v>
      </c>
      <c r="L384">
        <f t="shared" si="10"/>
        <v>6</v>
      </c>
      <c r="M384" t="str">
        <f>IF(Labs!E384&gt;120,"High","Normal")</f>
        <v>High</v>
      </c>
      <c r="N384" t="str">
        <f t="shared" si="11"/>
        <v>High Risk</v>
      </c>
    </row>
    <row r="385" spans="1:14" x14ac:dyDescent="0.3">
      <c r="A385">
        <v>384</v>
      </c>
      <c r="B385" t="s">
        <v>115</v>
      </c>
      <c r="C385">
        <v>19</v>
      </c>
      <c r="D385" t="s">
        <v>10</v>
      </c>
      <c r="E385">
        <v>2</v>
      </c>
      <c r="F385" s="1">
        <v>44651</v>
      </c>
      <c r="G385" s="1">
        <v>44680</v>
      </c>
      <c r="H385">
        <v>1</v>
      </c>
      <c r="I385" s="3">
        <v>152577</v>
      </c>
      <c r="J385" t="str">
        <f>VLOOKUP(H385,Diagnosis!$A:$B,2,FALSE)</f>
        <v>Diabetes</v>
      </c>
      <c r="K385" t="str">
        <f>VLOOKUP(H385,Outcome!A$2:$B$7,2,FALSE)</f>
        <v>Recovered</v>
      </c>
      <c r="L385">
        <f t="shared" si="10"/>
        <v>29</v>
      </c>
      <c r="M385" t="str">
        <f>IF(Labs!E385&gt;120,"High","Normal")</f>
        <v>High</v>
      </c>
      <c r="N385" t="str">
        <f t="shared" si="11"/>
        <v>low risk</v>
      </c>
    </row>
    <row r="386" spans="1:14" x14ac:dyDescent="0.3">
      <c r="A386">
        <v>385</v>
      </c>
      <c r="B386" t="s">
        <v>308</v>
      </c>
      <c r="C386">
        <v>59</v>
      </c>
      <c r="D386" t="s">
        <v>17</v>
      </c>
      <c r="E386">
        <v>10</v>
      </c>
      <c r="F386" s="1">
        <v>44757</v>
      </c>
      <c r="G386" s="1">
        <v>44773</v>
      </c>
      <c r="H386">
        <v>1</v>
      </c>
      <c r="I386" s="3">
        <v>148043.41</v>
      </c>
      <c r="J386" t="str">
        <f>VLOOKUP(H386,Diagnosis!$A:$B,2,FALSE)</f>
        <v>Diabetes</v>
      </c>
      <c r="K386" t="str">
        <f>VLOOKUP(H386,Outcome!A$2:$B$7,2,FALSE)</f>
        <v>Recovered</v>
      </c>
      <c r="L386">
        <f t="shared" si="10"/>
        <v>16</v>
      </c>
      <c r="M386" t="str">
        <f>IF(Labs!E386&gt;120,"High","Normal")</f>
        <v>High</v>
      </c>
      <c r="N386" t="str">
        <f t="shared" si="11"/>
        <v>low risk</v>
      </c>
    </row>
    <row r="387" spans="1:14" x14ac:dyDescent="0.3">
      <c r="A387">
        <v>386</v>
      </c>
      <c r="B387" t="s">
        <v>309</v>
      </c>
      <c r="C387">
        <v>73</v>
      </c>
      <c r="D387" t="s">
        <v>17</v>
      </c>
      <c r="E387">
        <v>7</v>
      </c>
      <c r="F387" s="1">
        <v>45918</v>
      </c>
      <c r="G387" s="1">
        <v>45948</v>
      </c>
      <c r="H387">
        <v>1</v>
      </c>
      <c r="I387" s="3">
        <v>54272.49</v>
      </c>
      <c r="J387" t="str">
        <f>VLOOKUP(H387,Diagnosis!$A:$B,2,FALSE)</f>
        <v>Diabetes</v>
      </c>
      <c r="K387" t="str">
        <f>VLOOKUP(H387,Outcome!A$2:$B$7,2,FALSE)</f>
        <v>Recovered</v>
      </c>
      <c r="L387">
        <f t="shared" ref="L387:L450" si="12">DATEDIF(F387,G387,"d")</f>
        <v>30</v>
      </c>
      <c r="M387" t="str">
        <f>IF(Labs!E387&gt;120,"High","Normal")</f>
        <v>High</v>
      </c>
      <c r="N387" t="str">
        <f t="shared" si="11"/>
        <v>High Risk</v>
      </c>
    </row>
    <row r="388" spans="1:14" x14ac:dyDescent="0.3">
      <c r="A388">
        <v>387</v>
      </c>
      <c r="B388" t="s">
        <v>310</v>
      </c>
      <c r="C388">
        <v>90</v>
      </c>
      <c r="D388" t="s">
        <v>10</v>
      </c>
      <c r="E388">
        <v>6</v>
      </c>
      <c r="F388" s="1">
        <v>45489</v>
      </c>
      <c r="G388" s="1">
        <v>45497</v>
      </c>
      <c r="H388">
        <v>1</v>
      </c>
      <c r="I388" s="3">
        <v>169980.96</v>
      </c>
      <c r="J388" t="str">
        <f>VLOOKUP(H388,Diagnosis!$A:$B,2,FALSE)</f>
        <v>Diabetes</v>
      </c>
      <c r="K388" t="str">
        <f>VLOOKUP(H388,Outcome!A$2:$B$7,2,FALSE)</f>
        <v>Recovered</v>
      </c>
      <c r="L388">
        <f t="shared" si="12"/>
        <v>8</v>
      </c>
      <c r="M388" t="str">
        <f>IF(Labs!E388&gt;120,"High","Normal")</f>
        <v>High</v>
      </c>
      <c r="N388" t="str">
        <f t="shared" ref="N388:N451" si="13">IF(OR(C388&gt;65,H388&lt;&gt;1),"High Risk","low risk")</f>
        <v>High Risk</v>
      </c>
    </row>
    <row r="389" spans="1:14" x14ac:dyDescent="0.3">
      <c r="A389">
        <v>388</v>
      </c>
      <c r="B389" t="s">
        <v>134</v>
      </c>
      <c r="C389">
        <v>14</v>
      </c>
      <c r="D389" t="s">
        <v>17</v>
      </c>
      <c r="E389">
        <v>2</v>
      </c>
      <c r="F389" s="1">
        <v>44898</v>
      </c>
      <c r="G389" s="1">
        <v>44912</v>
      </c>
      <c r="H389">
        <v>2</v>
      </c>
      <c r="I389" s="3">
        <v>74655.98</v>
      </c>
      <c r="J389" t="str">
        <f>VLOOKUP(H389,Diagnosis!$A:$B,2,FALSE)</f>
        <v>Hypertension</v>
      </c>
      <c r="K389" t="str">
        <f>VLOOKUP(H389,Outcome!A$2:$B$7,2,FALSE)</f>
        <v>Improved</v>
      </c>
      <c r="L389">
        <f t="shared" si="12"/>
        <v>14</v>
      </c>
      <c r="M389" t="str">
        <f>IF(Labs!E389&gt;120,"High","Normal")</f>
        <v>High</v>
      </c>
      <c r="N389" t="str">
        <f t="shared" si="13"/>
        <v>High Risk</v>
      </c>
    </row>
    <row r="390" spans="1:14" x14ac:dyDescent="0.3">
      <c r="A390">
        <v>389</v>
      </c>
      <c r="B390" t="s">
        <v>283</v>
      </c>
      <c r="C390">
        <v>27</v>
      </c>
      <c r="D390" t="s">
        <v>10</v>
      </c>
      <c r="E390">
        <v>5</v>
      </c>
      <c r="F390" s="1">
        <v>45510</v>
      </c>
      <c r="G390" s="1">
        <v>45518</v>
      </c>
      <c r="H390">
        <v>5</v>
      </c>
      <c r="I390" s="3">
        <v>18549.71</v>
      </c>
      <c r="J390" t="str">
        <f>VLOOKUP(H390,Diagnosis!$A:$B,2,FALSE)</f>
        <v>Heart Disease</v>
      </c>
      <c r="K390" t="str">
        <f>VLOOKUP(H390,Outcome!A$2:$B$7,2,FALSE)</f>
        <v>Readmitted</v>
      </c>
      <c r="L390">
        <f t="shared" si="12"/>
        <v>8</v>
      </c>
      <c r="M390" t="str">
        <f>IF(Labs!E390&gt;120,"High","Normal")</f>
        <v>High</v>
      </c>
      <c r="N390" t="str">
        <f t="shared" si="13"/>
        <v>High Risk</v>
      </c>
    </row>
    <row r="391" spans="1:14" x14ac:dyDescent="0.3">
      <c r="A391">
        <v>390</v>
      </c>
      <c r="B391" t="s">
        <v>102</v>
      </c>
      <c r="C391">
        <v>6</v>
      </c>
      <c r="D391" t="s">
        <v>17</v>
      </c>
      <c r="E391">
        <v>6</v>
      </c>
      <c r="F391" s="1">
        <v>44865</v>
      </c>
      <c r="G391" s="1">
        <v>44867</v>
      </c>
      <c r="H391">
        <v>3</v>
      </c>
      <c r="I391" s="3">
        <v>174391</v>
      </c>
      <c r="J391" t="str">
        <f>VLOOKUP(H391,Diagnosis!$A:$B,2,FALSE)</f>
        <v>Asthma</v>
      </c>
      <c r="K391" t="str">
        <f>VLOOKUP(H391,Outcome!A$2:$B$7,2,FALSE)</f>
        <v>Ongoing Treatment</v>
      </c>
      <c r="L391">
        <f t="shared" si="12"/>
        <v>2</v>
      </c>
      <c r="M391" t="str">
        <f>IF(Labs!E391&gt;120,"High","Normal")</f>
        <v>High</v>
      </c>
      <c r="N391" t="str">
        <f t="shared" si="13"/>
        <v>High Risk</v>
      </c>
    </row>
    <row r="392" spans="1:14" x14ac:dyDescent="0.3">
      <c r="A392">
        <v>391</v>
      </c>
      <c r="B392" t="s">
        <v>158</v>
      </c>
      <c r="C392">
        <v>7</v>
      </c>
      <c r="D392" t="s">
        <v>10</v>
      </c>
      <c r="E392">
        <v>5</v>
      </c>
      <c r="F392" s="1">
        <v>46241</v>
      </c>
      <c r="G392" s="1">
        <v>46246</v>
      </c>
      <c r="H392">
        <v>1</v>
      </c>
      <c r="I392" s="3">
        <v>74279.62</v>
      </c>
      <c r="J392" t="str">
        <f>VLOOKUP(H392,Diagnosis!$A:$B,2,FALSE)</f>
        <v>Diabetes</v>
      </c>
      <c r="K392" t="str">
        <f>VLOOKUP(H392,Outcome!A$2:$B$7,2,FALSE)</f>
        <v>Recovered</v>
      </c>
      <c r="L392">
        <f t="shared" si="12"/>
        <v>5</v>
      </c>
      <c r="M392" t="str">
        <f>IF(Labs!E392&gt;120,"High","Normal")</f>
        <v>High</v>
      </c>
      <c r="N392" t="str">
        <f t="shared" si="13"/>
        <v>low risk</v>
      </c>
    </row>
    <row r="393" spans="1:14" x14ac:dyDescent="0.3">
      <c r="A393">
        <v>392</v>
      </c>
      <c r="B393" t="s">
        <v>311</v>
      </c>
      <c r="C393">
        <v>71</v>
      </c>
      <c r="D393" t="s">
        <v>17</v>
      </c>
      <c r="E393">
        <v>2</v>
      </c>
      <c r="F393" s="1">
        <v>45508</v>
      </c>
      <c r="G393" s="1">
        <v>45511</v>
      </c>
      <c r="H393">
        <v>4</v>
      </c>
      <c r="I393" s="3">
        <v>27313.26</v>
      </c>
      <c r="J393" t="str">
        <f>VLOOKUP(H393,Diagnosis!$A:$B,2,FALSE)</f>
        <v>Pneumonia</v>
      </c>
      <c r="K393" t="str">
        <f>VLOOKUP(H393,Outcome!A$2:$B$7,2,FALSE)</f>
        <v>Referred</v>
      </c>
      <c r="L393">
        <f t="shared" si="12"/>
        <v>3</v>
      </c>
      <c r="M393" t="str">
        <f>IF(Labs!E393&gt;120,"High","Normal")</f>
        <v>High</v>
      </c>
      <c r="N393" t="str">
        <f t="shared" si="13"/>
        <v>High Risk</v>
      </c>
    </row>
    <row r="394" spans="1:14" x14ac:dyDescent="0.3">
      <c r="A394">
        <v>393</v>
      </c>
      <c r="B394" t="s">
        <v>312</v>
      </c>
      <c r="C394">
        <v>29</v>
      </c>
      <c r="D394" t="s">
        <v>17</v>
      </c>
      <c r="E394">
        <v>4</v>
      </c>
      <c r="F394" s="1">
        <v>46248</v>
      </c>
      <c r="G394" s="1">
        <v>46260</v>
      </c>
      <c r="H394">
        <v>2</v>
      </c>
      <c r="I394" s="3">
        <v>114377.81</v>
      </c>
      <c r="J394" t="str">
        <f>VLOOKUP(H394,Diagnosis!$A:$B,2,FALSE)</f>
        <v>Hypertension</v>
      </c>
      <c r="K394" t="str">
        <f>VLOOKUP(H394,Outcome!A$2:$B$7,2,FALSE)</f>
        <v>Improved</v>
      </c>
      <c r="L394">
        <f t="shared" si="12"/>
        <v>12</v>
      </c>
      <c r="M394" t="str">
        <f>IF(Labs!E394&gt;120,"High","Normal")</f>
        <v>High</v>
      </c>
      <c r="N394" t="str">
        <f t="shared" si="13"/>
        <v>High Risk</v>
      </c>
    </row>
    <row r="395" spans="1:14" x14ac:dyDescent="0.3">
      <c r="A395">
        <v>394</v>
      </c>
      <c r="B395" t="s">
        <v>313</v>
      </c>
      <c r="C395">
        <v>76</v>
      </c>
      <c r="D395" t="s">
        <v>10</v>
      </c>
      <c r="E395">
        <v>2</v>
      </c>
      <c r="F395" s="1">
        <v>44606</v>
      </c>
      <c r="G395" s="1">
        <v>44608</v>
      </c>
      <c r="H395">
        <v>1</v>
      </c>
      <c r="I395" s="3">
        <v>117162.67</v>
      </c>
      <c r="J395" t="str">
        <f>VLOOKUP(H395,Diagnosis!$A:$B,2,FALSE)</f>
        <v>Diabetes</v>
      </c>
      <c r="K395" t="str">
        <f>VLOOKUP(H395,Outcome!A$2:$B$7,2,FALSE)</f>
        <v>Recovered</v>
      </c>
      <c r="L395">
        <f t="shared" si="12"/>
        <v>2</v>
      </c>
      <c r="M395" t="str">
        <f>IF(Labs!E395&gt;120,"High","Normal")</f>
        <v>High</v>
      </c>
      <c r="N395" t="str">
        <f t="shared" si="13"/>
        <v>High Risk</v>
      </c>
    </row>
    <row r="396" spans="1:14" x14ac:dyDescent="0.3">
      <c r="A396">
        <v>395</v>
      </c>
      <c r="B396" t="s">
        <v>260</v>
      </c>
      <c r="C396">
        <v>43</v>
      </c>
      <c r="D396" t="s">
        <v>17</v>
      </c>
      <c r="E396">
        <v>1</v>
      </c>
      <c r="F396" s="1">
        <v>45506</v>
      </c>
      <c r="G396" s="1">
        <v>45507</v>
      </c>
      <c r="H396">
        <v>1</v>
      </c>
      <c r="I396" s="3">
        <v>104364.45</v>
      </c>
      <c r="J396" t="str">
        <f>VLOOKUP(H396,Diagnosis!$A:$B,2,FALSE)</f>
        <v>Diabetes</v>
      </c>
      <c r="K396" t="str">
        <f>VLOOKUP(H396,Outcome!A$2:$B$7,2,FALSE)</f>
        <v>Recovered</v>
      </c>
      <c r="L396">
        <f t="shared" si="12"/>
        <v>1</v>
      </c>
      <c r="M396" t="str">
        <f>IF(Labs!E396&gt;120,"High","Normal")</f>
        <v>High</v>
      </c>
      <c r="N396" t="str">
        <f t="shared" si="13"/>
        <v>low risk</v>
      </c>
    </row>
    <row r="397" spans="1:14" x14ac:dyDescent="0.3">
      <c r="A397">
        <v>396</v>
      </c>
      <c r="B397" t="s">
        <v>289</v>
      </c>
      <c r="C397">
        <v>4</v>
      </c>
      <c r="D397" t="s">
        <v>10</v>
      </c>
      <c r="E397">
        <v>7</v>
      </c>
      <c r="F397" s="1">
        <v>44915</v>
      </c>
      <c r="G397" s="1">
        <v>44926</v>
      </c>
      <c r="H397">
        <v>1</v>
      </c>
      <c r="I397" s="3">
        <v>35719.32</v>
      </c>
      <c r="J397" t="str">
        <f>VLOOKUP(H397,Diagnosis!$A:$B,2,FALSE)</f>
        <v>Diabetes</v>
      </c>
      <c r="K397" t="str">
        <f>VLOOKUP(H397,Outcome!A$2:$B$7,2,FALSE)</f>
        <v>Recovered</v>
      </c>
      <c r="L397">
        <f t="shared" si="12"/>
        <v>11</v>
      </c>
      <c r="M397" t="str">
        <f>IF(Labs!E397&gt;120,"High","Normal")</f>
        <v>High</v>
      </c>
      <c r="N397" t="str">
        <f t="shared" si="13"/>
        <v>low risk</v>
      </c>
    </row>
    <row r="398" spans="1:14" x14ac:dyDescent="0.3">
      <c r="A398">
        <v>397</v>
      </c>
      <c r="B398" t="s">
        <v>314</v>
      </c>
      <c r="C398">
        <v>20</v>
      </c>
      <c r="D398" t="s">
        <v>17</v>
      </c>
      <c r="E398">
        <v>10</v>
      </c>
      <c r="F398" s="1">
        <v>45830</v>
      </c>
      <c r="G398" s="1">
        <v>45849</v>
      </c>
      <c r="H398">
        <v>1</v>
      </c>
      <c r="I398" s="3">
        <v>54881.17</v>
      </c>
      <c r="J398" t="str">
        <f>VLOOKUP(H398,Diagnosis!$A:$B,2,FALSE)</f>
        <v>Diabetes</v>
      </c>
      <c r="K398" t="str">
        <f>VLOOKUP(H398,Outcome!A$2:$B$7,2,FALSE)</f>
        <v>Recovered</v>
      </c>
      <c r="L398">
        <f t="shared" si="12"/>
        <v>19</v>
      </c>
      <c r="M398" t="str">
        <f>IF(Labs!E398&gt;120,"High","Normal")</f>
        <v>High</v>
      </c>
      <c r="N398" t="str">
        <f t="shared" si="13"/>
        <v>low risk</v>
      </c>
    </row>
    <row r="399" spans="1:14" x14ac:dyDescent="0.3">
      <c r="A399">
        <v>398</v>
      </c>
      <c r="B399" t="s">
        <v>244</v>
      </c>
      <c r="C399">
        <v>62</v>
      </c>
      <c r="D399" t="s">
        <v>17</v>
      </c>
      <c r="E399">
        <v>2</v>
      </c>
      <c r="F399" s="1">
        <v>45134</v>
      </c>
      <c r="G399" s="1">
        <v>45146</v>
      </c>
      <c r="H399">
        <v>1</v>
      </c>
      <c r="I399" s="3">
        <v>37903.760000000002</v>
      </c>
      <c r="J399" t="str">
        <f>VLOOKUP(H399,Diagnosis!$A:$B,2,FALSE)</f>
        <v>Diabetes</v>
      </c>
      <c r="K399" t="str">
        <f>VLOOKUP(H399,Outcome!A$2:$B$7,2,FALSE)</f>
        <v>Recovered</v>
      </c>
      <c r="L399">
        <f t="shared" si="12"/>
        <v>12</v>
      </c>
      <c r="M399" t="str">
        <f>IF(Labs!E399&gt;120,"High","Normal")</f>
        <v>High</v>
      </c>
      <c r="N399" t="str">
        <f t="shared" si="13"/>
        <v>low risk</v>
      </c>
    </row>
    <row r="400" spans="1:14" x14ac:dyDescent="0.3">
      <c r="A400">
        <v>399</v>
      </c>
      <c r="B400" t="s">
        <v>315</v>
      </c>
      <c r="C400">
        <v>81</v>
      </c>
      <c r="D400" t="s">
        <v>17</v>
      </c>
      <c r="E400">
        <v>7</v>
      </c>
      <c r="F400" s="1">
        <v>46163</v>
      </c>
      <c r="G400" s="1">
        <v>46185</v>
      </c>
      <c r="H400">
        <v>2</v>
      </c>
      <c r="I400" s="3">
        <v>99151.91</v>
      </c>
      <c r="J400" t="str">
        <f>VLOOKUP(H400,Diagnosis!$A:$B,2,FALSE)</f>
        <v>Hypertension</v>
      </c>
      <c r="K400" t="str">
        <f>VLOOKUP(H400,Outcome!A$2:$B$7,2,FALSE)</f>
        <v>Improved</v>
      </c>
      <c r="L400">
        <f t="shared" si="12"/>
        <v>22</v>
      </c>
      <c r="M400" t="str">
        <f>IF(Labs!E400&gt;120,"High","Normal")</f>
        <v>High</v>
      </c>
      <c r="N400" t="str">
        <f t="shared" si="13"/>
        <v>High Risk</v>
      </c>
    </row>
    <row r="401" spans="1:14" x14ac:dyDescent="0.3">
      <c r="A401">
        <v>400</v>
      </c>
      <c r="B401" t="s">
        <v>316</v>
      </c>
      <c r="C401">
        <v>73</v>
      </c>
      <c r="D401" t="s">
        <v>10</v>
      </c>
      <c r="E401">
        <v>7</v>
      </c>
      <c r="F401" s="1">
        <v>45115</v>
      </c>
      <c r="G401" s="1">
        <v>45120</v>
      </c>
      <c r="H401">
        <v>1</v>
      </c>
      <c r="I401" s="3">
        <v>108488.15</v>
      </c>
      <c r="J401" t="str">
        <f>VLOOKUP(H401,Diagnosis!$A:$B,2,FALSE)</f>
        <v>Diabetes</v>
      </c>
      <c r="K401" t="str">
        <f>VLOOKUP(H401,Outcome!A$2:$B$7,2,FALSE)</f>
        <v>Recovered</v>
      </c>
      <c r="L401">
        <f t="shared" si="12"/>
        <v>5</v>
      </c>
      <c r="M401" t="str">
        <f>IF(Labs!E401&gt;120,"High","Normal")</f>
        <v>High</v>
      </c>
      <c r="N401" t="str">
        <f t="shared" si="13"/>
        <v>High Risk</v>
      </c>
    </row>
    <row r="402" spans="1:14" x14ac:dyDescent="0.3">
      <c r="A402">
        <v>401</v>
      </c>
      <c r="B402" t="s">
        <v>317</v>
      </c>
      <c r="C402">
        <v>8</v>
      </c>
      <c r="D402" t="s">
        <v>10</v>
      </c>
      <c r="E402">
        <v>9</v>
      </c>
      <c r="F402" s="1">
        <v>45294</v>
      </c>
      <c r="G402" s="1">
        <v>45318</v>
      </c>
      <c r="H402">
        <v>2</v>
      </c>
      <c r="I402" s="3">
        <v>43815.28</v>
      </c>
      <c r="J402" t="str">
        <f>VLOOKUP(H402,Diagnosis!$A:$B,2,FALSE)</f>
        <v>Hypertension</v>
      </c>
      <c r="K402" t="str">
        <f>VLOOKUP(H402,Outcome!A$2:$B$7,2,FALSE)</f>
        <v>Improved</v>
      </c>
      <c r="L402">
        <f t="shared" si="12"/>
        <v>24</v>
      </c>
      <c r="M402" t="str">
        <f>IF(Labs!E402&gt;120,"High","Normal")</f>
        <v>High</v>
      </c>
      <c r="N402" t="str">
        <f t="shared" si="13"/>
        <v>High Risk</v>
      </c>
    </row>
    <row r="403" spans="1:14" x14ac:dyDescent="0.3">
      <c r="A403">
        <v>402</v>
      </c>
      <c r="B403" t="s">
        <v>318</v>
      </c>
      <c r="C403">
        <v>32</v>
      </c>
      <c r="D403" t="s">
        <v>17</v>
      </c>
      <c r="E403">
        <v>5</v>
      </c>
      <c r="F403" s="1">
        <v>45654</v>
      </c>
      <c r="G403" s="1">
        <v>45680</v>
      </c>
      <c r="H403">
        <v>4</v>
      </c>
      <c r="I403" s="3">
        <v>133328.17000000001</v>
      </c>
      <c r="J403" t="str">
        <f>VLOOKUP(H403,Diagnosis!$A:$B,2,FALSE)</f>
        <v>Pneumonia</v>
      </c>
      <c r="K403" t="str">
        <f>VLOOKUP(H403,Outcome!A$2:$B$7,2,FALSE)</f>
        <v>Referred</v>
      </c>
      <c r="L403">
        <f t="shared" si="12"/>
        <v>26</v>
      </c>
      <c r="M403" t="str">
        <f>IF(Labs!E403&gt;120,"High","Normal")</f>
        <v>High</v>
      </c>
      <c r="N403" t="str">
        <f t="shared" si="13"/>
        <v>High Risk</v>
      </c>
    </row>
    <row r="404" spans="1:14" x14ac:dyDescent="0.3">
      <c r="A404">
        <v>403</v>
      </c>
      <c r="B404" t="s">
        <v>319</v>
      </c>
      <c r="C404">
        <v>50</v>
      </c>
      <c r="D404" t="s">
        <v>10</v>
      </c>
      <c r="E404">
        <v>3</v>
      </c>
      <c r="F404" s="1">
        <v>44922</v>
      </c>
      <c r="G404" s="1">
        <v>44929</v>
      </c>
      <c r="H404">
        <v>2</v>
      </c>
      <c r="I404" s="3">
        <v>145602.32</v>
      </c>
      <c r="J404" t="str">
        <f>VLOOKUP(H404,Diagnosis!$A:$B,2,FALSE)</f>
        <v>Hypertension</v>
      </c>
      <c r="K404" t="str">
        <f>VLOOKUP(H404,Outcome!A$2:$B$7,2,FALSE)</f>
        <v>Improved</v>
      </c>
      <c r="L404">
        <f t="shared" si="12"/>
        <v>7</v>
      </c>
      <c r="M404" t="str">
        <f>IF(Labs!E404&gt;120,"High","Normal")</f>
        <v>High</v>
      </c>
      <c r="N404" t="str">
        <f t="shared" si="13"/>
        <v>High Risk</v>
      </c>
    </row>
    <row r="405" spans="1:14" x14ac:dyDescent="0.3">
      <c r="A405">
        <v>404</v>
      </c>
      <c r="B405" t="s">
        <v>320</v>
      </c>
      <c r="C405">
        <v>4</v>
      </c>
      <c r="D405" t="s">
        <v>10</v>
      </c>
      <c r="E405">
        <v>10</v>
      </c>
      <c r="F405" s="1">
        <v>45716</v>
      </c>
      <c r="G405" s="1">
        <v>45720</v>
      </c>
      <c r="H405">
        <v>2</v>
      </c>
      <c r="I405" s="3">
        <v>35911.480000000003</v>
      </c>
      <c r="J405" t="str">
        <f>VLOOKUP(H405,Diagnosis!$A:$B,2,FALSE)</f>
        <v>Hypertension</v>
      </c>
      <c r="K405" t="str">
        <f>VLOOKUP(H405,Outcome!A$2:$B$7,2,FALSE)</f>
        <v>Improved</v>
      </c>
      <c r="L405">
        <f t="shared" si="12"/>
        <v>4</v>
      </c>
      <c r="M405" t="str">
        <f>IF(Labs!E405&gt;120,"High","Normal")</f>
        <v>High</v>
      </c>
      <c r="N405" t="str">
        <f t="shared" si="13"/>
        <v>High Risk</v>
      </c>
    </row>
    <row r="406" spans="1:14" x14ac:dyDescent="0.3">
      <c r="A406">
        <v>405</v>
      </c>
      <c r="B406" t="s">
        <v>279</v>
      </c>
      <c r="C406">
        <v>40</v>
      </c>
      <c r="D406" t="s">
        <v>17</v>
      </c>
      <c r="E406">
        <v>8</v>
      </c>
      <c r="F406" s="1">
        <v>44639</v>
      </c>
      <c r="G406" s="1">
        <v>44641</v>
      </c>
      <c r="H406">
        <v>1</v>
      </c>
      <c r="I406" s="3">
        <v>109295.14</v>
      </c>
      <c r="J406" t="str">
        <f>VLOOKUP(H406,Diagnosis!$A:$B,2,FALSE)</f>
        <v>Diabetes</v>
      </c>
      <c r="K406" t="str">
        <f>VLOOKUP(H406,Outcome!A$2:$B$7,2,FALSE)</f>
        <v>Recovered</v>
      </c>
      <c r="L406">
        <f t="shared" si="12"/>
        <v>2</v>
      </c>
      <c r="M406" t="str">
        <f>IF(Labs!E406&gt;120,"High","Normal")</f>
        <v>High</v>
      </c>
      <c r="N406" t="str">
        <f t="shared" si="13"/>
        <v>low risk</v>
      </c>
    </row>
    <row r="407" spans="1:14" x14ac:dyDescent="0.3">
      <c r="A407">
        <v>406</v>
      </c>
      <c r="B407" t="s">
        <v>321</v>
      </c>
      <c r="C407">
        <v>62</v>
      </c>
      <c r="D407" t="s">
        <v>17</v>
      </c>
      <c r="E407">
        <v>6</v>
      </c>
      <c r="F407" s="1">
        <v>45819</v>
      </c>
      <c r="G407" s="1">
        <v>45825</v>
      </c>
      <c r="H407">
        <v>4</v>
      </c>
      <c r="I407" s="3">
        <v>62984.73</v>
      </c>
      <c r="J407" t="str">
        <f>VLOOKUP(H407,Diagnosis!$A:$B,2,FALSE)</f>
        <v>Pneumonia</v>
      </c>
      <c r="K407" t="str">
        <f>VLOOKUP(H407,Outcome!A$2:$B$7,2,FALSE)</f>
        <v>Referred</v>
      </c>
      <c r="L407">
        <f t="shared" si="12"/>
        <v>6</v>
      </c>
      <c r="M407" t="str">
        <f>IF(Labs!E407&gt;120,"High","Normal")</f>
        <v>High</v>
      </c>
      <c r="N407" t="str">
        <f t="shared" si="13"/>
        <v>High Risk</v>
      </c>
    </row>
    <row r="408" spans="1:14" x14ac:dyDescent="0.3">
      <c r="A408">
        <v>407</v>
      </c>
      <c r="B408" t="s">
        <v>322</v>
      </c>
      <c r="C408">
        <v>8</v>
      </c>
      <c r="D408" t="s">
        <v>17</v>
      </c>
      <c r="E408">
        <v>3</v>
      </c>
      <c r="F408" s="1">
        <v>45763</v>
      </c>
      <c r="G408" s="1">
        <v>45785</v>
      </c>
      <c r="H408">
        <v>5</v>
      </c>
      <c r="I408" s="3">
        <v>139950.04999999999</v>
      </c>
      <c r="J408" t="str">
        <f>VLOOKUP(H408,Diagnosis!$A:$B,2,FALSE)</f>
        <v>Heart Disease</v>
      </c>
      <c r="K408" t="str">
        <f>VLOOKUP(H408,Outcome!A$2:$B$7,2,FALSE)</f>
        <v>Readmitted</v>
      </c>
      <c r="L408">
        <f t="shared" si="12"/>
        <v>22</v>
      </c>
      <c r="M408" t="str">
        <f>IF(Labs!E408&gt;120,"High","Normal")</f>
        <v>High</v>
      </c>
      <c r="N408" t="str">
        <f t="shared" si="13"/>
        <v>High Risk</v>
      </c>
    </row>
    <row r="409" spans="1:14" x14ac:dyDescent="0.3">
      <c r="A409">
        <v>408</v>
      </c>
      <c r="B409" t="s">
        <v>195</v>
      </c>
      <c r="C409">
        <v>10</v>
      </c>
      <c r="D409" t="s">
        <v>10</v>
      </c>
      <c r="E409">
        <v>7</v>
      </c>
      <c r="F409" s="1">
        <v>45762</v>
      </c>
      <c r="G409" s="1">
        <v>45765</v>
      </c>
      <c r="H409">
        <v>1</v>
      </c>
      <c r="I409" s="3">
        <v>59762.07</v>
      </c>
      <c r="J409" t="str">
        <f>VLOOKUP(H409,Diagnosis!$A:$B,2,FALSE)</f>
        <v>Diabetes</v>
      </c>
      <c r="K409" t="str">
        <f>VLOOKUP(H409,Outcome!A$2:$B$7,2,FALSE)</f>
        <v>Recovered</v>
      </c>
      <c r="L409">
        <f t="shared" si="12"/>
        <v>3</v>
      </c>
      <c r="M409" t="str">
        <f>IF(Labs!E409&gt;120,"High","Normal")</f>
        <v>High</v>
      </c>
      <c r="N409" t="str">
        <f t="shared" si="13"/>
        <v>low risk</v>
      </c>
    </row>
    <row r="410" spans="1:14" x14ac:dyDescent="0.3">
      <c r="A410">
        <v>409</v>
      </c>
      <c r="B410" t="s">
        <v>13</v>
      </c>
      <c r="C410">
        <v>82</v>
      </c>
      <c r="D410" t="s">
        <v>10</v>
      </c>
      <c r="E410">
        <v>6</v>
      </c>
      <c r="F410" s="1">
        <v>44918</v>
      </c>
      <c r="G410" s="1">
        <v>44940</v>
      </c>
      <c r="H410">
        <v>6</v>
      </c>
      <c r="I410" s="3">
        <v>125606.97</v>
      </c>
      <c r="J410" t="str">
        <f>VLOOKUP(H410,Diagnosis!$A:$B,2,FALSE)</f>
        <v>Kidney Disease</v>
      </c>
      <c r="K410" t="str">
        <f>VLOOKUP(H410,Outcome!A$2:$B$7,2,FALSE)</f>
        <v>Deceased</v>
      </c>
      <c r="L410">
        <f t="shared" si="12"/>
        <v>22</v>
      </c>
      <c r="M410" t="str">
        <f>IF(Labs!E410&gt;120,"High","Normal")</f>
        <v>High</v>
      </c>
      <c r="N410" t="str">
        <f t="shared" si="13"/>
        <v>High Risk</v>
      </c>
    </row>
    <row r="411" spans="1:14" x14ac:dyDescent="0.3">
      <c r="A411">
        <v>410</v>
      </c>
      <c r="B411" t="s">
        <v>323</v>
      </c>
      <c r="C411">
        <v>29</v>
      </c>
      <c r="D411" t="s">
        <v>17</v>
      </c>
      <c r="E411">
        <v>7</v>
      </c>
      <c r="F411" s="1">
        <v>45190</v>
      </c>
      <c r="G411" s="1">
        <v>45213</v>
      </c>
      <c r="H411">
        <v>3</v>
      </c>
      <c r="I411" s="3">
        <v>25104.33</v>
      </c>
      <c r="J411" t="str">
        <f>VLOOKUP(H411,Diagnosis!$A:$B,2,FALSE)</f>
        <v>Asthma</v>
      </c>
      <c r="K411" t="str">
        <f>VLOOKUP(H411,Outcome!A$2:$B$7,2,FALSE)</f>
        <v>Ongoing Treatment</v>
      </c>
      <c r="L411">
        <f t="shared" si="12"/>
        <v>23</v>
      </c>
      <c r="M411" t="str">
        <f>IF(Labs!E411&gt;120,"High","Normal")</f>
        <v>High</v>
      </c>
      <c r="N411" t="str">
        <f t="shared" si="13"/>
        <v>High Risk</v>
      </c>
    </row>
    <row r="412" spans="1:14" x14ac:dyDescent="0.3">
      <c r="A412">
        <v>411</v>
      </c>
      <c r="B412" t="s">
        <v>324</v>
      </c>
      <c r="C412">
        <v>51</v>
      </c>
      <c r="D412" t="s">
        <v>17</v>
      </c>
      <c r="E412">
        <v>3</v>
      </c>
      <c r="F412" s="1">
        <v>45795</v>
      </c>
      <c r="G412" s="1">
        <v>45805</v>
      </c>
      <c r="H412">
        <v>5</v>
      </c>
      <c r="I412" s="3">
        <v>174236.87</v>
      </c>
      <c r="J412" t="str">
        <f>VLOOKUP(H412,Diagnosis!$A:$B,2,FALSE)</f>
        <v>Heart Disease</v>
      </c>
      <c r="K412" t="str">
        <f>VLOOKUP(H412,Outcome!A$2:$B$7,2,FALSE)</f>
        <v>Readmitted</v>
      </c>
      <c r="L412">
        <f t="shared" si="12"/>
        <v>10</v>
      </c>
      <c r="M412" t="str">
        <f>IF(Labs!E412&gt;120,"High","Normal")</f>
        <v>High</v>
      </c>
      <c r="N412" t="str">
        <f t="shared" si="13"/>
        <v>High Risk</v>
      </c>
    </row>
    <row r="413" spans="1:14" x14ac:dyDescent="0.3">
      <c r="A413">
        <v>412</v>
      </c>
      <c r="B413" t="s">
        <v>319</v>
      </c>
      <c r="C413">
        <v>14</v>
      </c>
      <c r="D413" t="s">
        <v>10</v>
      </c>
      <c r="E413">
        <v>3</v>
      </c>
      <c r="F413" s="1">
        <v>45240</v>
      </c>
      <c r="G413" s="1">
        <v>45263</v>
      </c>
      <c r="H413">
        <v>1</v>
      </c>
      <c r="I413" s="3">
        <v>64058.8</v>
      </c>
      <c r="J413" t="str">
        <f>VLOOKUP(H413,Diagnosis!$A:$B,2,FALSE)</f>
        <v>Diabetes</v>
      </c>
      <c r="K413" t="str">
        <f>VLOOKUP(H413,Outcome!A$2:$B$7,2,FALSE)</f>
        <v>Recovered</v>
      </c>
      <c r="L413">
        <f t="shared" si="12"/>
        <v>23</v>
      </c>
      <c r="M413" t="str">
        <f>IF(Labs!E413&gt;120,"High","Normal")</f>
        <v>High</v>
      </c>
      <c r="N413" t="str">
        <f t="shared" si="13"/>
        <v>low risk</v>
      </c>
    </row>
    <row r="414" spans="1:14" x14ac:dyDescent="0.3">
      <c r="A414">
        <v>413</v>
      </c>
      <c r="B414" t="s">
        <v>325</v>
      </c>
      <c r="C414">
        <v>82</v>
      </c>
      <c r="D414" t="s">
        <v>17</v>
      </c>
      <c r="E414">
        <v>6</v>
      </c>
      <c r="F414" s="1">
        <v>45476</v>
      </c>
      <c r="G414" s="1">
        <v>45476</v>
      </c>
      <c r="H414">
        <v>1</v>
      </c>
      <c r="I414" s="3">
        <v>46793.5</v>
      </c>
      <c r="J414" t="str">
        <f>VLOOKUP(H414,Diagnosis!$A:$B,2,FALSE)</f>
        <v>Diabetes</v>
      </c>
      <c r="K414" t="str">
        <f>VLOOKUP(H414,Outcome!A$2:$B$7,2,FALSE)</f>
        <v>Recovered</v>
      </c>
      <c r="L414">
        <f t="shared" si="12"/>
        <v>0</v>
      </c>
      <c r="M414" t="str">
        <f>IF(Labs!E414&gt;120,"High","Normal")</f>
        <v>High</v>
      </c>
      <c r="N414" t="str">
        <f t="shared" si="13"/>
        <v>High Risk</v>
      </c>
    </row>
    <row r="415" spans="1:14" x14ac:dyDescent="0.3">
      <c r="A415">
        <v>414</v>
      </c>
      <c r="B415" t="s">
        <v>178</v>
      </c>
      <c r="C415">
        <v>33</v>
      </c>
      <c r="D415" t="s">
        <v>17</v>
      </c>
      <c r="E415">
        <v>1</v>
      </c>
      <c r="F415" s="1">
        <v>44660</v>
      </c>
      <c r="G415" s="1">
        <v>44672</v>
      </c>
      <c r="H415">
        <v>2</v>
      </c>
      <c r="I415" s="3">
        <v>76988.45</v>
      </c>
      <c r="J415" t="str">
        <f>VLOOKUP(H415,Diagnosis!$A:$B,2,FALSE)</f>
        <v>Hypertension</v>
      </c>
      <c r="K415" t="str">
        <f>VLOOKUP(H415,Outcome!A$2:$B$7,2,FALSE)</f>
        <v>Improved</v>
      </c>
      <c r="L415">
        <f t="shared" si="12"/>
        <v>12</v>
      </c>
      <c r="M415" t="str">
        <f>IF(Labs!E415&gt;120,"High","Normal")</f>
        <v>High</v>
      </c>
      <c r="N415" t="str">
        <f t="shared" si="13"/>
        <v>High Risk</v>
      </c>
    </row>
    <row r="416" spans="1:14" x14ac:dyDescent="0.3">
      <c r="A416">
        <v>415</v>
      </c>
      <c r="B416" t="s">
        <v>13</v>
      </c>
      <c r="C416">
        <v>64</v>
      </c>
      <c r="D416" t="s">
        <v>10</v>
      </c>
      <c r="E416">
        <v>6</v>
      </c>
      <c r="F416" s="1">
        <v>45680</v>
      </c>
      <c r="G416" s="1">
        <v>45692</v>
      </c>
      <c r="H416">
        <v>1</v>
      </c>
      <c r="I416" s="3">
        <v>87609.34</v>
      </c>
      <c r="J416" t="str">
        <f>VLOOKUP(H416,Diagnosis!$A:$B,2,FALSE)</f>
        <v>Diabetes</v>
      </c>
      <c r="K416" t="str">
        <f>VLOOKUP(H416,Outcome!A$2:$B$7,2,FALSE)</f>
        <v>Recovered</v>
      </c>
      <c r="L416">
        <f t="shared" si="12"/>
        <v>12</v>
      </c>
      <c r="M416" t="str">
        <f>IF(Labs!E416&gt;120,"High","Normal")</f>
        <v>High</v>
      </c>
      <c r="N416" t="str">
        <f t="shared" si="13"/>
        <v>low risk</v>
      </c>
    </row>
    <row r="417" spans="1:14" x14ac:dyDescent="0.3">
      <c r="A417">
        <v>416</v>
      </c>
      <c r="B417" t="s">
        <v>326</v>
      </c>
      <c r="C417">
        <v>21</v>
      </c>
      <c r="D417" t="s">
        <v>10</v>
      </c>
      <c r="E417">
        <v>2</v>
      </c>
      <c r="F417" s="1">
        <v>46198</v>
      </c>
      <c r="G417" s="1">
        <v>46225</v>
      </c>
      <c r="H417">
        <v>1</v>
      </c>
      <c r="I417" s="3">
        <v>6063.84</v>
      </c>
      <c r="J417" t="str">
        <f>VLOOKUP(H417,Diagnosis!$A:$B,2,FALSE)</f>
        <v>Diabetes</v>
      </c>
      <c r="K417" t="str">
        <f>VLOOKUP(H417,Outcome!A$2:$B$7,2,FALSE)</f>
        <v>Recovered</v>
      </c>
      <c r="L417">
        <f t="shared" si="12"/>
        <v>27</v>
      </c>
      <c r="M417" t="str">
        <f>IF(Labs!E417&gt;120,"High","Normal")</f>
        <v>High</v>
      </c>
      <c r="N417" t="str">
        <f t="shared" si="13"/>
        <v>low risk</v>
      </c>
    </row>
    <row r="418" spans="1:14" x14ac:dyDescent="0.3">
      <c r="A418">
        <v>417</v>
      </c>
      <c r="B418" t="s">
        <v>327</v>
      </c>
      <c r="C418">
        <v>10</v>
      </c>
      <c r="D418" t="s">
        <v>10</v>
      </c>
      <c r="E418">
        <v>3</v>
      </c>
      <c r="F418" s="1">
        <v>45330</v>
      </c>
      <c r="G418" s="1">
        <v>45335</v>
      </c>
      <c r="H418">
        <v>3</v>
      </c>
      <c r="I418" s="3">
        <v>99600.71</v>
      </c>
      <c r="J418" t="str">
        <f>VLOOKUP(H418,Diagnosis!$A:$B,2,FALSE)</f>
        <v>Asthma</v>
      </c>
      <c r="K418" t="str">
        <f>VLOOKUP(H418,Outcome!A$2:$B$7,2,FALSE)</f>
        <v>Ongoing Treatment</v>
      </c>
      <c r="L418">
        <f t="shared" si="12"/>
        <v>5</v>
      </c>
      <c r="M418" t="str">
        <f>IF(Labs!E418&gt;120,"High","Normal")</f>
        <v>High</v>
      </c>
      <c r="N418" t="str">
        <f t="shared" si="13"/>
        <v>High Risk</v>
      </c>
    </row>
    <row r="419" spans="1:14" x14ac:dyDescent="0.3">
      <c r="A419">
        <v>418</v>
      </c>
      <c r="B419" t="s">
        <v>184</v>
      </c>
      <c r="C419">
        <v>77</v>
      </c>
      <c r="D419" t="s">
        <v>10</v>
      </c>
      <c r="E419">
        <v>1</v>
      </c>
      <c r="F419" s="1">
        <v>45445</v>
      </c>
      <c r="G419" s="1">
        <v>45475</v>
      </c>
      <c r="H419">
        <v>3</v>
      </c>
      <c r="I419" s="3">
        <v>110298.88</v>
      </c>
      <c r="J419" t="str">
        <f>VLOOKUP(H419,Diagnosis!$A:$B,2,FALSE)</f>
        <v>Asthma</v>
      </c>
      <c r="K419" t="str">
        <f>VLOOKUP(H419,Outcome!A$2:$B$7,2,FALSE)</f>
        <v>Ongoing Treatment</v>
      </c>
      <c r="L419">
        <f t="shared" si="12"/>
        <v>30</v>
      </c>
      <c r="M419" t="str">
        <f>IF(Labs!E419&gt;120,"High","Normal")</f>
        <v>High</v>
      </c>
      <c r="N419" t="str">
        <f t="shared" si="13"/>
        <v>High Risk</v>
      </c>
    </row>
    <row r="420" spans="1:14" x14ac:dyDescent="0.3">
      <c r="A420">
        <v>419</v>
      </c>
      <c r="B420" t="s">
        <v>38</v>
      </c>
      <c r="C420">
        <v>7</v>
      </c>
      <c r="D420" t="s">
        <v>17</v>
      </c>
      <c r="E420">
        <v>6</v>
      </c>
      <c r="F420" s="1">
        <v>44982</v>
      </c>
      <c r="G420" s="1">
        <v>44988</v>
      </c>
      <c r="H420">
        <v>2</v>
      </c>
      <c r="I420" s="3">
        <v>100854.96</v>
      </c>
      <c r="J420" t="str">
        <f>VLOOKUP(H420,Diagnosis!$A:$B,2,FALSE)</f>
        <v>Hypertension</v>
      </c>
      <c r="K420" t="str">
        <f>VLOOKUP(H420,Outcome!A$2:$B$7,2,FALSE)</f>
        <v>Improved</v>
      </c>
      <c r="L420">
        <f t="shared" si="12"/>
        <v>6</v>
      </c>
      <c r="M420" t="str">
        <f>IF(Labs!E420&gt;120,"High","Normal")</f>
        <v>High</v>
      </c>
      <c r="N420" t="str">
        <f t="shared" si="13"/>
        <v>High Risk</v>
      </c>
    </row>
    <row r="421" spans="1:14" x14ac:dyDescent="0.3">
      <c r="A421">
        <v>420</v>
      </c>
      <c r="B421" t="s">
        <v>328</v>
      </c>
      <c r="C421">
        <v>85</v>
      </c>
      <c r="D421" t="s">
        <v>10</v>
      </c>
      <c r="E421">
        <v>5</v>
      </c>
      <c r="F421" s="1">
        <v>45048</v>
      </c>
      <c r="G421" s="1">
        <v>45051</v>
      </c>
      <c r="H421">
        <v>1</v>
      </c>
      <c r="I421" s="3">
        <v>103989.14</v>
      </c>
      <c r="J421" t="str">
        <f>VLOOKUP(H421,Diagnosis!$A:$B,2,FALSE)</f>
        <v>Diabetes</v>
      </c>
      <c r="K421" t="str">
        <f>VLOOKUP(H421,Outcome!A$2:$B$7,2,FALSE)</f>
        <v>Recovered</v>
      </c>
      <c r="L421">
        <f t="shared" si="12"/>
        <v>3</v>
      </c>
      <c r="M421" t="str">
        <f>IF(Labs!E421&gt;120,"High","Normal")</f>
        <v>High</v>
      </c>
      <c r="N421" t="str">
        <f t="shared" si="13"/>
        <v>High Risk</v>
      </c>
    </row>
    <row r="422" spans="1:14" x14ac:dyDescent="0.3">
      <c r="A422">
        <v>421</v>
      </c>
      <c r="B422" t="s">
        <v>269</v>
      </c>
      <c r="C422">
        <v>7</v>
      </c>
      <c r="D422" t="s">
        <v>10</v>
      </c>
      <c r="E422">
        <v>1</v>
      </c>
      <c r="F422" s="1">
        <v>45437</v>
      </c>
      <c r="G422" s="1">
        <v>45439</v>
      </c>
      <c r="H422">
        <v>1</v>
      </c>
      <c r="I422" s="3">
        <v>120008.59</v>
      </c>
      <c r="J422" t="str">
        <f>VLOOKUP(H422,Diagnosis!$A:$B,2,FALSE)</f>
        <v>Diabetes</v>
      </c>
      <c r="K422" t="str">
        <f>VLOOKUP(H422,Outcome!A$2:$B$7,2,FALSE)</f>
        <v>Recovered</v>
      </c>
      <c r="L422">
        <f t="shared" si="12"/>
        <v>2</v>
      </c>
      <c r="M422" t="str">
        <f>IF(Labs!E422&gt;120,"High","Normal")</f>
        <v>High</v>
      </c>
      <c r="N422" t="str">
        <f t="shared" si="13"/>
        <v>low risk</v>
      </c>
    </row>
    <row r="423" spans="1:14" x14ac:dyDescent="0.3">
      <c r="A423">
        <v>422</v>
      </c>
      <c r="B423" t="s">
        <v>329</v>
      </c>
      <c r="C423">
        <v>26</v>
      </c>
      <c r="D423" t="s">
        <v>17</v>
      </c>
      <c r="E423">
        <v>1</v>
      </c>
      <c r="F423" s="1">
        <v>44985</v>
      </c>
      <c r="G423" s="1">
        <v>44990</v>
      </c>
      <c r="H423">
        <v>2</v>
      </c>
      <c r="I423" s="3">
        <v>175927.74</v>
      </c>
      <c r="J423" t="str">
        <f>VLOOKUP(H423,Diagnosis!$A:$B,2,FALSE)</f>
        <v>Hypertension</v>
      </c>
      <c r="K423" t="str">
        <f>VLOOKUP(H423,Outcome!A$2:$B$7,2,FALSE)</f>
        <v>Improved</v>
      </c>
      <c r="L423">
        <f t="shared" si="12"/>
        <v>5</v>
      </c>
      <c r="M423" t="str">
        <f>IF(Labs!E423&gt;120,"High","Normal")</f>
        <v>High</v>
      </c>
      <c r="N423" t="str">
        <f t="shared" si="13"/>
        <v>High Risk</v>
      </c>
    </row>
    <row r="424" spans="1:14" x14ac:dyDescent="0.3">
      <c r="A424">
        <v>423</v>
      </c>
      <c r="B424" t="s">
        <v>274</v>
      </c>
      <c r="C424">
        <v>40</v>
      </c>
      <c r="D424" t="s">
        <v>10</v>
      </c>
      <c r="E424">
        <v>8</v>
      </c>
      <c r="F424" s="1">
        <v>45563</v>
      </c>
      <c r="G424" s="1">
        <v>45591</v>
      </c>
      <c r="H424">
        <v>3</v>
      </c>
      <c r="I424" s="3">
        <v>18676.8</v>
      </c>
      <c r="J424" t="str">
        <f>VLOOKUP(H424,Diagnosis!$A:$B,2,FALSE)</f>
        <v>Asthma</v>
      </c>
      <c r="K424" t="str">
        <f>VLOOKUP(H424,Outcome!A$2:$B$7,2,FALSE)</f>
        <v>Ongoing Treatment</v>
      </c>
      <c r="L424">
        <f t="shared" si="12"/>
        <v>28</v>
      </c>
      <c r="M424" t="str">
        <f>IF(Labs!E424&gt;120,"High","Normal")</f>
        <v>High</v>
      </c>
      <c r="N424" t="str">
        <f t="shared" si="13"/>
        <v>High Risk</v>
      </c>
    </row>
    <row r="425" spans="1:14" x14ac:dyDescent="0.3">
      <c r="A425">
        <v>424</v>
      </c>
      <c r="B425" t="s">
        <v>330</v>
      </c>
      <c r="C425">
        <v>24</v>
      </c>
      <c r="D425" t="s">
        <v>10</v>
      </c>
      <c r="E425">
        <v>7</v>
      </c>
      <c r="F425" s="1">
        <v>45318</v>
      </c>
      <c r="G425" s="1">
        <v>45323</v>
      </c>
      <c r="H425">
        <v>2</v>
      </c>
      <c r="I425" s="3">
        <v>49235.03</v>
      </c>
      <c r="J425" t="str">
        <f>VLOOKUP(H425,Diagnosis!$A:$B,2,FALSE)</f>
        <v>Hypertension</v>
      </c>
      <c r="K425" t="str">
        <f>VLOOKUP(H425,Outcome!A$2:$B$7,2,FALSE)</f>
        <v>Improved</v>
      </c>
      <c r="L425">
        <f t="shared" si="12"/>
        <v>5</v>
      </c>
      <c r="M425" t="str">
        <f>IF(Labs!E425&gt;120,"High","Normal")</f>
        <v>High</v>
      </c>
      <c r="N425" t="str">
        <f t="shared" si="13"/>
        <v>High Risk</v>
      </c>
    </row>
    <row r="426" spans="1:14" x14ac:dyDescent="0.3">
      <c r="A426">
        <v>425</v>
      </c>
      <c r="B426" t="s">
        <v>78</v>
      </c>
      <c r="C426">
        <v>29</v>
      </c>
      <c r="D426" t="s">
        <v>10</v>
      </c>
      <c r="E426">
        <v>10</v>
      </c>
      <c r="F426" s="1">
        <v>44688</v>
      </c>
      <c r="G426" s="1">
        <v>44692</v>
      </c>
      <c r="H426">
        <v>3</v>
      </c>
      <c r="I426" s="3">
        <v>120975.65</v>
      </c>
      <c r="J426" t="str">
        <f>VLOOKUP(H426,Diagnosis!$A:$B,2,FALSE)</f>
        <v>Asthma</v>
      </c>
      <c r="K426" t="str">
        <f>VLOOKUP(H426,Outcome!A$2:$B$7,2,FALSE)</f>
        <v>Ongoing Treatment</v>
      </c>
      <c r="L426">
        <f t="shared" si="12"/>
        <v>4</v>
      </c>
      <c r="M426" t="str">
        <f>IF(Labs!E426&gt;120,"High","Normal")</f>
        <v>High</v>
      </c>
      <c r="N426" t="str">
        <f t="shared" si="13"/>
        <v>High Risk</v>
      </c>
    </row>
    <row r="427" spans="1:14" x14ac:dyDescent="0.3">
      <c r="A427">
        <v>426</v>
      </c>
      <c r="B427" t="s">
        <v>261</v>
      </c>
      <c r="C427">
        <v>70</v>
      </c>
      <c r="D427" t="s">
        <v>10</v>
      </c>
      <c r="E427">
        <v>10</v>
      </c>
      <c r="F427" s="1">
        <v>45027</v>
      </c>
      <c r="G427" s="1">
        <v>45044</v>
      </c>
      <c r="H427">
        <v>1</v>
      </c>
      <c r="I427" s="3">
        <v>71211.33</v>
      </c>
      <c r="J427" t="str">
        <f>VLOOKUP(H427,Diagnosis!$A:$B,2,FALSE)</f>
        <v>Diabetes</v>
      </c>
      <c r="K427" t="str">
        <f>VLOOKUP(H427,Outcome!A$2:$B$7,2,FALSE)</f>
        <v>Recovered</v>
      </c>
      <c r="L427">
        <f t="shared" si="12"/>
        <v>17</v>
      </c>
      <c r="M427" t="str">
        <f>IF(Labs!E427&gt;120,"High","Normal")</f>
        <v>High</v>
      </c>
      <c r="N427" t="str">
        <f t="shared" si="13"/>
        <v>High Risk</v>
      </c>
    </row>
    <row r="428" spans="1:14" x14ac:dyDescent="0.3">
      <c r="A428">
        <v>427</v>
      </c>
      <c r="B428" t="s">
        <v>194</v>
      </c>
      <c r="C428">
        <v>69</v>
      </c>
      <c r="D428" t="s">
        <v>10</v>
      </c>
      <c r="E428">
        <v>10</v>
      </c>
      <c r="F428" s="1">
        <v>45044</v>
      </c>
      <c r="G428" s="1">
        <v>45059</v>
      </c>
      <c r="H428">
        <v>1</v>
      </c>
      <c r="I428" s="3">
        <v>72577.77</v>
      </c>
      <c r="J428" t="str">
        <f>VLOOKUP(H428,Diagnosis!$A:$B,2,FALSE)</f>
        <v>Diabetes</v>
      </c>
      <c r="K428" t="str">
        <f>VLOOKUP(H428,Outcome!A$2:$B$7,2,FALSE)</f>
        <v>Recovered</v>
      </c>
      <c r="L428">
        <f t="shared" si="12"/>
        <v>15</v>
      </c>
      <c r="M428" t="str">
        <f>IF(Labs!E428&gt;120,"High","Normal")</f>
        <v>High</v>
      </c>
      <c r="N428" t="str">
        <f t="shared" si="13"/>
        <v>High Risk</v>
      </c>
    </row>
    <row r="429" spans="1:14" x14ac:dyDescent="0.3">
      <c r="A429">
        <v>428</v>
      </c>
      <c r="B429" t="s">
        <v>331</v>
      </c>
      <c r="C429">
        <v>74</v>
      </c>
      <c r="D429" t="s">
        <v>17</v>
      </c>
      <c r="E429">
        <v>2</v>
      </c>
      <c r="F429" s="1">
        <v>46112</v>
      </c>
      <c r="G429" s="1">
        <v>46126</v>
      </c>
      <c r="H429">
        <v>1</v>
      </c>
      <c r="I429" s="3">
        <v>177225.32</v>
      </c>
      <c r="J429" t="str">
        <f>VLOOKUP(H429,Diagnosis!$A:$B,2,FALSE)</f>
        <v>Diabetes</v>
      </c>
      <c r="K429" t="str">
        <f>VLOOKUP(H429,Outcome!A$2:$B$7,2,FALSE)</f>
        <v>Recovered</v>
      </c>
      <c r="L429">
        <f t="shared" si="12"/>
        <v>14</v>
      </c>
      <c r="M429" t="str">
        <f>IF(Labs!E429&gt;120,"High","Normal")</f>
        <v>High</v>
      </c>
      <c r="N429" t="str">
        <f t="shared" si="13"/>
        <v>High Risk</v>
      </c>
    </row>
    <row r="430" spans="1:14" x14ac:dyDescent="0.3">
      <c r="A430">
        <v>429</v>
      </c>
      <c r="B430" t="s">
        <v>286</v>
      </c>
      <c r="C430">
        <v>17</v>
      </c>
      <c r="D430" t="s">
        <v>17</v>
      </c>
      <c r="E430">
        <v>7</v>
      </c>
      <c r="F430" s="1">
        <v>44722</v>
      </c>
      <c r="G430" s="1">
        <v>44743</v>
      </c>
      <c r="H430">
        <v>2</v>
      </c>
      <c r="I430" s="3">
        <v>179515.29</v>
      </c>
      <c r="J430" t="str">
        <f>VLOOKUP(H430,Diagnosis!$A:$B,2,FALSE)</f>
        <v>Hypertension</v>
      </c>
      <c r="K430" t="str">
        <f>VLOOKUP(H430,Outcome!A$2:$B$7,2,FALSE)</f>
        <v>Improved</v>
      </c>
      <c r="L430">
        <f t="shared" si="12"/>
        <v>21</v>
      </c>
      <c r="M430" t="str">
        <f>IF(Labs!E430&gt;120,"High","Normal")</f>
        <v>High</v>
      </c>
      <c r="N430" t="str">
        <f t="shared" si="13"/>
        <v>High Risk</v>
      </c>
    </row>
    <row r="431" spans="1:14" x14ac:dyDescent="0.3">
      <c r="A431">
        <v>430</v>
      </c>
      <c r="B431" t="s">
        <v>332</v>
      </c>
      <c r="C431">
        <v>34</v>
      </c>
      <c r="D431" t="s">
        <v>10</v>
      </c>
      <c r="E431">
        <v>2</v>
      </c>
      <c r="F431" s="1">
        <v>44740</v>
      </c>
      <c r="G431" s="1">
        <v>44752</v>
      </c>
      <c r="H431">
        <v>2</v>
      </c>
      <c r="I431" s="3">
        <v>100489.62</v>
      </c>
      <c r="J431" t="str">
        <f>VLOOKUP(H431,Diagnosis!$A:$B,2,FALSE)</f>
        <v>Hypertension</v>
      </c>
      <c r="K431" t="str">
        <f>VLOOKUP(H431,Outcome!A$2:$B$7,2,FALSE)</f>
        <v>Improved</v>
      </c>
      <c r="L431">
        <f t="shared" si="12"/>
        <v>12</v>
      </c>
      <c r="M431" t="str">
        <f>IF(Labs!E431&gt;120,"High","Normal")</f>
        <v>High</v>
      </c>
      <c r="N431" t="str">
        <f t="shared" si="13"/>
        <v>High Risk</v>
      </c>
    </row>
    <row r="432" spans="1:14" x14ac:dyDescent="0.3">
      <c r="A432">
        <v>431</v>
      </c>
      <c r="B432" t="s">
        <v>103</v>
      </c>
      <c r="C432">
        <v>59</v>
      </c>
      <c r="D432" t="s">
        <v>17</v>
      </c>
      <c r="E432">
        <v>10</v>
      </c>
      <c r="F432" s="1">
        <v>45765</v>
      </c>
      <c r="G432" s="1">
        <v>45781</v>
      </c>
      <c r="H432">
        <v>4</v>
      </c>
      <c r="I432" s="3">
        <v>22472.09</v>
      </c>
      <c r="J432" t="str">
        <f>VLOOKUP(H432,Diagnosis!$A:$B,2,FALSE)</f>
        <v>Pneumonia</v>
      </c>
      <c r="K432" t="str">
        <f>VLOOKUP(H432,Outcome!A$2:$B$7,2,FALSE)</f>
        <v>Referred</v>
      </c>
      <c r="L432">
        <f t="shared" si="12"/>
        <v>16</v>
      </c>
      <c r="M432" t="str">
        <f>IF(Labs!E432&gt;120,"High","Normal")</f>
        <v>High</v>
      </c>
      <c r="N432" t="str">
        <f t="shared" si="13"/>
        <v>High Risk</v>
      </c>
    </row>
    <row r="433" spans="1:14" x14ac:dyDescent="0.3">
      <c r="A433">
        <v>432</v>
      </c>
      <c r="B433" t="s">
        <v>95</v>
      </c>
      <c r="C433">
        <v>73</v>
      </c>
      <c r="D433" t="s">
        <v>17</v>
      </c>
      <c r="E433">
        <v>2</v>
      </c>
      <c r="F433" s="1">
        <v>45714</v>
      </c>
      <c r="G433" s="1">
        <v>45738</v>
      </c>
      <c r="H433">
        <v>1</v>
      </c>
      <c r="I433" s="3">
        <v>53281.48</v>
      </c>
      <c r="J433" t="str">
        <f>VLOOKUP(H433,Diagnosis!$A:$B,2,FALSE)</f>
        <v>Diabetes</v>
      </c>
      <c r="K433" t="str">
        <f>VLOOKUP(H433,Outcome!A$2:$B$7,2,FALSE)</f>
        <v>Recovered</v>
      </c>
      <c r="L433">
        <f t="shared" si="12"/>
        <v>24</v>
      </c>
      <c r="M433" t="str">
        <f>IF(Labs!E433&gt;120,"High","Normal")</f>
        <v>High</v>
      </c>
      <c r="N433" t="str">
        <f t="shared" si="13"/>
        <v>High Risk</v>
      </c>
    </row>
    <row r="434" spans="1:14" x14ac:dyDescent="0.3">
      <c r="A434">
        <v>433</v>
      </c>
      <c r="B434" t="s">
        <v>283</v>
      </c>
      <c r="C434">
        <v>53</v>
      </c>
      <c r="D434" t="s">
        <v>10</v>
      </c>
      <c r="E434">
        <v>7</v>
      </c>
      <c r="F434" s="1">
        <v>45903</v>
      </c>
      <c r="G434" s="1">
        <v>45918</v>
      </c>
      <c r="H434">
        <v>2</v>
      </c>
      <c r="I434" s="3">
        <v>86465.77</v>
      </c>
      <c r="J434" t="str">
        <f>VLOOKUP(H434,Diagnosis!$A:$B,2,FALSE)</f>
        <v>Hypertension</v>
      </c>
      <c r="K434" t="str">
        <f>VLOOKUP(H434,Outcome!A$2:$B$7,2,FALSE)</f>
        <v>Improved</v>
      </c>
      <c r="L434">
        <f t="shared" si="12"/>
        <v>15</v>
      </c>
      <c r="M434" t="str">
        <f>IF(Labs!E434&gt;120,"High","Normal")</f>
        <v>High</v>
      </c>
      <c r="N434" t="str">
        <f t="shared" si="13"/>
        <v>High Risk</v>
      </c>
    </row>
    <row r="435" spans="1:14" x14ac:dyDescent="0.3">
      <c r="A435">
        <v>434</v>
      </c>
      <c r="B435" t="s">
        <v>136</v>
      </c>
      <c r="C435">
        <v>52</v>
      </c>
      <c r="D435" t="s">
        <v>17</v>
      </c>
      <c r="E435">
        <v>10</v>
      </c>
      <c r="F435" s="1">
        <v>45808</v>
      </c>
      <c r="G435" s="1">
        <v>45829</v>
      </c>
      <c r="H435">
        <v>3</v>
      </c>
      <c r="I435" s="3">
        <v>9383.9</v>
      </c>
      <c r="J435" t="str">
        <f>VLOOKUP(H435,Diagnosis!$A:$B,2,FALSE)</f>
        <v>Asthma</v>
      </c>
      <c r="K435" t="str">
        <f>VLOOKUP(H435,Outcome!A$2:$B$7,2,FALSE)</f>
        <v>Ongoing Treatment</v>
      </c>
      <c r="L435">
        <f t="shared" si="12"/>
        <v>21</v>
      </c>
      <c r="M435" t="str">
        <f>IF(Labs!E435&gt;120,"High","Normal")</f>
        <v>High</v>
      </c>
      <c r="N435" t="str">
        <f t="shared" si="13"/>
        <v>High Risk</v>
      </c>
    </row>
    <row r="436" spans="1:14" x14ac:dyDescent="0.3">
      <c r="A436">
        <v>435</v>
      </c>
      <c r="B436" t="s">
        <v>333</v>
      </c>
      <c r="C436">
        <v>7</v>
      </c>
      <c r="D436" t="s">
        <v>10</v>
      </c>
      <c r="E436">
        <v>5</v>
      </c>
      <c r="F436" s="1">
        <v>45324</v>
      </c>
      <c r="G436" s="1">
        <v>45324</v>
      </c>
      <c r="H436">
        <v>1</v>
      </c>
      <c r="I436" s="3">
        <v>143373.24</v>
      </c>
      <c r="J436" t="str">
        <f>VLOOKUP(H436,Diagnosis!$A:$B,2,FALSE)</f>
        <v>Diabetes</v>
      </c>
      <c r="K436" t="str">
        <f>VLOOKUP(H436,Outcome!A$2:$B$7,2,FALSE)</f>
        <v>Recovered</v>
      </c>
      <c r="L436">
        <f t="shared" si="12"/>
        <v>0</v>
      </c>
      <c r="M436" t="str">
        <f>IF(Labs!E436&gt;120,"High","Normal")</f>
        <v>High</v>
      </c>
      <c r="N436" t="str">
        <f t="shared" si="13"/>
        <v>low risk</v>
      </c>
    </row>
    <row r="437" spans="1:14" x14ac:dyDescent="0.3">
      <c r="A437">
        <v>436</v>
      </c>
      <c r="B437" t="s">
        <v>334</v>
      </c>
      <c r="C437">
        <v>63</v>
      </c>
      <c r="D437" t="s">
        <v>17</v>
      </c>
      <c r="E437">
        <v>4</v>
      </c>
      <c r="F437" s="1">
        <v>44837</v>
      </c>
      <c r="G437" s="1">
        <v>44846</v>
      </c>
      <c r="H437">
        <v>6</v>
      </c>
      <c r="I437" s="3">
        <v>81152.13</v>
      </c>
      <c r="J437" t="str">
        <f>VLOOKUP(H437,Diagnosis!$A:$B,2,FALSE)</f>
        <v>Kidney Disease</v>
      </c>
      <c r="K437" t="str">
        <f>VLOOKUP(H437,Outcome!A$2:$B$7,2,FALSE)</f>
        <v>Deceased</v>
      </c>
      <c r="L437">
        <f t="shared" si="12"/>
        <v>9</v>
      </c>
      <c r="M437" t="str">
        <f>IF(Labs!E437&gt;120,"High","Normal")</f>
        <v>High</v>
      </c>
      <c r="N437" t="str">
        <f t="shared" si="13"/>
        <v>High Risk</v>
      </c>
    </row>
    <row r="438" spans="1:14" x14ac:dyDescent="0.3">
      <c r="A438">
        <v>437</v>
      </c>
      <c r="B438" t="s">
        <v>335</v>
      </c>
      <c r="C438">
        <v>94</v>
      </c>
      <c r="D438" t="s">
        <v>10</v>
      </c>
      <c r="E438">
        <v>10</v>
      </c>
      <c r="F438" s="1">
        <v>45884</v>
      </c>
      <c r="G438" s="1">
        <v>45886</v>
      </c>
      <c r="H438">
        <v>1</v>
      </c>
      <c r="I438" s="3">
        <v>40021.81</v>
      </c>
      <c r="J438" t="str">
        <f>VLOOKUP(H438,Diagnosis!$A:$B,2,FALSE)</f>
        <v>Diabetes</v>
      </c>
      <c r="K438" t="str">
        <f>VLOOKUP(H438,Outcome!A$2:$B$7,2,FALSE)</f>
        <v>Recovered</v>
      </c>
      <c r="L438">
        <f t="shared" si="12"/>
        <v>2</v>
      </c>
      <c r="M438" t="str">
        <f>IF(Labs!E438&gt;120,"High","Normal")</f>
        <v>High</v>
      </c>
      <c r="N438" t="str">
        <f t="shared" si="13"/>
        <v>High Risk</v>
      </c>
    </row>
    <row r="439" spans="1:14" x14ac:dyDescent="0.3">
      <c r="A439">
        <v>438</v>
      </c>
      <c r="B439" t="s">
        <v>336</v>
      </c>
      <c r="C439">
        <v>67</v>
      </c>
      <c r="D439" t="s">
        <v>10</v>
      </c>
      <c r="E439">
        <v>1</v>
      </c>
      <c r="F439" s="1">
        <v>45617</v>
      </c>
      <c r="G439" s="1">
        <v>45642</v>
      </c>
      <c r="H439">
        <v>1</v>
      </c>
      <c r="I439" s="3">
        <v>57724.35</v>
      </c>
      <c r="J439" t="str">
        <f>VLOOKUP(H439,Diagnosis!$A:$B,2,FALSE)</f>
        <v>Diabetes</v>
      </c>
      <c r="K439" t="str">
        <f>VLOOKUP(H439,Outcome!A$2:$B$7,2,FALSE)</f>
        <v>Recovered</v>
      </c>
      <c r="L439">
        <f t="shared" si="12"/>
        <v>25</v>
      </c>
      <c r="M439" t="str">
        <f>IF(Labs!E439&gt;120,"High","Normal")</f>
        <v>High</v>
      </c>
      <c r="N439" t="str">
        <f t="shared" si="13"/>
        <v>High Risk</v>
      </c>
    </row>
    <row r="440" spans="1:14" x14ac:dyDescent="0.3">
      <c r="A440">
        <v>439</v>
      </c>
      <c r="B440" t="s">
        <v>337</v>
      </c>
      <c r="C440">
        <v>18</v>
      </c>
      <c r="D440" t="s">
        <v>17</v>
      </c>
      <c r="E440">
        <v>3</v>
      </c>
      <c r="F440" s="1">
        <v>44956</v>
      </c>
      <c r="G440" s="1">
        <v>44984</v>
      </c>
      <c r="H440">
        <v>4</v>
      </c>
      <c r="I440" s="3">
        <v>151063.35999999999</v>
      </c>
      <c r="J440" t="str">
        <f>VLOOKUP(H440,Diagnosis!$A:$B,2,FALSE)</f>
        <v>Pneumonia</v>
      </c>
      <c r="K440" t="str">
        <f>VLOOKUP(H440,Outcome!A$2:$B$7,2,FALSE)</f>
        <v>Referred</v>
      </c>
      <c r="L440">
        <f t="shared" si="12"/>
        <v>28</v>
      </c>
      <c r="M440" t="str">
        <f>IF(Labs!E440&gt;120,"High","Normal")</f>
        <v>High</v>
      </c>
      <c r="N440" t="str">
        <f t="shared" si="13"/>
        <v>High Risk</v>
      </c>
    </row>
    <row r="441" spans="1:14" x14ac:dyDescent="0.3">
      <c r="A441">
        <v>440</v>
      </c>
      <c r="B441" t="s">
        <v>338</v>
      </c>
      <c r="C441">
        <v>59</v>
      </c>
      <c r="D441" t="s">
        <v>17</v>
      </c>
      <c r="E441">
        <v>6</v>
      </c>
      <c r="F441" s="1">
        <v>46005</v>
      </c>
      <c r="G441" s="1">
        <v>46011</v>
      </c>
      <c r="H441">
        <v>1</v>
      </c>
      <c r="I441" s="3">
        <v>148672.37</v>
      </c>
      <c r="J441" t="str">
        <f>VLOOKUP(H441,Diagnosis!$A:$B,2,FALSE)</f>
        <v>Diabetes</v>
      </c>
      <c r="K441" t="str">
        <f>VLOOKUP(H441,Outcome!A$2:$B$7,2,FALSE)</f>
        <v>Recovered</v>
      </c>
      <c r="L441">
        <f t="shared" si="12"/>
        <v>6</v>
      </c>
      <c r="M441" t="str">
        <f>IF(Labs!E441&gt;120,"High","Normal")</f>
        <v>High</v>
      </c>
      <c r="N441" t="str">
        <f t="shared" si="13"/>
        <v>low risk</v>
      </c>
    </row>
    <row r="442" spans="1:14" x14ac:dyDescent="0.3">
      <c r="A442">
        <v>441</v>
      </c>
      <c r="B442" t="s">
        <v>337</v>
      </c>
      <c r="C442">
        <v>82</v>
      </c>
      <c r="D442" t="s">
        <v>17</v>
      </c>
      <c r="E442">
        <v>1</v>
      </c>
      <c r="F442" s="1">
        <v>45057</v>
      </c>
      <c r="G442" s="1">
        <v>45068</v>
      </c>
      <c r="H442">
        <v>2</v>
      </c>
      <c r="I442" s="3">
        <v>81683.360000000001</v>
      </c>
      <c r="J442" t="str">
        <f>VLOOKUP(H442,Diagnosis!$A:$B,2,FALSE)</f>
        <v>Hypertension</v>
      </c>
      <c r="K442" t="str">
        <f>VLOOKUP(H442,Outcome!A$2:$B$7,2,FALSE)</f>
        <v>Improved</v>
      </c>
      <c r="L442">
        <f t="shared" si="12"/>
        <v>11</v>
      </c>
      <c r="M442" t="str">
        <f>IF(Labs!E442&gt;120,"High","Normal")</f>
        <v>High</v>
      </c>
      <c r="N442" t="str">
        <f t="shared" si="13"/>
        <v>High Risk</v>
      </c>
    </row>
    <row r="443" spans="1:14" x14ac:dyDescent="0.3">
      <c r="A443">
        <v>442</v>
      </c>
      <c r="B443" t="s">
        <v>339</v>
      </c>
      <c r="C443">
        <v>71</v>
      </c>
      <c r="D443" t="s">
        <v>10</v>
      </c>
      <c r="E443">
        <v>6</v>
      </c>
      <c r="F443" s="1">
        <v>44896</v>
      </c>
      <c r="G443" s="1">
        <v>44922</v>
      </c>
      <c r="H443">
        <v>5</v>
      </c>
      <c r="I443" s="3">
        <v>135440.6</v>
      </c>
      <c r="J443" t="str">
        <f>VLOOKUP(H443,Diagnosis!$A:$B,2,FALSE)</f>
        <v>Heart Disease</v>
      </c>
      <c r="K443" t="str">
        <f>VLOOKUP(H443,Outcome!A$2:$B$7,2,FALSE)</f>
        <v>Readmitted</v>
      </c>
      <c r="L443">
        <f t="shared" si="12"/>
        <v>26</v>
      </c>
      <c r="M443" t="str">
        <f>IF(Labs!E443&gt;120,"High","Normal")</f>
        <v>High</v>
      </c>
      <c r="N443" t="str">
        <f t="shared" si="13"/>
        <v>High Risk</v>
      </c>
    </row>
    <row r="444" spans="1:14" x14ac:dyDescent="0.3">
      <c r="A444">
        <v>443</v>
      </c>
      <c r="B444" t="s">
        <v>340</v>
      </c>
      <c r="C444">
        <v>4</v>
      </c>
      <c r="D444" t="s">
        <v>10</v>
      </c>
      <c r="E444">
        <v>1</v>
      </c>
      <c r="F444" s="1">
        <v>44895</v>
      </c>
      <c r="G444" s="1">
        <v>44922</v>
      </c>
      <c r="H444">
        <v>2</v>
      </c>
      <c r="I444" s="3">
        <v>173772.88</v>
      </c>
      <c r="J444" t="str">
        <f>VLOOKUP(H444,Diagnosis!$A:$B,2,FALSE)</f>
        <v>Hypertension</v>
      </c>
      <c r="K444" t="str">
        <f>VLOOKUP(H444,Outcome!A$2:$B$7,2,FALSE)</f>
        <v>Improved</v>
      </c>
      <c r="L444">
        <f t="shared" si="12"/>
        <v>27</v>
      </c>
      <c r="M444" t="str">
        <f>IF(Labs!E444&gt;120,"High","Normal")</f>
        <v>High</v>
      </c>
      <c r="N444" t="str">
        <f t="shared" si="13"/>
        <v>High Risk</v>
      </c>
    </row>
    <row r="445" spans="1:14" x14ac:dyDescent="0.3">
      <c r="A445">
        <v>444</v>
      </c>
      <c r="B445" t="s">
        <v>235</v>
      </c>
      <c r="C445">
        <v>87</v>
      </c>
      <c r="D445" t="s">
        <v>17</v>
      </c>
      <c r="E445">
        <v>5</v>
      </c>
      <c r="F445" s="1">
        <v>45896</v>
      </c>
      <c r="G445" s="1">
        <v>45909</v>
      </c>
      <c r="H445">
        <v>2</v>
      </c>
      <c r="I445" s="3">
        <v>155971.81</v>
      </c>
      <c r="J445" t="str">
        <f>VLOOKUP(H445,Diagnosis!$A:$B,2,FALSE)</f>
        <v>Hypertension</v>
      </c>
      <c r="K445" t="str">
        <f>VLOOKUP(H445,Outcome!A$2:$B$7,2,FALSE)</f>
        <v>Improved</v>
      </c>
      <c r="L445">
        <f t="shared" si="12"/>
        <v>13</v>
      </c>
      <c r="M445" t="str">
        <f>IF(Labs!E445&gt;120,"High","Normal")</f>
        <v>High</v>
      </c>
      <c r="N445" t="str">
        <f t="shared" si="13"/>
        <v>High Risk</v>
      </c>
    </row>
    <row r="446" spans="1:14" x14ac:dyDescent="0.3">
      <c r="A446">
        <v>445</v>
      </c>
      <c r="B446" t="s">
        <v>341</v>
      </c>
      <c r="C446">
        <v>17</v>
      </c>
      <c r="D446" t="s">
        <v>17</v>
      </c>
      <c r="E446">
        <v>10</v>
      </c>
      <c r="F446" s="1">
        <v>46202</v>
      </c>
      <c r="G446" s="1">
        <v>46202</v>
      </c>
      <c r="H446">
        <v>1</v>
      </c>
      <c r="I446" s="3">
        <v>110481.04</v>
      </c>
      <c r="J446" t="str">
        <f>VLOOKUP(H446,Diagnosis!$A:$B,2,FALSE)</f>
        <v>Diabetes</v>
      </c>
      <c r="K446" t="str">
        <f>VLOOKUP(H446,Outcome!A$2:$B$7,2,FALSE)</f>
        <v>Recovered</v>
      </c>
      <c r="L446">
        <f t="shared" si="12"/>
        <v>0</v>
      </c>
      <c r="M446" t="str">
        <f>IF(Labs!E446&gt;120,"High","Normal")</f>
        <v>High</v>
      </c>
      <c r="N446" t="str">
        <f t="shared" si="13"/>
        <v>low risk</v>
      </c>
    </row>
    <row r="447" spans="1:14" x14ac:dyDescent="0.3">
      <c r="A447">
        <v>446</v>
      </c>
      <c r="B447" t="s">
        <v>334</v>
      </c>
      <c r="C447">
        <v>55</v>
      </c>
      <c r="D447" t="s">
        <v>10</v>
      </c>
      <c r="E447">
        <v>6</v>
      </c>
      <c r="F447" s="1">
        <v>45502</v>
      </c>
      <c r="G447" s="1">
        <v>45510</v>
      </c>
      <c r="H447">
        <v>1</v>
      </c>
      <c r="I447" s="3">
        <v>56130.75</v>
      </c>
      <c r="J447" t="str">
        <f>VLOOKUP(H447,Diagnosis!$A:$B,2,FALSE)</f>
        <v>Diabetes</v>
      </c>
      <c r="K447" t="str">
        <f>VLOOKUP(H447,Outcome!A$2:$B$7,2,FALSE)</f>
        <v>Recovered</v>
      </c>
      <c r="L447">
        <f t="shared" si="12"/>
        <v>8</v>
      </c>
      <c r="M447" t="str">
        <f>IF(Labs!E447&gt;120,"High","Normal")</f>
        <v>High</v>
      </c>
      <c r="N447" t="str">
        <f t="shared" si="13"/>
        <v>low risk</v>
      </c>
    </row>
    <row r="448" spans="1:14" x14ac:dyDescent="0.3">
      <c r="A448">
        <v>447</v>
      </c>
      <c r="B448" t="s">
        <v>342</v>
      </c>
      <c r="C448">
        <v>51</v>
      </c>
      <c r="D448" t="s">
        <v>17</v>
      </c>
      <c r="E448">
        <v>1</v>
      </c>
      <c r="F448" s="1">
        <v>45609</v>
      </c>
      <c r="G448" s="1">
        <v>45630</v>
      </c>
      <c r="H448">
        <v>6</v>
      </c>
      <c r="I448" s="3">
        <v>151489.67000000001</v>
      </c>
      <c r="J448" t="str">
        <f>VLOOKUP(H448,Diagnosis!$A:$B,2,FALSE)</f>
        <v>Kidney Disease</v>
      </c>
      <c r="K448" t="str">
        <f>VLOOKUP(H448,Outcome!A$2:$B$7,2,FALSE)</f>
        <v>Deceased</v>
      </c>
      <c r="L448">
        <f t="shared" si="12"/>
        <v>21</v>
      </c>
      <c r="M448" t="str">
        <f>IF(Labs!E448&gt;120,"High","Normal")</f>
        <v>High</v>
      </c>
      <c r="N448" t="str">
        <f t="shared" si="13"/>
        <v>High Risk</v>
      </c>
    </row>
    <row r="449" spans="1:14" x14ac:dyDescent="0.3">
      <c r="A449">
        <v>448</v>
      </c>
      <c r="B449" t="s">
        <v>343</v>
      </c>
      <c r="C449">
        <v>78</v>
      </c>
      <c r="D449" t="s">
        <v>10</v>
      </c>
      <c r="E449">
        <v>5</v>
      </c>
      <c r="F449" s="1">
        <v>45963</v>
      </c>
      <c r="G449" s="1">
        <v>45966</v>
      </c>
      <c r="H449">
        <v>2</v>
      </c>
      <c r="I449" s="3">
        <v>62190.35</v>
      </c>
      <c r="J449" t="str">
        <f>VLOOKUP(H449,Diagnosis!$A:$B,2,FALSE)</f>
        <v>Hypertension</v>
      </c>
      <c r="K449" t="str">
        <f>VLOOKUP(H449,Outcome!A$2:$B$7,2,FALSE)</f>
        <v>Improved</v>
      </c>
      <c r="L449">
        <f t="shared" si="12"/>
        <v>3</v>
      </c>
      <c r="M449" t="str">
        <f>IF(Labs!E449&gt;120,"High","Normal")</f>
        <v>High</v>
      </c>
      <c r="N449" t="str">
        <f t="shared" si="13"/>
        <v>High Risk</v>
      </c>
    </row>
    <row r="450" spans="1:14" x14ac:dyDescent="0.3">
      <c r="A450">
        <v>449</v>
      </c>
      <c r="B450" t="s">
        <v>344</v>
      </c>
      <c r="C450">
        <v>36</v>
      </c>
      <c r="D450" t="s">
        <v>10</v>
      </c>
      <c r="E450">
        <v>5</v>
      </c>
      <c r="F450" s="1">
        <v>44947</v>
      </c>
      <c r="G450" s="1">
        <v>44951</v>
      </c>
      <c r="H450">
        <v>2</v>
      </c>
      <c r="I450" s="3">
        <v>45153.62</v>
      </c>
      <c r="J450" t="str">
        <f>VLOOKUP(H450,Diagnosis!$A:$B,2,FALSE)</f>
        <v>Hypertension</v>
      </c>
      <c r="K450" t="str">
        <f>VLOOKUP(H450,Outcome!A$2:$B$7,2,FALSE)</f>
        <v>Improved</v>
      </c>
      <c r="L450">
        <f t="shared" si="12"/>
        <v>4</v>
      </c>
      <c r="M450" t="str">
        <f>IF(Labs!E450&gt;120,"High","Normal")</f>
        <v>High</v>
      </c>
      <c r="N450" t="str">
        <f t="shared" si="13"/>
        <v>High Risk</v>
      </c>
    </row>
    <row r="451" spans="1:14" x14ac:dyDescent="0.3">
      <c r="A451">
        <v>450</v>
      </c>
      <c r="B451" t="s">
        <v>345</v>
      </c>
      <c r="C451">
        <v>52</v>
      </c>
      <c r="D451" t="s">
        <v>10</v>
      </c>
      <c r="E451">
        <v>3</v>
      </c>
      <c r="F451" s="1">
        <v>46039</v>
      </c>
      <c r="G451" s="1">
        <v>46039</v>
      </c>
      <c r="H451">
        <v>3</v>
      </c>
      <c r="I451" s="3">
        <v>179550.77</v>
      </c>
      <c r="J451" t="str">
        <f>VLOOKUP(H451,Diagnosis!$A:$B,2,FALSE)</f>
        <v>Asthma</v>
      </c>
      <c r="K451" t="str">
        <f>VLOOKUP(H451,Outcome!A$2:$B$7,2,FALSE)</f>
        <v>Ongoing Treatment</v>
      </c>
      <c r="L451">
        <f t="shared" ref="L451:L514" si="14">DATEDIF(F451,G451,"d")</f>
        <v>0</v>
      </c>
      <c r="M451" t="str">
        <f>IF(Labs!E451&gt;120,"High","Normal")</f>
        <v>High</v>
      </c>
      <c r="N451" t="str">
        <f t="shared" si="13"/>
        <v>High Risk</v>
      </c>
    </row>
    <row r="452" spans="1:14" x14ac:dyDescent="0.3">
      <c r="A452">
        <v>451</v>
      </c>
      <c r="B452" t="s">
        <v>346</v>
      </c>
      <c r="C452">
        <v>52</v>
      </c>
      <c r="D452" t="s">
        <v>10</v>
      </c>
      <c r="E452">
        <v>1</v>
      </c>
      <c r="F452" s="1">
        <v>45756</v>
      </c>
      <c r="G452" s="1">
        <v>45778</v>
      </c>
      <c r="H452">
        <v>6</v>
      </c>
      <c r="I452" s="3">
        <v>147342.60999999999</v>
      </c>
      <c r="J452" t="str">
        <f>VLOOKUP(H452,Diagnosis!$A:$B,2,FALSE)</f>
        <v>Kidney Disease</v>
      </c>
      <c r="K452" t="str">
        <f>VLOOKUP(H452,Outcome!A$2:$B$7,2,FALSE)</f>
        <v>Deceased</v>
      </c>
      <c r="L452">
        <f t="shared" si="14"/>
        <v>22</v>
      </c>
      <c r="M452" t="str">
        <f>IF(Labs!E452&gt;120,"High","Normal")</f>
        <v>High</v>
      </c>
      <c r="N452" t="str">
        <f t="shared" ref="N452:N515" si="15">IF(OR(C452&gt;65,H452&lt;&gt;1),"High Risk","low risk")</f>
        <v>High Risk</v>
      </c>
    </row>
    <row r="453" spans="1:14" x14ac:dyDescent="0.3">
      <c r="A453">
        <v>452</v>
      </c>
      <c r="B453" t="s">
        <v>333</v>
      </c>
      <c r="C453">
        <v>88</v>
      </c>
      <c r="D453" t="s">
        <v>10</v>
      </c>
      <c r="E453">
        <v>6</v>
      </c>
      <c r="F453" s="1">
        <v>45600</v>
      </c>
      <c r="G453" s="1">
        <v>45609</v>
      </c>
      <c r="H453">
        <v>4</v>
      </c>
      <c r="I453" s="3">
        <v>151713.37</v>
      </c>
      <c r="J453" t="str">
        <f>VLOOKUP(H453,Diagnosis!$A:$B,2,FALSE)</f>
        <v>Pneumonia</v>
      </c>
      <c r="K453" t="str">
        <f>VLOOKUP(H453,Outcome!A$2:$B$7,2,FALSE)</f>
        <v>Referred</v>
      </c>
      <c r="L453">
        <f t="shared" si="14"/>
        <v>9</v>
      </c>
      <c r="M453" t="str">
        <f>IF(Labs!E453&gt;120,"High","Normal")</f>
        <v>High</v>
      </c>
      <c r="N453" t="str">
        <f t="shared" si="15"/>
        <v>High Risk</v>
      </c>
    </row>
    <row r="454" spans="1:14" x14ac:dyDescent="0.3">
      <c r="A454">
        <v>453</v>
      </c>
      <c r="B454" t="s">
        <v>347</v>
      </c>
      <c r="C454">
        <v>38</v>
      </c>
      <c r="D454" t="s">
        <v>17</v>
      </c>
      <c r="E454">
        <v>8</v>
      </c>
      <c r="F454" s="1">
        <v>44824</v>
      </c>
      <c r="G454" s="1">
        <v>44847</v>
      </c>
      <c r="H454">
        <v>1</v>
      </c>
      <c r="I454" s="3">
        <v>145981.04</v>
      </c>
      <c r="J454" t="str">
        <f>VLOOKUP(H454,Diagnosis!$A:$B,2,FALSE)</f>
        <v>Diabetes</v>
      </c>
      <c r="K454" t="str">
        <f>VLOOKUP(H454,Outcome!A$2:$B$7,2,FALSE)</f>
        <v>Recovered</v>
      </c>
      <c r="L454">
        <f t="shared" si="14"/>
        <v>23</v>
      </c>
      <c r="M454" t="str">
        <f>IF(Labs!E454&gt;120,"High","Normal")</f>
        <v>High</v>
      </c>
      <c r="N454" t="str">
        <f t="shared" si="15"/>
        <v>low risk</v>
      </c>
    </row>
    <row r="455" spans="1:14" x14ac:dyDescent="0.3">
      <c r="A455">
        <v>454</v>
      </c>
      <c r="B455" t="s">
        <v>322</v>
      </c>
      <c r="C455">
        <v>84</v>
      </c>
      <c r="D455" t="s">
        <v>17</v>
      </c>
      <c r="E455">
        <v>4</v>
      </c>
      <c r="F455" s="1">
        <v>45289</v>
      </c>
      <c r="G455" s="1">
        <v>45296</v>
      </c>
      <c r="H455">
        <v>3</v>
      </c>
      <c r="I455" s="3">
        <v>57007.64</v>
      </c>
      <c r="J455" t="str">
        <f>VLOOKUP(H455,Diagnosis!$A:$B,2,FALSE)</f>
        <v>Asthma</v>
      </c>
      <c r="K455" t="str">
        <f>VLOOKUP(H455,Outcome!A$2:$B$7,2,FALSE)</f>
        <v>Ongoing Treatment</v>
      </c>
      <c r="L455">
        <f t="shared" si="14"/>
        <v>7</v>
      </c>
      <c r="M455" t="str">
        <f>IF(Labs!E455&gt;120,"High","Normal")</f>
        <v>High</v>
      </c>
      <c r="N455" t="str">
        <f t="shared" si="15"/>
        <v>High Risk</v>
      </c>
    </row>
    <row r="456" spans="1:14" x14ac:dyDescent="0.3">
      <c r="A456">
        <v>455</v>
      </c>
      <c r="B456" t="s">
        <v>148</v>
      </c>
      <c r="C456">
        <v>34</v>
      </c>
      <c r="D456" t="s">
        <v>10</v>
      </c>
      <c r="E456">
        <v>8</v>
      </c>
      <c r="F456" s="1">
        <v>44803</v>
      </c>
      <c r="G456" s="1">
        <v>44818</v>
      </c>
      <c r="H456">
        <v>1</v>
      </c>
      <c r="I456" s="3">
        <v>115105.42</v>
      </c>
      <c r="J456" t="str">
        <f>VLOOKUP(H456,Diagnosis!$A:$B,2,FALSE)</f>
        <v>Diabetes</v>
      </c>
      <c r="K456" t="str">
        <f>VLOOKUP(H456,Outcome!A$2:$B$7,2,FALSE)</f>
        <v>Recovered</v>
      </c>
      <c r="L456">
        <f t="shared" si="14"/>
        <v>15</v>
      </c>
      <c r="M456" t="str">
        <f>IF(Labs!E456&gt;120,"High","Normal")</f>
        <v>High</v>
      </c>
      <c r="N456" t="str">
        <f t="shared" si="15"/>
        <v>low risk</v>
      </c>
    </row>
    <row r="457" spans="1:14" x14ac:dyDescent="0.3">
      <c r="A457">
        <v>456</v>
      </c>
      <c r="B457" t="s">
        <v>348</v>
      </c>
      <c r="C457">
        <v>10</v>
      </c>
      <c r="D457" t="s">
        <v>10</v>
      </c>
      <c r="E457">
        <v>4</v>
      </c>
      <c r="F457" s="1">
        <v>45586</v>
      </c>
      <c r="G457" s="1">
        <v>45589</v>
      </c>
      <c r="H457">
        <v>5</v>
      </c>
      <c r="I457" s="3">
        <v>70246.289999999994</v>
      </c>
      <c r="J457" t="str">
        <f>VLOOKUP(H457,Diagnosis!$A:$B,2,FALSE)</f>
        <v>Heart Disease</v>
      </c>
      <c r="K457" t="str">
        <f>VLOOKUP(H457,Outcome!A$2:$B$7,2,FALSE)</f>
        <v>Readmitted</v>
      </c>
      <c r="L457">
        <f t="shared" si="14"/>
        <v>3</v>
      </c>
      <c r="M457" t="str">
        <f>IF(Labs!E457&gt;120,"High","Normal")</f>
        <v>High</v>
      </c>
      <c r="N457" t="str">
        <f t="shared" si="15"/>
        <v>High Risk</v>
      </c>
    </row>
    <row r="458" spans="1:14" x14ac:dyDescent="0.3">
      <c r="A458">
        <v>457</v>
      </c>
      <c r="B458" t="s">
        <v>349</v>
      </c>
      <c r="C458">
        <v>7</v>
      </c>
      <c r="D458" t="s">
        <v>17</v>
      </c>
      <c r="E458">
        <v>3</v>
      </c>
      <c r="F458" s="1">
        <v>44972</v>
      </c>
      <c r="G458" s="1">
        <v>44982</v>
      </c>
      <c r="H458">
        <v>2</v>
      </c>
      <c r="I458" s="3">
        <v>103569.14</v>
      </c>
      <c r="J458" t="str">
        <f>VLOOKUP(H458,Diagnosis!$A:$B,2,FALSE)</f>
        <v>Hypertension</v>
      </c>
      <c r="K458" t="str">
        <f>VLOOKUP(H458,Outcome!A$2:$B$7,2,FALSE)</f>
        <v>Improved</v>
      </c>
      <c r="L458">
        <f t="shared" si="14"/>
        <v>10</v>
      </c>
      <c r="M458" t="str">
        <f>IF(Labs!E458&gt;120,"High","Normal")</f>
        <v>High</v>
      </c>
      <c r="N458" t="str">
        <f t="shared" si="15"/>
        <v>High Risk</v>
      </c>
    </row>
    <row r="459" spans="1:14" x14ac:dyDescent="0.3">
      <c r="A459">
        <v>458</v>
      </c>
      <c r="B459" t="s">
        <v>22</v>
      </c>
      <c r="C459">
        <v>41</v>
      </c>
      <c r="D459" t="s">
        <v>17</v>
      </c>
      <c r="E459">
        <v>2</v>
      </c>
      <c r="F459" s="1">
        <v>45560</v>
      </c>
      <c r="G459" s="1">
        <v>45570</v>
      </c>
      <c r="H459">
        <v>2</v>
      </c>
      <c r="I459" s="3">
        <v>33886.31</v>
      </c>
      <c r="J459" t="str">
        <f>VLOOKUP(H459,Diagnosis!$A:$B,2,FALSE)</f>
        <v>Hypertension</v>
      </c>
      <c r="K459" t="str">
        <f>VLOOKUP(H459,Outcome!A$2:$B$7,2,FALSE)</f>
        <v>Improved</v>
      </c>
      <c r="L459">
        <f t="shared" si="14"/>
        <v>10</v>
      </c>
      <c r="M459" t="str">
        <f>IF(Labs!E459&gt;120,"High","Normal")</f>
        <v>High</v>
      </c>
      <c r="N459" t="str">
        <f t="shared" si="15"/>
        <v>High Risk</v>
      </c>
    </row>
    <row r="460" spans="1:14" x14ac:dyDescent="0.3">
      <c r="A460">
        <v>459</v>
      </c>
      <c r="B460" t="s">
        <v>350</v>
      </c>
      <c r="C460">
        <v>58</v>
      </c>
      <c r="D460" t="s">
        <v>10</v>
      </c>
      <c r="E460">
        <v>4</v>
      </c>
      <c r="F460" s="1">
        <v>46120</v>
      </c>
      <c r="G460" s="1">
        <v>46144</v>
      </c>
      <c r="H460">
        <v>1</v>
      </c>
      <c r="I460" s="3">
        <v>138195.85999999999</v>
      </c>
      <c r="J460" t="str">
        <f>VLOOKUP(H460,Diagnosis!$A:$B,2,FALSE)</f>
        <v>Diabetes</v>
      </c>
      <c r="K460" t="str">
        <f>VLOOKUP(H460,Outcome!A$2:$B$7,2,FALSE)</f>
        <v>Recovered</v>
      </c>
      <c r="L460">
        <f t="shared" si="14"/>
        <v>24</v>
      </c>
      <c r="M460" t="str">
        <f>IF(Labs!E460&gt;120,"High","Normal")</f>
        <v>High</v>
      </c>
      <c r="N460" t="str">
        <f t="shared" si="15"/>
        <v>low risk</v>
      </c>
    </row>
    <row r="461" spans="1:14" x14ac:dyDescent="0.3">
      <c r="A461">
        <v>460</v>
      </c>
      <c r="B461" t="s">
        <v>351</v>
      </c>
      <c r="C461">
        <v>17</v>
      </c>
      <c r="D461" t="s">
        <v>10</v>
      </c>
      <c r="E461">
        <v>7</v>
      </c>
      <c r="F461" s="1">
        <v>45388</v>
      </c>
      <c r="G461" s="1">
        <v>45401</v>
      </c>
      <c r="H461">
        <v>6</v>
      </c>
      <c r="I461" s="3">
        <v>70538.66</v>
      </c>
      <c r="J461" t="str">
        <f>VLOOKUP(H461,Diagnosis!$A:$B,2,FALSE)</f>
        <v>Kidney Disease</v>
      </c>
      <c r="K461" t="str">
        <f>VLOOKUP(H461,Outcome!A$2:$B$7,2,FALSE)</f>
        <v>Deceased</v>
      </c>
      <c r="L461">
        <f t="shared" si="14"/>
        <v>13</v>
      </c>
      <c r="M461" t="str">
        <f>IF(Labs!E461&gt;120,"High","Normal")</f>
        <v>High</v>
      </c>
      <c r="N461" t="str">
        <f t="shared" si="15"/>
        <v>High Risk</v>
      </c>
    </row>
    <row r="462" spans="1:14" x14ac:dyDescent="0.3">
      <c r="A462">
        <v>461</v>
      </c>
      <c r="B462" t="s">
        <v>352</v>
      </c>
      <c r="C462">
        <v>26</v>
      </c>
      <c r="D462" t="s">
        <v>10</v>
      </c>
      <c r="E462">
        <v>1</v>
      </c>
      <c r="F462" s="1">
        <v>45221</v>
      </c>
      <c r="G462" s="1">
        <v>45245</v>
      </c>
      <c r="H462">
        <v>4</v>
      </c>
      <c r="I462" s="3">
        <v>36327.370000000003</v>
      </c>
      <c r="J462" t="str">
        <f>VLOOKUP(H462,Diagnosis!$A:$B,2,FALSE)</f>
        <v>Pneumonia</v>
      </c>
      <c r="K462" t="str">
        <f>VLOOKUP(H462,Outcome!A$2:$B$7,2,FALSE)</f>
        <v>Referred</v>
      </c>
      <c r="L462">
        <f t="shared" si="14"/>
        <v>24</v>
      </c>
      <c r="M462" t="str">
        <f>IF(Labs!E462&gt;120,"High","Normal")</f>
        <v>High</v>
      </c>
      <c r="N462" t="str">
        <f t="shared" si="15"/>
        <v>High Risk</v>
      </c>
    </row>
    <row r="463" spans="1:14" x14ac:dyDescent="0.3">
      <c r="A463">
        <v>462</v>
      </c>
      <c r="B463" t="s">
        <v>353</v>
      </c>
      <c r="C463">
        <v>29</v>
      </c>
      <c r="D463" t="s">
        <v>10</v>
      </c>
      <c r="E463">
        <v>5</v>
      </c>
      <c r="F463" s="1">
        <v>44826</v>
      </c>
      <c r="G463" s="1">
        <v>44829</v>
      </c>
      <c r="H463">
        <v>2</v>
      </c>
      <c r="I463" s="3">
        <v>106989.05</v>
      </c>
      <c r="J463" t="str">
        <f>VLOOKUP(H463,Diagnosis!$A:$B,2,FALSE)</f>
        <v>Hypertension</v>
      </c>
      <c r="K463" t="str">
        <f>VLOOKUP(H463,Outcome!A$2:$B$7,2,FALSE)</f>
        <v>Improved</v>
      </c>
      <c r="L463">
        <f t="shared" si="14"/>
        <v>3</v>
      </c>
      <c r="M463" t="str">
        <f>IF(Labs!E463&gt;120,"High","Normal")</f>
        <v>High</v>
      </c>
      <c r="N463" t="str">
        <f t="shared" si="15"/>
        <v>High Risk</v>
      </c>
    </row>
    <row r="464" spans="1:14" x14ac:dyDescent="0.3">
      <c r="A464">
        <v>463</v>
      </c>
      <c r="B464" t="s">
        <v>64</v>
      </c>
      <c r="C464">
        <v>6</v>
      </c>
      <c r="D464" t="s">
        <v>10</v>
      </c>
      <c r="E464">
        <v>5</v>
      </c>
      <c r="F464" s="1">
        <v>45495</v>
      </c>
      <c r="G464" s="1">
        <v>45518</v>
      </c>
      <c r="H464">
        <v>2</v>
      </c>
      <c r="I464" s="3">
        <v>95530.880000000005</v>
      </c>
      <c r="J464" t="str">
        <f>VLOOKUP(H464,Diagnosis!$A:$B,2,FALSE)</f>
        <v>Hypertension</v>
      </c>
      <c r="K464" t="str">
        <f>VLOOKUP(H464,Outcome!A$2:$B$7,2,FALSE)</f>
        <v>Improved</v>
      </c>
      <c r="L464">
        <f t="shared" si="14"/>
        <v>23</v>
      </c>
      <c r="M464" t="str">
        <f>IF(Labs!E464&gt;120,"High","Normal")</f>
        <v>High</v>
      </c>
      <c r="N464" t="str">
        <f t="shared" si="15"/>
        <v>High Risk</v>
      </c>
    </row>
    <row r="465" spans="1:14" x14ac:dyDescent="0.3">
      <c r="A465">
        <v>464</v>
      </c>
      <c r="B465" t="s">
        <v>52</v>
      </c>
      <c r="C465">
        <v>44</v>
      </c>
      <c r="D465" t="s">
        <v>10</v>
      </c>
      <c r="E465">
        <v>6</v>
      </c>
      <c r="F465" s="1">
        <v>46098</v>
      </c>
      <c r="G465" s="1">
        <v>46104</v>
      </c>
      <c r="H465">
        <v>1</v>
      </c>
      <c r="I465" s="3">
        <v>163473.73000000001</v>
      </c>
      <c r="J465" t="str">
        <f>VLOOKUP(H465,Diagnosis!$A:$B,2,FALSE)</f>
        <v>Diabetes</v>
      </c>
      <c r="K465" t="str">
        <f>VLOOKUP(H465,Outcome!A$2:$B$7,2,FALSE)</f>
        <v>Recovered</v>
      </c>
      <c r="L465">
        <f t="shared" si="14"/>
        <v>6</v>
      </c>
      <c r="M465" t="str">
        <f>IF(Labs!E465&gt;120,"High","Normal")</f>
        <v>High</v>
      </c>
      <c r="N465" t="str">
        <f t="shared" si="15"/>
        <v>low risk</v>
      </c>
    </row>
    <row r="466" spans="1:14" x14ac:dyDescent="0.3">
      <c r="A466">
        <v>465</v>
      </c>
      <c r="B466" t="s">
        <v>354</v>
      </c>
      <c r="C466">
        <v>30</v>
      </c>
      <c r="D466" t="s">
        <v>17</v>
      </c>
      <c r="E466">
        <v>3</v>
      </c>
      <c r="F466" s="1">
        <v>44994</v>
      </c>
      <c r="G466" s="1">
        <v>45017</v>
      </c>
      <c r="H466">
        <v>1</v>
      </c>
      <c r="I466" s="3">
        <v>92072.46</v>
      </c>
      <c r="J466" t="str">
        <f>VLOOKUP(H466,Diagnosis!$A:$B,2,FALSE)</f>
        <v>Diabetes</v>
      </c>
      <c r="K466" t="str">
        <f>VLOOKUP(H466,Outcome!A$2:$B$7,2,FALSE)</f>
        <v>Recovered</v>
      </c>
      <c r="L466">
        <f t="shared" si="14"/>
        <v>23</v>
      </c>
      <c r="M466" t="str">
        <f>IF(Labs!E466&gt;120,"High","Normal")</f>
        <v>High</v>
      </c>
      <c r="N466" t="str">
        <f t="shared" si="15"/>
        <v>low risk</v>
      </c>
    </row>
    <row r="467" spans="1:14" x14ac:dyDescent="0.3">
      <c r="A467">
        <v>466</v>
      </c>
      <c r="B467" t="s">
        <v>355</v>
      </c>
      <c r="C467">
        <v>92</v>
      </c>
      <c r="D467" t="s">
        <v>17</v>
      </c>
      <c r="E467">
        <v>7</v>
      </c>
      <c r="F467" s="1">
        <v>45873</v>
      </c>
      <c r="G467" s="1">
        <v>45881</v>
      </c>
      <c r="H467">
        <v>4</v>
      </c>
      <c r="I467" s="3">
        <v>113106.42</v>
      </c>
      <c r="J467" t="str">
        <f>VLOOKUP(H467,Diagnosis!$A:$B,2,FALSE)</f>
        <v>Pneumonia</v>
      </c>
      <c r="K467" t="str">
        <f>VLOOKUP(H467,Outcome!A$2:$B$7,2,FALSE)</f>
        <v>Referred</v>
      </c>
      <c r="L467">
        <f t="shared" si="14"/>
        <v>8</v>
      </c>
      <c r="M467" t="str">
        <f>IF(Labs!E467&gt;120,"High","Normal")</f>
        <v>High</v>
      </c>
      <c r="N467" t="str">
        <f t="shared" si="15"/>
        <v>High Risk</v>
      </c>
    </row>
    <row r="468" spans="1:14" x14ac:dyDescent="0.3">
      <c r="A468">
        <v>467</v>
      </c>
      <c r="B468" t="s">
        <v>356</v>
      </c>
      <c r="C468">
        <v>85</v>
      </c>
      <c r="D468" t="s">
        <v>17</v>
      </c>
      <c r="E468">
        <v>1</v>
      </c>
      <c r="F468" s="1">
        <v>44660</v>
      </c>
      <c r="G468" s="1">
        <v>44682</v>
      </c>
      <c r="H468">
        <v>1</v>
      </c>
      <c r="I468" s="3">
        <v>81365.789999999994</v>
      </c>
      <c r="J468" t="str">
        <f>VLOOKUP(H468,Diagnosis!$A:$B,2,FALSE)</f>
        <v>Diabetes</v>
      </c>
      <c r="K468" t="str">
        <f>VLOOKUP(H468,Outcome!A$2:$B$7,2,FALSE)</f>
        <v>Recovered</v>
      </c>
      <c r="L468">
        <f t="shared" si="14"/>
        <v>22</v>
      </c>
      <c r="M468" t="str">
        <f>IF(Labs!E468&gt;120,"High","Normal")</f>
        <v>High</v>
      </c>
      <c r="N468" t="str">
        <f t="shared" si="15"/>
        <v>High Risk</v>
      </c>
    </row>
    <row r="469" spans="1:14" x14ac:dyDescent="0.3">
      <c r="A469">
        <v>468</v>
      </c>
      <c r="B469" t="s">
        <v>357</v>
      </c>
      <c r="C469">
        <v>33</v>
      </c>
      <c r="D469" t="s">
        <v>10</v>
      </c>
      <c r="E469">
        <v>3</v>
      </c>
      <c r="F469" s="1">
        <v>44982</v>
      </c>
      <c r="G469" s="1">
        <v>45004</v>
      </c>
      <c r="H469">
        <v>3</v>
      </c>
      <c r="I469" s="3">
        <v>4151.5600000000004</v>
      </c>
      <c r="J469" t="str">
        <f>VLOOKUP(H469,Diagnosis!$A:$B,2,FALSE)</f>
        <v>Asthma</v>
      </c>
      <c r="K469" t="str">
        <f>VLOOKUP(H469,Outcome!A$2:$B$7,2,FALSE)</f>
        <v>Ongoing Treatment</v>
      </c>
      <c r="L469">
        <f t="shared" si="14"/>
        <v>22</v>
      </c>
      <c r="M469" t="str">
        <f>IF(Labs!E469&gt;120,"High","Normal")</f>
        <v>High</v>
      </c>
      <c r="N469" t="str">
        <f t="shared" si="15"/>
        <v>High Risk</v>
      </c>
    </row>
    <row r="470" spans="1:14" x14ac:dyDescent="0.3">
      <c r="A470">
        <v>469</v>
      </c>
      <c r="B470" t="s">
        <v>130</v>
      </c>
      <c r="C470">
        <v>85</v>
      </c>
      <c r="D470" t="s">
        <v>10</v>
      </c>
      <c r="E470">
        <v>10</v>
      </c>
      <c r="F470" s="1">
        <v>45802</v>
      </c>
      <c r="G470" s="1">
        <v>45824</v>
      </c>
      <c r="H470">
        <v>1</v>
      </c>
      <c r="I470" s="3">
        <v>149940.85999999999</v>
      </c>
      <c r="J470" t="str">
        <f>VLOOKUP(H470,Diagnosis!$A:$B,2,FALSE)</f>
        <v>Diabetes</v>
      </c>
      <c r="K470" t="str">
        <f>VLOOKUP(H470,Outcome!A$2:$B$7,2,FALSE)</f>
        <v>Recovered</v>
      </c>
      <c r="L470">
        <f t="shared" si="14"/>
        <v>22</v>
      </c>
      <c r="M470" t="str">
        <f>IF(Labs!E470&gt;120,"High","Normal")</f>
        <v>High</v>
      </c>
      <c r="N470" t="str">
        <f t="shared" si="15"/>
        <v>High Risk</v>
      </c>
    </row>
    <row r="471" spans="1:14" x14ac:dyDescent="0.3">
      <c r="A471">
        <v>470</v>
      </c>
      <c r="B471" t="s">
        <v>170</v>
      </c>
      <c r="C471">
        <v>93</v>
      </c>
      <c r="D471" t="s">
        <v>17</v>
      </c>
      <c r="E471">
        <v>5</v>
      </c>
      <c r="F471" s="1">
        <v>44795</v>
      </c>
      <c r="G471" s="1">
        <v>44820</v>
      </c>
      <c r="H471">
        <v>1</v>
      </c>
      <c r="I471" s="3">
        <v>37759.78</v>
      </c>
      <c r="J471" t="str">
        <f>VLOOKUP(H471,Diagnosis!$A:$B,2,FALSE)</f>
        <v>Diabetes</v>
      </c>
      <c r="K471" t="str">
        <f>VLOOKUP(H471,Outcome!A$2:$B$7,2,FALSE)</f>
        <v>Recovered</v>
      </c>
      <c r="L471">
        <f t="shared" si="14"/>
        <v>25</v>
      </c>
      <c r="M471" t="str">
        <f>IF(Labs!E471&gt;120,"High","Normal")</f>
        <v>High</v>
      </c>
      <c r="N471" t="str">
        <f t="shared" si="15"/>
        <v>High Risk</v>
      </c>
    </row>
    <row r="472" spans="1:14" x14ac:dyDescent="0.3">
      <c r="A472">
        <v>471</v>
      </c>
      <c r="B472" t="s">
        <v>358</v>
      </c>
      <c r="C472">
        <v>67</v>
      </c>
      <c r="D472" t="s">
        <v>17</v>
      </c>
      <c r="E472">
        <v>6</v>
      </c>
      <c r="F472" s="1">
        <v>46002</v>
      </c>
      <c r="G472" s="1">
        <v>46015</v>
      </c>
      <c r="H472">
        <v>1</v>
      </c>
      <c r="I472" s="3">
        <v>9494.51</v>
      </c>
      <c r="J472" t="str">
        <f>VLOOKUP(H472,Diagnosis!$A:$B,2,FALSE)</f>
        <v>Diabetes</v>
      </c>
      <c r="K472" t="str">
        <f>VLOOKUP(H472,Outcome!A$2:$B$7,2,FALSE)</f>
        <v>Recovered</v>
      </c>
      <c r="L472">
        <f t="shared" si="14"/>
        <v>13</v>
      </c>
      <c r="M472" t="str">
        <f>IF(Labs!E472&gt;120,"High","Normal")</f>
        <v>High</v>
      </c>
      <c r="N472" t="str">
        <f t="shared" si="15"/>
        <v>High Risk</v>
      </c>
    </row>
    <row r="473" spans="1:14" x14ac:dyDescent="0.3">
      <c r="A473">
        <v>472</v>
      </c>
      <c r="B473" t="s">
        <v>359</v>
      </c>
      <c r="C473">
        <v>89</v>
      </c>
      <c r="D473" t="s">
        <v>10</v>
      </c>
      <c r="E473">
        <v>6</v>
      </c>
      <c r="F473" s="1">
        <v>45042</v>
      </c>
      <c r="G473" s="1">
        <v>45042</v>
      </c>
      <c r="H473">
        <v>1</v>
      </c>
      <c r="I473" s="3">
        <v>18298</v>
      </c>
      <c r="J473" t="str">
        <f>VLOOKUP(H473,Diagnosis!$A:$B,2,FALSE)</f>
        <v>Diabetes</v>
      </c>
      <c r="K473" t="str">
        <f>VLOOKUP(H473,Outcome!A$2:$B$7,2,FALSE)</f>
        <v>Recovered</v>
      </c>
      <c r="L473">
        <f t="shared" si="14"/>
        <v>0</v>
      </c>
      <c r="M473" t="str">
        <f>IF(Labs!E473&gt;120,"High","Normal")</f>
        <v>High</v>
      </c>
      <c r="N473" t="str">
        <f t="shared" si="15"/>
        <v>High Risk</v>
      </c>
    </row>
    <row r="474" spans="1:14" x14ac:dyDescent="0.3">
      <c r="A474">
        <v>473</v>
      </c>
      <c r="B474" t="s">
        <v>81</v>
      </c>
      <c r="C474">
        <v>86</v>
      </c>
      <c r="D474" t="s">
        <v>10</v>
      </c>
      <c r="E474">
        <v>3</v>
      </c>
      <c r="F474" s="1">
        <v>44746</v>
      </c>
      <c r="G474" s="1">
        <v>44770</v>
      </c>
      <c r="H474">
        <v>2</v>
      </c>
      <c r="I474" s="3">
        <v>130932.54</v>
      </c>
      <c r="J474" t="str">
        <f>VLOOKUP(H474,Diagnosis!$A:$B,2,FALSE)</f>
        <v>Hypertension</v>
      </c>
      <c r="K474" t="str">
        <f>VLOOKUP(H474,Outcome!A$2:$B$7,2,FALSE)</f>
        <v>Improved</v>
      </c>
      <c r="L474">
        <f t="shared" si="14"/>
        <v>24</v>
      </c>
      <c r="M474" t="str">
        <f>IF(Labs!E474&gt;120,"High","Normal")</f>
        <v>High</v>
      </c>
      <c r="N474" t="str">
        <f t="shared" si="15"/>
        <v>High Risk</v>
      </c>
    </row>
    <row r="475" spans="1:14" x14ac:dyDescent="0.3">
      <c r="A475">
        <v>474</v>
      </c>
      <c r="B475" t="s">
        <v>360</v>
      </c>
      <c r="C475">
        <v>83</v>
      </c>
      <c r="D475" t="s">
        <v>17</v>
      </c>
      <c r="E475">
        <v>8</v>
      </c>
      <c r="F475" s="1">
        <v>45168</v>
      </c>
      <c r="G475" s="1">
        <v>45176</v>
      </c>
      <c r="H475">
        <v>2</v>
      </c>
      <c r="I475" s="3">
        <v>20216.080000000002</v>
      </c>
      <c r="J475" t="str">
        <f>VLOOKUP(H475,Diagnosis!$A:$B,2,FALSE)</f>
        <v>Hypertension</v>
      </c>
      <c r="K475" t="str">
        <f>VLOOKUP(H475,Outcome!A$2:$B$7,2,FALSE)</f>
        <v>Improved</v>
      </c>
      <c r="L475">
        <f t="shared" si="14"/>
        <v>8</v>
      </c>
      <c r="M475" t="str">
        <f>IF(Labs!E475&gt;120,"High","Normal")</f>
        <v>High</v>
      </c>
      <c r="N475" t="str">
        <f t="shared" si="15"/>
        <v>High Risk</v>
      </c>
    </row>
    <row r="476" spans="1:14" x14ac:dyDescent="0.3">
      <c r="A476">
        <v>475</v>
      </c>
      <c r="B476" t="s">
        <v>361</v>
      </c>
      <c r="C476">
        <v>38</v>
      </c>
      <c r="D476" t="s">
        <v>10</v>
      </c>
      <c r="E476">
        <v>6</v>
      </c>
      <c r="F476" s="1">
        <v>45434</v>
      </c>
      <c r="G476" s="1">
        <v>45457</v>
      </c>
      <c r="H476">
        <v>1</v>
      </c>
      <c r="I476" s="3">
        <v>153596.15</v>
      </c>
      <c r="J476" t="str">
        <f>VLOOKUP(H476,Diagnosis!$A:$B,2,FALSE)</f>
        <v>Diabetes</v>
      </c>
      <c r="K476" t="str">
        <f>VLOOKUP(H476,Outcome!A$2:$B$7,2,FALSE)</f>
        <v>Recovered</v>
      </c>
      <c r="L476">
        <f t="shared" si="14"/>
        <v>23</v>
      </c>
      <c r="M476" t="str">
        <f>IF(Labs!E476&gt;120,"High","Normal")</f>
        <v>High</v>
      </c>
      <c r="N476" t="str">
        <f t="shared" si="15"/>
        <v>low risk</v>
      </c>
    </row>
    <row r="477" spans="1:14" x14ac:dyDescent="0.3">
      <c r="A477">
        <v>476</v>
      </c>
      <c r="B477" t="s">
        <v>362</v>
      </c>
      <c r="C477">
        <v>18</v>
      </c>
      <c r="D477" t="s">
        <v>17</v>
      </c>
      <c r="E477">
        <v>6</v>
      </c>
      <c r="F477" s="1">
        <v>45294</v>
      </c>
      <c r="G477" s="1">
        <v>45322</v>
      </c>
      <c r="H477">
        <v>2</v>
      </c>
      <c r="I477" s="3">
        <v>112870.75</v>
      </c>
      <c r="J477" t="str">
        <f>VLOOKUP(H477,Diagnosis!$A:$B,2,FALSE)</f>
        <v>Hypertension</v>
      </c>
      <c r="K477" t="str">
        <f>VLOOKUP(H477,Outcome!A$2:$B$7,2,FALSE)</f>
        <v>Improved</v>
      </c>
      <c r="L477">
        <f t="shared" si="14"/>
        <v>28</v>
      </c>
      <c r="M477" t="str">
        <f>IF(Labs!E477&gt;120,"High","Normal")</f>
        <v>High</v>
      </c>
      <c r="N477" t="str">
        <f t="shared" si="15"/>
        <v>High Risk</v>
      </c>
    </row>
    <row r="478" spans="1:14" x14ac:dyDescent="0.3">
      <c r="A478">
        <v>477</v>
      </c>
      <c r="B478" t="s">
        <v>261</v>
      </c>
      <c r="C478">
        <v>44</v>
      </c>
      <c r="D478" t="s">
        <v>17</v>
      </c>
      <c r="E478">
        <v>2</v>
      </c>
      <c r="F478" s="1">
        <v>45382</v>
      </c>
      <c r="G478" s="1">
        <v>45394</v>
      </c>
      <c r="H478">
        <v>6</v>
      </c>
      <c r="I478" s="3">
        <v>50750.37</v>
      </c>
      <c r="J478" t="str">
        <f>VLOOKUP(H478,Diagnosis!$A:$B,2,FALSE)</f>
        <v>Kidney Disease</v>
      </c>
      <c r="K478" t="str">
        <f>VLOOKUP(H478,Outcome!A$2:$B$7,2,FALSE)</f>
        <v>Deceased</v>
      </c>
      <c r="L478">
        <f t="shared" si="14"/>
        <v>12</v>
      </c>
      <c r="M478" t="str">
        <f>IF(Labs!E478&gt;120,"High","Normal")</f>
        <v>High</v>
      </c>
      <c r="N478" t="str">
        <f t="shared" si="15"/>
        <v>High Risk</v>
      </c>
    </row>
    <row r="479" spans="1:14" x14ac:dyDescent="0.3">
      <c r="A479">
        <v>478</v>
      </c>
      <c r="B479" t="s">
        <v>363</v>
      </c>
      <c r="C479">
        <v>54</v>
      </c>
      <c r="D479" t="s">
        <v>17</v>
      </c>
      <c r="E479">
        <v>2</v>
      </c>
      <c r="F479" s="1">
        <v>44833</v>
      </c>
      <c r="G479" s="1">
        <v>44855</v>
      </c>
      <c r="H479">
        <v>3</v>
      </c>
      <c r="I479" s="3">
        <v>176728.53</v>
      </c>
      <c r="J479" t="str">
        <f>VLOOKUP(H479,Diagnosis!$A:$B,2,FALSE)</f>
        <v>Asthma</v>
      </c>
      <c r="K479" t="str">
        <f>VLOOKUP(H479,Outcome!A$2:$B$7,2,FALSE)</f>
        <v>Ongoing Treatment</v>
      </c>
      <c r="L479">
        <f t="shared" si="14"/>
        <v>22</v>
      </c>
      <c r="M479" t="str">
        <f>IF(Labs!E479&gt;120,"High","Normal")</f>
        <v>High</v>
      </c>
      <c r="N479" t="str">
        <f t="shared" si="15"/>
        <v>High Risk</v>
      </c>
    </row>
    <row r="480" spans="1:14" x14ac:dyDescent="0.3">
      <c r="A480">
        <v>479</v>
      </c>
      <c r="B480" t="s">
        <v>318</v>
      </c>
      <c r="C480">
        <v>54</v>
      </c>
      <c r="D480" t="s">
        <v>10</v>
      </c>
      <c r="E480">
        <v>10</v>
      </c>
      <c r="F480" s="1">
        <v>45951</v>
      </c>
      <c r="G480" s="1">
        <v>45965</v>
      </c>
      <c r="H480">
        <v>1</v>
      </c>
      <c r="I480" s="3">
        <v>69905.759999999995</v>
      </c>
      <c r="J480" t="str">
        <f>VLOOKUP(H480,Diagnosis!$A:$B,2,FALSE)</f>
        <v>Diabetes</v>
      </c>
      <c r="K480" t="str">
        <f>VLOOKUP(H480,Outcome!A$2:$B$7,2,FALSE)</f>
        <v>Recovered</v>
      </c>
      <c r="L480">
        <f t="shared" si="14"/>
        <v>14</v>
      </c>
      <c r="M480" t="str">
        <f>IF(Labs!E480&gt;120,"High","Normal")</f>
        <v>High</v>
      </c>
      <c r="N480" t="str">
        <f t="shared" si="15"/>
        <v>low risk</v>
      </c>
    </row>
    <row r="481" spans="1:14" x14ac:dyDescent="0.3">
      <c r="A481">
        <v>480</v>
      </c>
      <c r="B481" t="s">
        <v>364</v>
      </c>
      <c r="C481">
        <v>4</v>
      </c>
      <c r="D481" t="s">
        <v>17</v>
      </c>
      <c r="E481">
        <v>8</v>
      </c>
      <c r="F481" s="1">
        <v>45561</v>
      </c>
      <c r="G481" s="1">
        <v>45564</v>
      </c>
      <c r="H481">
        <v>5</v>
      </c>
      <c r="I481" s="3">
        <v>80722.100000000006</v>
      </c>
      <c r="J481" t="str">
        <f>VLOOKUP(H481,Diagnosis!$A:$B,2,FALSE)</f>
        <v>Heart Disease</v>
      </c>
      <c r="K481" t="str">
        <f>VLOOKUP(H481,Outcome!A$2:$B$7,2,FALSE)</f>
        <v>Readmitted</v>
      </c>
      <c r="L481">
        <f t="shared" si="14"/>
        <v>3</v>
      </c>
      <c r="M481" t="str">
        <f>IF(Labs!E481&gt;120,"High","Normal")</f>
        <v>High</v>
      </c>
      <c r="N481" t="str">
        <f t="shared" si="15"/>
        <v>High Risk</v>
      </c>
    </row>
    <row r="482" spans="1:14" x14ac:dyDescent="0.3">
      <c r="A482">
        <v>481</v>
      </c>
      <c r="B482" t="s">
        <v>57</v>
      </c>
      <c r="C482">
        <v>84</v>
      </c>
      <c r="D482" t="s">
        <v>10</v>
      </c>
      <c r="E482">
        <v>1</v>
      </c>
      <c r="F482" s="1">
        <v>46004</v>
      </c>
      <c r="G482" s="1">
        <v>46031</v>
      </c>
      <c r="H482">
        <v>3</v>
      </c>
      <c r="I482" s="3">
        <v>138736.35</v>
      </c>
      <c r="J482" t="str">
        <f>VLOOKUP(H482,Diagnosis!$A:$B,2,FALSE)</f>
        <v>Asthma</v>
      </c>
      <c r="K482" t="str">
        <f>VLOOKUP(H482,Outcome!A$2:$B$7,2,FALSE)</f>
        <v>Ongoing Treatment</v>
      </c>
      <c r="L482">
        <f t="shared" si="14"/>
        <v>27</v>
      </c>
      <c r="M482" t="str">
        <f>IF(Labs!E482&gt;120,"High","Normal")</f>
        <v>High</v>
      </c>
      <c r="N482" t="str">
        <f t="shared" si="15"/>
        <v>High Risk</v>
      </c>
    </row>
    <row r="483" spans="1:14" x14ac:dyDescent="0.3">
      <c r="A483">
        <v>482</v>
      </c>
      <c r="B483" t="s">
        <v>35</v>
      </c>
      <c r="C483">
        <v>29</v>
      </c>
      <c r="D483" t="s">
        <v>10</v>
      </c>
      <c r="E483">
        <v>9</v>
      </c>
      <c r="F483" s="1">
        <v>45633</v>
      </c>
      <c r="G483" s="1">
        <v>45655</v>
      </c>
      <c r="H483">
        <v>3</v>
      </c>
      <c r="I483" s="3">
        <v>19405.48</v>
      </c>
      <c r="J483" t="str">
        <f>VLOOKUP(H483,Diagnosis!$A:$B,2,FALSE)</f>
        <v>Asthma</v>
      </c>
      <c r="K483" t="str">
        <f>VLOOKUP(H483,Outcome!A$2:$B$7,2,FALSE)</f>
        <v>Ongoing Treatment</v>
      </c>
      <c r="L483">
        <f t="shared" si="14"/>
        <v>22</v>
      </c>
      <c r="M483" t="str">
        <f>IF(Labs!E483&gt;120,"High","Normal")</f>
        <v>High</v>
      </c>
      <c r="N483" t="str">
        <f t="shared" si="15"/>
        <v>High Risk</v>
      </c>
    </row>
    <row r="484" spans="1:14" x14ac:dyDescent="0.3">
      <c r="A484">
        <v>483</v>
      </c>
      <c r="B484" t="s">
        <v>249</v>
      </c>
      <c r="C484">
        <v>45</v>
      </c>
      <c r="D484" t="s">
        <v>10</v>
      </c>
      <c r="E484">
        <v>3</v>
      </c>
      <c r="F484" s="1">
        <v>46280</v>
      </c>
      <c r="G484" s="1">
        <v>46306</v>
      </c>
      <c r="H484">
        <v>2</v>
      </c>
      <c r="I484" s="3">
        <v>177833.01</v>
      </c>
      <c r="J484" t="str">
        <f>VLOOKUP(H484,Diagnosis!$A:$B,2,FALSE)</f>
        <v>Hypertension</v>
      </c>
      <c r="K484" t="str">
        <f>VLOOKUP(H484,Outcome!A$2:$B$7,2,FALSE)</f>
        <v>Improved</v>
      </c>
      <c r="L484">
        <f t="shared" si="14"/>
        <v>26</v>
      </c>
      <c r="M484" t="str">
        <f>IF(Labs!E484&gt;120,"High","Normal")</f>
        <v>High</v>
      </c>
      <c r="N484" t="str">
        <f t="shared" si="15"/>
        <v>High Risk</v>
      </c>
    </row>
    <row r="485" spans="1:14" x14ac:dyDescent="0.3">
      <c r="A485">
        <v>484</v>
      </c>
      <c r="B485" t="s">
        <v>350</v>
      </c>
      <c r="C485">
        <v>83</v>
      </c>
      <c r="D485" t="s">
        <v>17</v>
      </c>
      <c r="E485">
        <v>9</v>
      </c>
      <c r="F485" s="1">
        <v>45523</v>
      </c>
      <c r="G485" s="1">
        <v>45550</v>
      </c>
      <c r="H485">
        <v>2</v>
      </c>
      <c r="I485" s="3">
        <v>31859.19</v>
      </c>
      <c r="J485" t="str">
        <f>VLOOKUP(H485,Diagnosis!$A:$B,2,FALSE)</f>
        <v>Hypertension</v>
      </c>
      <c r="K485" t="str">
        <f>VLOOKUP(H485,Outcome!A$2:$B$7,2,FALSE)</f>
        <v>Improved</v>
      </c>
      <c r="L485">
        <f t="shared" si="14"/>
        <v>27</v>
      </c>
      <c r="M485" t="str">
        <f>IF(Labs!E485&gt;120,"High","Normal")</f>
        <v>High</v>
      </c>
      <c r="N485" t="str">
        <f t="shared" si="15"/>
        <v>High Risk</v>
      </c>
    </row>
    <row r="486" spans="1:14" x14ac:dyDescent="0.3">
      <c r="A486">
        <v>485</v>
      </c>
      <c r="B486" t="s">
        <v>292</v>
      </c>
      <c r="C486">
        <v>31</v>
      </c>
      <c r="D486" t="s">
        <v>10</v>
      </c>
      <c r="E486">
        <v>5</v>
      </c>
      <c r="F486" s="1">
        <v>44665</v>
      </c>
      <c r="G486" s="1">
        <v>44681</v>
      </c>
      <c r="H486">
        <v>1</v>
      </c>
      <c r="I486" s="3">
        <v>116688.82</v>
      </c>
      <c r="J486" t="str">
        <f>VLOOKUP(H486,Diagnosis!$A:$B,2,FALSE)</f>
        <v>Diabetes</v>
      </c>
      <c r="K486" t="str">
        <f>VLOOKUP(H486,Outcome!A$2:$B$7,2,FALSE)</f>
        <v>Recovered</v>
      </c>
      <c r="L486">
        <f t="shared" si="14"/>
        <v>16</v>
      </c>
      <c r="M486" t="str">
        <f>IF(Labs!E486&gt;120,"High","Normal")</f>
        <v>High</v>
      </c>
      <c r="N486" t="str">
        <f t="shared" si="15"/>
        <v>low risk</v>
      </c>
    </row>
    <row r="487" spans="1:14" x14ac:dyDescent="0.3">
      <c r="A487">
        <v>486</v>
      </c>
      <c r="B487" t="s">
        <v>365</v>
      </c>
      <c r="C487">
        <v>11</v>
      </c>
      <c r="D487" t="s">
        <v>10</v>
      </c>
      <c r="E487">
        <v>8</v>
      </c>
      <c r="F487" s="1">
        <v>46202</v>
      </c>
      <c r="G487" s="1">
        <v>46220</v>
      </c>
      <c r="H487">
        <v>2</v>
      </c>
      <c r="I487" s="3">
        <v>154544.59</v>
      </c>
      <c r="J487" t="str">
        <f>VLOOKUP(H487,Diagnosis!$A:$B,2,FALSE)</f>
        <v>Hypertension</v>
      </c>
      <c r="K487" t="str">
        <f>VLOOKUP(H487,Outcome!A$2:$B$7,2,FALSE)</f>
        <v>Improved</v>
      </c>
      <c r="L487">
        <f t="shared" si="14"/>
        <v>18</v>
      </c>
      <c r="M487" t="str">
        <f>IF(Labs!E487&gt;120,"High","Normal")</f>
        <v>High</v>
      </c>
      <c r="N487" t="str">
        <f t="shared" si="15"/>
        <v>High Risk</v>
      </c>
    </row>
    <row r="488" spans="1:14" x14ac:dyDescent="0.3">
      <c r="A488">
        <v>487</v>
      </c>
      <c r="B488" t="s">
        <v>213</v>
      </c>
      <c r="C488">
        <v>16</v>
      </c>
      <c r="D488" t="s">
        <v>10</v>
      </c>
      <c r="E488">
        <v>1</v>
      </c>
      <c r="F488" s="1">
        <v>44772</v>
      </c>
      <c r="G488" s="1">
        <v>44784</v>
      </c>
      <c r="H488">
        <v>2</v>
      </c>
      <c r="I488" s="3">
        <v>101390.75</v>
      </c>
      <c r="J488" t="str">
        <f>VLOOKUP(H488,Diagnosis!$A:$B,2,FALSE)</f>
        <v>Hypertension</v>
      </c>
      <c r="K488" t="str">
        <f>VLOOKUP(H488,Outcome!A$2:$B$7,2,FALSE)</f>
        <v>Improved</v>
      </c>
      <c r="L488">
        <f t="shared" si="14"/>
        <v>12</v>
      </c>
      <c r="M488" t="str">
        <f>IF(Labs!E488&gt;120,"High","Normal")</f>
        <v>High</v>
      </c>
      <c r="N488" t="str">
        <f t="shared" si="15"/>
        <v>High Risk</v>
      </c>
    </row>
    <row r="489" spans="1:14" x14ac:dyDescent="0.3">
      <c r="A489">
        <v>488</v>
      </c>
      <c r="B489" t="s">
        <v>366</v>
      </c>
      <c r="C489">
        <v>78</v>
      </c>
      <c r="D489" t="s">
        <v>10</v>
      </c>
      <c r="E489">
        <v>9</v>
      </c>
      <c r="F489" s="1">
        <v>45713</v>
      </c>
      <c r="G489" s="1">
        <v>45719</v>
      </c>
      <c r="H489">
        <v>3</v>
      </c>
      <c r="I489" s="3">
        <v>83476.91</v>
      </c>
      <c r="J489" t="str">
        <f>VLOOKUP(H489,Diagnosis!$A:$B,2,FALSE)</f>
        <v>Asthma</v>
      </c>
      <c r="K489" t="str">
        <f>VLOOKUP(H489,Outcome!A$2:$B$7,2,FALSE)</f>
        <v>Ongoing Treatment</v>
      </c>
      <c r="L489">
        <f t="shared" si="14"/>
        <v>6</v>
      </c>
      <c r="M489" t="str">
        <f>IF(Labs!E489&gt;120,"High","Normal")</f>
        <v>High</v>
      </c>
      <c r="N489" t="str">
        <f t="shared" si="15"/>
        <v>High Risk</v>
      </c>
    </row>
    <row r="490" spans="1:14" x14ac:dyDescent="0.3">
      <c r="A490">
        <v>489</v>
      </c>
      <c r="B490" t="s">
        <v>148</v>
      </c>
      <c r="C490">
        <v>7</v>
      </c>
      <c r="D490" t="s">
        <v>17</v>
      </c>
      <c r="E490">
        <v>8</v>
      </c>
      <c r="F490" s="1">
        <v>45241</v>
      </c>
      <c r="G490" s="1">
        <v>45258</v>
      </c>
      <c r="H490">
        <v>3</v>
      </c>
      <c r="I490" s="3">
        <v>108991.33</v>
      </c>
      <c r="J490" t="str">
        <f>VLOOKUP(H490,Diagnosis!$A:$B,2,FALSE)</f>
        <v>Asthma</v>
      </c>
      <c r="K490" t="str">
        <f>VLOOKUP(H490,Outcome!A$2:$B$7,2,FALSE)</f>
        <v>Ongoing Treatment</v>
      </c>
      <c r="L490">
        <f t="shared" si="14"/>
        <v>17</v>
      </c>
      <c r="M490" t="str">
        <f>IF(Labs!E490&gt;120,"High","Normal")</f>
        <v>High</v>
      </c>
      <c r="N490" t="str">
        <f t="shared" si="15"/>
        <v>High Risk</v>
      </c>
    </row>
    <row r="491" spans="1:14" x14ac:dyDescent="0.3">
      <c r="A491">
        <v>490</v>
      </c>
      <c r="B491" t="s">
        <v>367</v>
      </c>
      <c r="C491">
        <v>15</v>
      </c>
      <c r="D491" t="s">
        <v>17</v>
      </c>
      <c r="E491">
        <v>4</v>
      </c>
      <c r="F491" s="1">
        <v>44566</v>
      </c>
      <c r="G491" s="1">
        <v>44576</v>
      </c>
      <c r="H491">
        <v>2</v>
      </c>
      <c r="I491" s="3">
        <v>114974.86</v>
      </c>
      <c r="J491" t="str">
        <f>VLOOKUP(H491,Diagnosis!$A:$B,2,FALSE)</f>
        <v>Hypertension</v>
      </c>
      <c r="K491" t="str">
        <f>VLOOKUP(H491,Outcome!A$2:$B$7,2,FALSE)</f>
        <v>Improved</v>
      </c>
      <c r="L491">
        <f t="shared" si="14"/>
        <v>10</v>
      </c>
      <c r="M491" t="str">
        <f>IF(Labs!E491&gt;120,"High","Normal")</f>
        <v>High</v>
      </c>
      <c r="N491" t="str">
        <f t="shared" si="15"/>
        <v>High Risk</v>
      </c>
    </row>
    <row r="492" spans="1:14" x14ac:dyDescent="0.3">
      <c r="A492">
        <v>491</v>
      </c>
      <c r="B492" t="s">
        <v>62</v>
      </c>
      <c r="C492">
        <v>67</v>
      </c>
      <c r="D492" t="s">
        <v>10</v>
      </c>
      <c r="E492">
        <v>2</v>
      </c>
      <c r="F492" s="1">
        <v>44655</v>
      </c>
      <c r="G492" s="1">
        <v>44683</v>
      </c>
      <c r="H492">
        <v>1</v>
      </c>
      <c r="I492" s="3">
        <v>27429.73</v>
      </c>
      <c r="J492" t="str">
        <f>VLOOKUP(H492,Diagnosis!$A:$B,2,FALSE)</f>
        <v>Diabetes</v>
      </c>
      <c r="K492" t="str">
        <f>VLOOKUP(H492,Outcome!A$2:$B$7,2,FALSE)</f>
        <v>Recovered</v>
      </c>
      <c r="L492">
        <f t="shared" si="14"/>
        <v>28</v>
      </c>
      <c r="M492" t="str">
        <f>IF(Labs!E492&gt;120,"High","Normal")</f>
        <v>High</v>
      </c>
      <c r="N492" t="str">
        <f t="shared" si="15"/>
        <v>High Risk</v>
      </c>
    </row>
    <row r="493" spans="1:14" x14ac:dyDescent="0.3">
      <c r="A493">
        <v>492</v>
      </c>
      <c r="B493" t="s">
        <v>130</v>
      </c>
      <c r="C493">
        <v>33</v>
      </c>
      <c r="D493" t="s">
        <v>17</v>
      </c>
      <c r="E493">
        <v>4</v>
      </c>
      <c r="F493" s="1">
        <v>44809</v>
      </c>
      <c r="G493" s="1">
        <v>44838</v>
      </c>
      <c r="H493">
        <v>5</v>
      </c>
      <c r="I493" s="3">
        <v>40767.14</v>
      </c>
      <c r="J493" t="str">
        <f>VLOOKUP(H493,Diagnosis!$A:$B,2,FALSE)</f>
        <v>Heart Disease</v>
      </c>
      <c r="K493" t="str">
        <f>VLOOKUP(H493,Outcome!A$2:$B$7,2,FALSE)</f>
        <v>Readmitted</v>
      </c>
      <c r="L493">
        <f t="shared" si="14"/>
        <v>29</v>
      </c>
      <c r="M493" t="str">
        <f>IF(Labs!E493&gt;120,"High","Normal")</f>
        <v>High</v>
      </c>
      <c r="N493" t="str">
        <f t="shared" si="15"/>
        <v>High Risk</v>
      </c>
    </row>
    <row r="494" spans="1:14" x14ac:dyDescent="0.3">
      <c r="A494">
        <v>493</v>
      </c>
      <c r="B494" t="s">
        <v>368</v>
      </c>
      <c r="C494">
        <v>14</v>
      </c>
      <c r="D494" t="s">
        <v>10</v>
      </c>
      <c r="E494">
        <v>1</v>
      </c>
      <c r="F494" s="1">
        <v>45858</v>
      </c>
      <c r="G494" s="1">
        <v>45884</v>
      </c>
      <c r="H494">
        <v>3</v>
      </c>
      <c r="I494" s="3">
        <v>24371.41</v>
      </c>
      <c r="J494" t="str">
        <f>VLOOKUP(H494,Diagnosis!$A:$B,2,FALSE)</f>
        <v>Asthma</v>
      </c>
      <c r="K494" t="str">
        <f>VLOOKUP(H494,Outcome!A$2:$B$7,2,FALSE)</f>
        <v>Ongoing Treatment</v>
      </c>
      <c r="L494">
        <f t="shared" si="14"/>
        <v>26</v>
      </c>
      <c r="M494" t="str">
        <f>IF(Labs!E494&gt;120,"High","Normal")</f>
        <v>High</v>
      </c>
      <c r="N494" t="str">
        <f t="shared" si="15"/>
        <v>High Risk</v>
      </c>
    </row>
    <row r="495" spans="1:14" x14ac:dyDescent="0.3">
      <c r="A495">
        <v>494</v>
      </c>
      <c r="B495" t="s">
        <v>369</v>
      </c>
      <c r="C495">
        <v>85</v>
      </c>
      <c r="D495" t="s">
        <v>17</v>
      </c>
      <c r="E495">
        <v>8</v>
      </c>
      <c r="F495" s="1">
        <v>44570</v>
      </c>
      <c r="G495" s="1">
        <v>44586</v>
      </c>
      <c r="H495">
        <v>3</v>
      </c>
      <c r="I495" s="3">
        <v>100697.67</v>
      </c>
      <c r="J495" t="str">
        <f>VLOOKUP(H495,Diagnosis!$A:$B,2,FALSE)</f>
        <v>Asthma</v>
      </c>
      <c r="K495" t="str">
        <f>VLOOKUP(H495,Outcome!A$2:$B$7,2,FALSE)</f>
        <v>Ongoing Treatment</v>
      </c>
      <c r="L495">
        <f t="shared" si="14"/>
        <v>16</v>
      </c>
      <c r="M495" t="str">
        <f>IF(Labs!E495&gt;120,"High","Normal")</f>
        <v>High</v>
      </c>
      <c r="N495" t="str">
        <f t="shared" si="15"/>
        <v>High Risk</v>
      </c>
    </row>
    <row r="496" spans="1:14" x14ac:dyDescent="0.3">
      <c r="A496">
        <v>495</v>
      </c>
      <c r="B496" t="s">
        <v>23</v>
      </c>
      <c r="C496">
        <v>62</v>
      </c>
      <c r="D496" t="s">
        <v>17</v>
      </c>
      <c r="E496">
        <v>10</v>
      </c>
      <c r="F496" s="1">
        <v>44917</v>
      </c>
      <c r="G496" s="1">
        <v>44940</v>
      </c>
      <c r="H496">
        <v>4</v>
      </c>
      <c r="I496" s="3">
        <v>20880.830000000002</v>
      </c>
      <c r="J496" t="str">
        <f>VLOOKUP(H496,Diagnosis!$A:$B,2,FALSE)</f>
        <v>Pneumonia</v>
      </c>
      <c r="K496" t="str">
        <f>VLOOKUP(H496,Outcome!A$2:$B$7,2,FALSE)</f>
        <v>Referred</v>
      </c>
      <c r="L496">
        <f t="shared" si="14"/>
        <v>23</v>
      </c>
      <c r="M496" t="str">
        <f>IF(Labs!E496&gt;120,"High","Normal")</f>
        <v>High</v>
      </c>
      <c r="N496" t="str">
        <f t="shared" si="15"/>
        <v>High Risk</v>
      </c>
    </row>
    <row r="497" spans="1:14" x14ac:dyDescent="0.3">
      <c r="A497">
        <v>496</v>
      </c>
      <c r="B497" t="s">
        <v>96</v>
      </c>
      <c r="C497">
        <v>42</v>
      </c>
      <c r="D497" t="s">
        <v>10</v>
      </c>
      <c r="E497">
        <v>7</v>
      </c>
      <c r="F497" s="1">
        <v>45809</v>
      </c>
      <c r="G497" s="1">
        <v>45838</v>
      </c>
      <c r="H497">
        <v>3</v>
      </c>
      <c r="I497" s="3">
        <v>46562.39</v>
      </c>
      <c r="J497" t="str">
        <f>VLOOKUP(H497,Diagnosis!$A:$B,2,FALSE)</f>
        <v>Asthma</v>
      </c>
      <c r="K497" t="str">
        <f>VLOOKUP(H497,Outcome!A$2:$B$7,2,FALSE)</f>
        <v>Ongoing Treatment</v>
      </c>
      <c r="L497">
        <f t="shared" si="14"/>
        <v>29</v>
      </c>
      <c r="M497" t="str">
        <f>IF(Labs!E497&gt;120,"High","Normal")</f>
        <v>High</v>
      </c>
      <c r="N497" t="str">
        <f t="shared" si="15"/>
        <v>High Risk</v>
      </c>
    </row>
    <row r="498" spans="1:14" x14ac:dyDescent="0.3">
      <c r="A498">
        <v>497</v>
      </c>
      <c r="B498" t="s">
        <v>266</v>
      </c>
      <c r="C498">
        <v>38</v>
      </c>
      <c r="D498" t="s">
        <v>10</v>
      </c>
      <c r="E498">
        <v>3</v>
      </c>
      <c r="F498" s="1">
        <v>44844</v>
      </c>
      <c r="G498" s="1">
        <v>44857</v>
      </c>
      <c r="H498">
        <v>2</v>
      </c>
      <c r="I498" s="3">
        <v>159842.54</v>
      </c>
      <c r="J498" t="str">
        <f>VLOOKUP(H498,Diagnosis!$A:$B,2,FALSE)</f>
        <v>Hypertension</v>
      </c>
      <c r="K498" t="str">
        <f>VLOOKUP(H498,Outcome!A$2:$B$7,2,FALSE)</f>
        <v>Improved</v>
      </c>
      <c r="L498">
        <f t="shared" si="14"/>
        <v>13</v>
      </c>
      <c r="M498" t="str">
        <f>IF(Labs!E498&gt;120,"High","Normal")</f>
        <v>High</v>
      </c>
      <c r="N498" t="str">
        <f t="shared" si="15"/>
        <v>High Risk</v>
      </c>
    </row>
    <row r="499" spans="1:14" x14ac:dyDescent="0.3">
      <c r="A499">
        <v>498</v>
      </c>
      <c r="B499" t="s">
        <v>239</v>
      </c>
      <c r="C499">
        <v>90</v>
      </c>
      <c r="D499" t="s">
        <v>10</v>
      </c>
      <c r="E499">
        <v>9</v>
      </c>
      <c r="F499" s="1">
        <v>45857</v>
      </c>
      <c r="G499" s="1">
        <v>45863</v>
      </c>
      <c r="H499">
        <v>1</v>
      </c>
      <c r="I499" s="3">
        <v>113289.75</v>
      </c>
      <c r="J499" t="str">
        <f>VLOOKUP(H499,Diagnosis!$A:$B,2,FALSE)</f>
        <v>Diabetes</v>
      </c>
      <c r="K499" t="str">
        <f>VLOOKUP(H499,Outcome!A$2:$B$7,2,FALSE)</f>
        <v>Recovered</v>
      </c>
      <c r="L499">
        <f t="shared" si="14"/>
        <v>6</v>
      </c>
      <c r="M499" t="str">
        <f>IF(Labs!E499&gt;120,"High","Normal")</f>
        <v>High</v>
      </c>
      <c r="N499" t="str">
        <f t="shared" si="15"/>
        <v>High Risk</v>
      </c>
    </row>
    <row r="500" spans="1:14" x14ac:dyDescent="0.3">
      <c r="A500">
        <v>499</v>
      </c>
      <c r="B500" t="s">
        <v>370</v>
      </c>
      <c r="C500">
        <v>87</v>
      </c>
      <c r="D500" t="s">
        <v>17</v>
      </c>
      <c r="E500">
        <v>3</v>
      </c>
      <c r="F500" s="1">
        <v>45593</v>
      </c>
      <c r="G500" s="1">
        <v>45610</v>
      </c>
      <c r="H500">
        <v>3</v>
      </c>
      <c r="I500" s="3">
        <v>59722.7</v>
      </c>
      <c r="J500" t="str">
        <f>VLOOKUP(H500,Diagnosis!$A:$B,2,FALSE)</f>
        <v>Asthma</v>
      </c>
      <c r="K500" t="str">
        <f>VLOOKUP(H500,Outcome!A$2:$B$7,2,FALSE)</f>
        <v>Ongoing Treatment</v>
      </c>
      <c r="L500">
        <f t="shared" si="14"/>
        <v>17</v>
      </c>
      <c r="M500" t="str">
        <f>IF(Labs!E500&gt;120,"High","Normal")</f>
        <v>High</v>
      </c>
      <c r="N500" t="str">
        <f t="shared" si="15"/>
        <v>High Risk</v>
      </c>
    </row>
    <row r="501" spans="1:14" x14ac:dyDescent="0.3">
      <c r="A501">
        <v>500</v>
      </c>
      <c r="B501" t="s">
        <v>355</v>
      </c>
      <c r="C501">
        <v>72</v>
      </c>
      <c r="D501" t="s">
        <v>10</v>
      </c>
      <c r="E501">
        <v>10</v>
      </c>
      <c r="F501" s="1">
        <v>45730</v>
      </c>
      <c r="G501" s="1">
        <v>45760</v>
      </c>
      <c r="H501">
        <v>3</v>
      </c>
      <c r="I501" s="3">
        <v>76602.33</v>
      </c>
      <c r="J501" t="str">
        <f>VLOOKUP(H501,Diagnosis!$A:$B,2,FALSE)</f>
        <v>Asthma</v>
      </c>
      <c r="K501" t="str">
        <f>VLOOKUP(H501,Outcome!A$2:$B$7,2,FALSE)</f>
        <v>Ongoing Treatment</v>
      </c>
      <c r="L501">
        <f t="shared" si="14"/>
        <v>30</v>
      </c>
      <c r="M501" t="str">
        <f>IF(Labs!E501&gt;120,"High","Normal")</f>
        <v>High</v>
      </c>
      <c r="N501" t="str">
        <f t="shared" si="15"/>
        <v>High Risk</v>
      </c>
    </row>
    <row r="502" spans="1:14" x14ac:dyDescent="0.3">
      <c r="A502">
        <v>501</v>
      </c>
      <c r="B502" t="s">
        <v>199</v>
      </c>
      <c r="C502">
        <v>55</v>
      </c>
      <c r="D502" t="s">
        <v>17</v>
      </c>
      <c r="E502">
        <v>9</v>
      </c>
      <c r="F502" s="1">
        <v>44780</v>
      </c>
      <c r="G502" s="1">
        <v>44780</v>
      </c>
      <c r="H502">
        <v>2</v>
      </c>
      <c r="I502" s="3">
        <v>11919.04</v>
      </c>
      <c r="J502" t="str">
        <f>VLOOKUP(H502,Diagnosis!$A:$B,2,FALSE)</f>
        <v>Hypertension</v>
      </c>
      <c r="K502" t="str">
        <f>VLOOKUP(H502,Outcome!A$2:$B$7,2,FALSE)</f>
        <v>Improved</v>
      </c>
      <c r="L502">
        <f t="shared" si="14"/>
        <v>0</v>
      </c>
      <c r="M502" t="str">
        <f>IF(Labs!E502&gt;120,"High","Normal")</f>
        <v>High</v>
      </c>
      <c r="N502" t="str">
        <f t="shared" si="15"/>
        <v>High Risk</v>
      </c>
    </row>
    <row r="503" spans="1:14" x14ac:dyDescent="0.3">
      <c r="A503">
        <v>502</v>
      </c>
      <c r="B503" t="s">
        <v>371</v>
      </c>
      <c r="C503">
        <v>35</v>
      </c>
      <c r="D503" t="s">
        <v>17</v>
      </c>
      <c r="E503">
        <v>5</v>
      </c>
      <c r="F503" s="1">
        <v>45961</v>
      </c>
      <c r="G503" s="1">
        <v>45969</v>
      </c>
      <c r="H503">
        <v>1</v>
      </c>
      <c r="I503" s="3">
        <v>13510.83</v>
      </c>
      <c r="J503" t="str">
        <f>VLOOKUP(H503,Diagnosis!$A:$B,2,FALSE)</f>
        <v>Diabetes</v>
      </c>
      <c r="K503" t="str">
        <f>VLOOKUP(H503,Outcome!A$2:$B$7,2,FALSE)</f>
        <v>Recovered</v>
      </c>
      <c r="L503">
        <f t="shared" si="14"/>
        <v>8</v>
      </c>
      <c r="M503" t="str">
        <f>IF(Labs!E503&gt;120,"High","Normal")</f>
        <v>High</v>
      </c>
      <c r="N503" t="str">
        <f t="shared" si="15"/>
        <v>low risk</v>
      </c>
    </row>
    <row r="504" spans="1:14" x14ac:dyDescent="0.3">
      <c r="A504">
        <v>503</v>
      </c>
      <c r="B504" t="s">
        <v>372</v>
      </c>
      <c r="C504">
        <v>70</v>
      </c>
      <c r="D504" t="s">
        <v>17</v>
      </c>
      <c r="E504">
        <v>6</v>
      </c>
      <c r="F504" s="1">
        <v>46229</v>
      </c>
      <c r="G504" s="1">
        <v>46243</v>
      </c>
      <c r="H504">
        <v>1</v>
      </c>
      <c r="I504" s="3">
        <v>156576.28</v>
      </c>
      <c r="J504" t="str">
        <f>VLOOKUP(H504,Diagnosis!$A:$B,2,FALSE)</f>
        <v>Diabetes</v>
      </c>
      <c r="K504" t="str">
        <f>VLOOKUP(H504,Outcome!A$2:$B$7,2,FALSE)</f>
        <v>Recovered</v>
      </c>
      <c r="L504">
        <f t="shared" si="14"/>
        <v>14</v>
      </c>
      <c r="M504" t="str">
        <f>IF(Labs!E504&gt;120,"High","Normal")</f>
        <v>High</v>
      </c>
      <c r="N504" t="str">
        <f t="shared" si="15"/>
        <v>High Risk</v>
      </c>
    </row>
    <row r="505" spans="1:14" x14ac:dyDescent="0.3">
      <c r="A505">
        <v>504</v>
      </c>
      <c r="B505" t="s">
        <v>20</v>
      </c>
      <c r="C505">
        <v>83</v>
      </c>
      <c r="D505" t="s">
        <v>10</v>
      </c>
      <c r="E505">
        <v>4</v>
      </c>
      <c r="F505" s="1">
        <v>45608</v>
      </c>
      <c r="G505" s="1">
        <v>45633</v>
      </c>
      <c r="H505">
        <v>4</v>
      </c>
      <c r="I505" s="3">
        <v>126062.81</v>
      </c>
      <c r="J505" t="str">
        <f>VLOOKUP(H505,Diagnosis!$A:$B,2,FALSE)</f>
        <v>Pneumonia</v>
      </c>
      <c r="K505" t="str">
        <f>VLOOKUP(H505,Outcome!A$2:$B$7,2,FALSE)</f>
        <v>Referred</v>
      </c>
      <c r="L505">
        <f t="shared" si="14"/>
        <v>25</v>
      </c>
      <c r="M505" t="str">
        <f>IF(Labs!E505&gt;120,"High","Normal")</f>
        <v>High</v>
      </c>
      <c r="N505" t="str">
        <f t="shared" si="15"/>
        <v>High Risk</v>
      </c>
    </row>
    <row r="506" spans="1:14" x14ac:dyDescent="0.3">
      <c r="A506">
        <v>505</v>
      </c>
      <c r="B506" t="s">
        <v>373</v>
      </c>
      <c r="C506">
        <v>50</v>
      </c>
      <c r="D506" t="s">
        <v>10</v>
      </c>
      <c r="E506">
        <v>6</v>
      </c>
      <c r="F506" s="1">
        <v>45692</v>
      </c>
      <c r="G506" s="1">
        <v>45693</v>
      </c>
      <c r="H506">
        <v>1</v>
      </c>
      <c r="I506" s="3">
        <v>47113.05</v>
      </c>
      <c r="J506" t="str">
        <f>VLOOKUP(H506,Diagnosis!$A:$B,2,FALSE)</f>
        <v>Diabetes</v>
      </c>
      <c r="K506" t="str">
        <f>VLOOKUP(H506,Outcome!A$2:$B$7,2,FALSE)</f>
        <v>Recovered</v>
      </c>
      <c r="L506">
        <f t="shared" si="14"/>
        <v>1</v>
      </c>
      <c r="M506" t="str">
        <f>IF(Labs!E506&gt;120,"High","Normal")</f>
        <v>High</v>
      </c>
      <c r="N506" t="str">
        <f t="shared" si="15"/>
        <v>low risk</v>
      </c>
    </row>
    <row r="507" spans="1:14" x14ac:dyDescent="0.3">
      <c r="A507">
        <v>506</v>
      </c>
      <c r="B507" t="s">
        <v>157</v>
      </c>
      <c r="C507">
        <v>29</v>
      </c>
      <c r="D507" t="s">
        <v>10</v>
      </c>
      <c r="E507">
        <v>10</v>
      </c>
      <c r="F507" s="1">
        <v>45681</v>
      </c>
      <c r="G507" s="1">
        <v>45704</v>
      </c>
      <c r="H507">
        <v>2</v>
      </c>
      <c r="I507" s="3">
        <v>140266.04999999999</v>
      </c>
      <c r="J507" t="str">
        <f>VLOOKUP(H507,Diagnosis!$A:$B,2,FALSE)</f>
        <v>Hypertension</v>
      </c>
      <c r="K507" t="str">
        <f>VLOOKUP(H507,Outcome!A$2:$B$7,2,FALSE)</f>
        <v>Improved</v>
      </c>
      <c r="L507">
        <f t="shared" si="14"/>
        <v>23</v>
      </c>
      <c r="M507" t="str">
        <f>IF(Labs!E507&gt;120,"High","Normal")</f>
        <v>High</v>
      </c>
      <c r="N507" t="str">
        <f t="shared" si="15"/>
        <v>High Risk</v>
      </c>
    </row>
    <row r="508" spans="1:14" x14ac:dyDescent="0.3">
      <c r="A508">
        <v>507</v>
      </c>
      <c r="B508" t="s">
        <v>221</v>
      </c>
      <c r="C508">
        <v>58</v>
      </c>
      <c r="D508" t="s">
        <v>17</v>
      </c>
      <c r="E508">
        <v>2</v>
      </c>
      <c r="F508" s="1">
        <v>44944</v>
      </c>
      <c r="G508" s="1">
        <v>44974</v>
      </c>
      <c r="H508">
        <v>1</v>
      </c>
      <c r="I508" s="3">
        <v>93707.82</v>
      </c>
      <c r="J508" t="str">
        <f>VLOOKUP(H508,Diagnosis!$A:$B,2,FALSE)</f>
        <v>Diabetes</v>
      </c>
      <c r="K508" t="str">
        <f>VLOOKUP(H508,Outcome!A$2:$B$7,2,FALSE)</f>
        <v>Recovered</v>
      </c>
      <c r="L508">
        <f t="shared" si="14"/>
        <v>30</v>
      </c>
      <c r="M508" t="str">
        <f>IF(Labs!E508&gt;120,"High","Normal")</f>
        <v>High</v>
      </c>
      <c r="N508" t="str">
        <f t="shared" si="15"/>
        <v>low risk</v>
      </c>
    </row>
    <row r="509" spans="1:14" x14ac:dyDescent="0.3">
      <c r="A509">
        <v>508</v>
      </c>
      <c r="B509" t="s">
        <v>374</v>
      </c>
      <c r="C509">
        <v>55</v>
      </c>
      <c r="D509" t="s">
        <v>10</v>
      </c>
      <c r="E509">
        <v>9</v>
      </c>
      <c r="F509" s="1">
        <v>45103</v>
      </c>
      <c r="G509" s="1">
        <v>45107</v>
      </c>
      <c r="H509">
        <v>1</v>
      </c>
      <c r="I509" s="3">
        <v>152667.51999999999</v>
      </c>
      <c r="J509" t="str">
        <f>VLOOKUP(H509,Diagnosis!$A:$B,2,FALSE)</f>
        <v>Diabetes</v>
      </c>
      <c r="K509" t="str">
        <f>VLOOKUP(H509,Outcome!A$2:$B$7,2,FALSE)</f>
        <v>Recovered</v>
      </c>
      <c r="L509">
        <f t="shared" si="14"/>
        <v>4</v>
      </c>
      <c r="M509" t="str">
        <f>IF(Labs!E509&gt;120,"High","Normal")</f>
        <v>High</v>
      </c>
      <c r="N509" t="str">
        <f t="shared" si="15"/>
        <v>low risk</v>
      </c>
    </row>
    <row r="510" spans="1:14" x14ac:dyDescent="0.3">
      <c r="A510">
        <v>509</v>
      </c>
      <c r="B510" t="s">
        <v>50</v>
      </c>
      <c r="C510">
        <v>60</v>
      </c>
      <c r="D510" t="s">
        <v>17</v>
      </c>
      <c r="E510">
        <v>1</v>
      </c>
      <c r="F510" s="1">
        <v>44876</v>
      </c>
      <c r="G510" s="1">
        <v>44905</v>
      </c>
      <c r="H510">
        <v>1</v>
      </c>
      <c r="I510" s="3">
        <v>11526.84</v>
      </c>
      <c r="J510" t="str">
        <f>VLOOKUP(H510,Diagnosis!$A:$B,2,FALSE)</f>
        <v>Diabetes</v>
      </c>
      <c r="K510" t="str">
        <f>VLOOKUP(H510,Outcome!A$2:$B$7,2,FALSE)</f>
        <v>Recovered</v>
      </c>
      <c r="L510">
        <f t="shared" si="14"/>
        <v>29</v>
      </c>
      <c r="M510" t="str">
        <f>IF(Labs!E510&gt;120,"High","Normal")</f>
        <v>High</v>
      </c>
      <c r="N510" t="str">
        <f t="shared" si="15"/>
        <v>low risk</v>
      </c>
    </row>
    <row r="511" spans="1:14" x14ac:dyDescent="0.3">
      <c r="A511">
        <v>510</v>
      </c>
      <c r="B511" t="s">
        <v>375</v>
      </c>
      <c r="C511">
        <v>63</v>
      </c>
      <c r="D511" t="s">
        <v>10</v>
      </c>
      <c r="E511">
        <v>2</v>
      </c>
      <c r="F511" s="1">
        <v>46167</v>
      </c>
      <c r="G511" s="1">
        <v>46189</v>
      </c>
      <c r="H511">
        <v>1</v>
      </c>
      <c r="I511" s="3">
        <v>41543.26</v>
      </c>
      <c r="J511" t="str">
        <f>VLOOKUP(H511,Diagnosis!$A:$B,2,FALSE)</f>
        <v>Diabetes</v>
      </c>
      <c r="K511" t="str">
        <f>VLOOKUP(H511,Outcome!A$2:$B$7,2,FALSE)</f>
        <v>Recovered</v>
      </c>
      <c r="L511">
        <f t="shared" si="14"/>
        <v>22</v>
      </c>
      <c r="M511" t="str">
        <f>IF(Labs!E511&gt;120,"High","Normal")</f>
        <v>High</v>
      </c>
      <c r="N511" t="str">
        <f t="shared" si="15"/>
        <v>low risk</v>
      </c>
    </row>
    <row r="512" spans="1:14" x14ac:dyDescent="0.3">
      <c r="A512">
        <v>511</v>
      </c>
      <c r="B512" t="s">
        <v>376</v>
      </c>
      <c r="C512">
        <v>9</v>
      </c>
      <c r="D512" t="s">
        <v>17</v>
      </c>
      <c r="E512">
        <v>7</v>
      </c>
      <c r="F512" s="1">
        <v>45674</v>
      </c>
      <c r="G512" s="1">
        <v>45691</v>
      </c>
      <c r="H512">
        <v>2</v>
      </c>
      <c r="I512" s="3">
        <v>64519.02</v>
      </c>
      <c r="J512" t="str">
        <f>VLOOKUP(H512,Diagnosis!$A:$B,2,FALSE)</f>
        <v>Hypertension</v>
      </c>
      <c r="K512" t="str">
        <f>VLOOKUP(H512,Outcome!A$2:$B$7,2,FALSE)</f>
        <v>Improved</v>
      </c>
      <c r="L512">
        <f t="shared" si="14"/>
        <v>17</v>
      </c>
      <c r="M512" t="str">
        <f>IF(Labs!E512&gt;120,"High","Normal")</f>
        <v>High</v>
      </c>
      <c r="N512" t="str">
        <f t="shared" si="15"/>
        <v>High Risk</v>
      </c>
    </row>
    <row r="513" spans="1:14" x14ac:dyDescent="0.3">
      <c r="A513">
        <v>512</v>
      </c>
      <c r="B513" t="s">
        <v>169</v>
      </c>
      <c r="C513">
        <v>43</v>
      </c>
      <c r="D513" t="s">
        <v>10</v>
      </c>
      <c r="E513">
        <v>5</v>
      </c>
      <c r="F513" s="1">
        <v>45009</v>
      </c>
      <c r="G513" s="1">
        <v>45039</v>
      </c>
      <c r="H513">
        <v>3</v>
      </c>
      <c r="I513" s="3">
        <v>96663.55</v>
      </c>
      <c r="J513" t="str">
        <f>VLOOKUP(H513,Diagnosis!$A:$B,2,FALSE)</f>
        <v>Asthma</v>
      </c>
      <c r="K513" t="str">
        <f>VLOOKUP(H513,Outcome!A$2:$B$7,2,FALSE)</f>
        <v>Ongoing Treatment</v>
      </c>
      <c r="L513">
        <f t="shared" si="14"/>
        <v>30</v>
      </c>
      <c r="M513" t="str">
        <f>IF(Labs!E513&gt;120,"High","Normal")</f>
        <v>High</v>
      </c>
      <c r="N513" t="str">
        <f t="shared" si="15"/>
        <v>High Risk</v>
      </c>
    </row>
    <row r="514" spans="1:14" x14ac:dyDescent="0.3">
      <c r="A514">
        <v>513</v>
      </c>
      <c r="B514" t="s">
        <v>147</v>
      </c>
      <c r="C514">
        <v>15</v>
      </c>
      <c r="D514" t="s">
        <v>10</v>
      </c>
      <c r="E514">
        <v>8</v>
      </c>
      <c r="F514" s="1">
        <v>45054</v>
      </c>
      <c r="G514" s="1">
        <v>45082</v>
      </c>
      <c r="H514">
        <v>2</v>
      </c>
      <c r="I514" s="3">
        <v>165552.79999999999</v>
      </c>
      <c r="J514" t="str">
        <f>VLOOKUP(H514,Diagnosis!$A:$B,2,FALSE)</f>
        <v>Hypertension</v>
      </c>
      <c r="K514" t="str">
        <f>VLOOKUP(H514,Outcome!A$2:$B$7,2,FALSE)</f>
        <v>Improved</v>
      </c>
      <c r="L514">
        <f t="shared" si="14"/>
        <v>28</v>
      </c>
      <c r="M514" t="str">
        <f>IF(Labs!E514&gt;120,"High","Normal")</f>
        <v>High</v>
      </c>
      <c r="N514" t="str">
        <f t="shared" si="15"/>
        <v>High Risk</v>
      </c>
    </row>
    <row r="515" spans="1:14" x14ac:dyDescent="0.3">
      <c r="A515">
        <v>514</v>
      </c>
      <c r="B515" t="s">
        <v>338</v>
      </c>
      <c r="C515">
        <v>88</v>
      </c>
      <c r="D515" t="s">
        <v>10</v>
      </c>
      <c r="E515">
        <v>7</v>
      </c>
      <c r="F515" s="1">
        <v>46192</v>
      </c>
      <c r="G515" s="1">
        <v>46222</v>
      </c>
      <c r="H515">
        <v>1</v>
      </c>
      <c r="I515" s="3">
        <v>48044.82</v>
      </c>
      <c r="J515" t="str">
        <f>VLOOKUP(H515,Diagnosis!$A:$B,2,FALSE)</f>
        <v>Diabetes</v>
      </c>
      <c r="K515" t="str">
        <f>VLOOKUP(H515,Outcome!A$2:$B$7,2,FALSE)</f>
        <v>Recovered</v>
      </c>
      <c r="L515">
        <f t="shared" ref="L515:L578" si="16">DATEDIF(F515,G515,"d")</f>
        <v>30</v>
      </c>
      <c r="M515" t="str">
        <f>IF(Labs!E515&gt;120,"High","Normal")</f>
        <v>High</v>
      </c>
      <c r="N515" t="str">
        <f t="shared" si="15"/>
        <v>High Risk</v>
      </c>
    </row>
    <row r="516" spans="1:14" x14ac:dyDescent="0.3">
      <c r="A516">
        <v>515</v>
      </c>
      <c r="B516" t="s">
        <v>377</v>
      </c>
      <c r="C516">
        <v>67</v>
      </c>
      <c r="D516" t="s">
        <v>10</v>
      </c>
      <c r="E516">
        <v>9</v>
      </c>
      <c r="F516" s="1">
        <v>46206</v>
      </c>
      <c r="G516" s="1">
        <v>46222</v>
      </c>
      <c r="H516">
        <v>2</v>
      </c>
      <c r="I516" s="3">
        <v>10283.67</v>
      </c>
      <c r="J516" t="str">
        <f>VLOOKUP(H516,Diagnosis!$A:$B,2,FALSE)</f>
        <v>Hypertension</v>
      </c>
      <c r="K516" t="str">
        <f>VLOOKUP(H516,Outcome!A$2:$B$7,2,FALSE)</f>
        <v>Improved</v>
      </c>
      <c r="L516">
        <f t="shared" si="16"/>
        <v>16</v>
      </c>
      <c r="M516" t="str">
        <f>IF(Labs!E516&gt;120,"High","Normal")</f>
        <v>High</v>
      </c>
      <c r="N516" t="str">
        <f t="shared" ref="N516:N579" si="17">IF(OR(C516&gt;65,H516&lt;&gt;1),"High Risk","low risk")</f>
        <v>High Risk</v>
      </c>
    </row>
    <row r="517" spans="1:14" x14ac:dyDescent="0.3">
      <c r="A517">
        <v>516</v>
      </c>
      <c r="B517" t="s">
        <v>368</v>
      </c>
      <c r="C517">
        <v>66</v>
      </c>
      <c r="D517" t="s">
        <v>17</v>
      </c>
      <c r="E517">
        <v>2</v>
      </c>
      <c r="F517" s="1">
        <v>44904</v>
      </c>
      <c r="G517" s="1">
        <v>44934</v>
      </c>
      <c r="H517">
        <v>4</v>
      </c>
      <c r="I517" s="3">
        <v>97144.03</v>
      </c>
      <c r="J517" t="str">
        <f>VLOOKUP(H517,Diagnosis!$A:$B,2,FALSE)</f>
        <v>Pneumonia</v>
      </c>
      <c r="K517" t="str">
        <f>VLOOKUP(H517,Outcome!A$2:$B$7,2,FALSE)</f>
        <v>Referred</v>
      </c>
      <c r="L517">
        <f t="shared" si="16"/>
        <v>30</v>
      </c>
      <c r="M517" t="str">
        <f>IF(Labs!E517&gt;120,"High","Normal")</f>
        <v>High</v>
      </c>
      <c r="N517" t="str">
        <f t="shared" si="17"/>
        <v>High Risk</v>
      </c>
    </row>
    <row r="518" spans="1:14" x14ac:dyDescent="0.3">
      <c r="A518">
        <v>517</v>
      </c>
      <c r="B518" t="s">
        <v>245</v>
      </c>
      <c r="C518">
        <v>86</v>
      </c>
      <c r="D518" t="s">
        <v>17</v>
      </c>
      <c r="E518">
        <v>7</v>
      </c>
      <c r="F518" s="1">
        <v>46273</v>
      </c>
      <c r="G518" s="1">
        <v>46276</v>
      </c>
      <c r="H518">
        <v>1</v>
      </c>
      <c r="I518" s="3">
        <v>149602.89000000001</v>
      </c>
      <c r="J518" t="str">
        <f>VLOOKUP(H518,Diagnosis!$A:$B,2,FALSE)</f>
        <v>Diabetes</v>
      </c>
      <c r="K518" t="str">
        <f>VLOOKUP(H518,Outcome!A$2:$B$7,2,FALSE)</f>
        <v>Recovered</v>
      </c>
      <c r="L518">
        <f t="shared" si="16"/>
        <v>3</v>
      </c>
      <c r="M518" t="str">
        <f>IF(Labs!E518&gt;120,"High","Normal")</f>
        <v>High</v>
      </c>
      <c r="N518" t="str">
        <f t="shared" si="17"/>
        <v>High Risk</v>
      </c>
    </row>
    <row r="519" spans="1:14" x14ac:dyDescent="0.3">
      <c r="A519">
        <v>518</v>
      </c>
      <c r="B519" t="s">
        <v>378</v>
      </c>
      <c r="C519">
        <v>88</v>
      </c>
      <c r="D519" t="s">
        <v>17</v>
      </c>
      <c r="E519">
        <v>1</v>
      </c>
      <c r="F519" s="1">
        <v>45502</v>
      </c>
      <c r="G519" s="1">
        <v>45524</v>
      </c>
      <c r="H519">
        <v>1</v>
      </c>
      <c r="I519" s="3">
        <v>18034.96</v>
      </c>
      <c r="J519" t="str">
        <f>VLOOKUP(H519,Diagnosis!$A:$B,2,FALSE)</f>
        <v>Diabetes</v>
      </c>
      <c r="K519" t="str">
        <f>VLOOKUP(H519,Outcome!A$2:$B$7,2,FALSE)</f>
        <v>Recovered</v>
      </c>
      <c r="L519">
        <f t="shared" si="16"/>
        <v>22</v>
      </c>
      <c r="M519" t="str">
        <f>IF(Labs!E519&gt;120,"High","Normal")</f>
        <v>High</v>
      </c>
      <c r="N519" t="str">
        <f t="shared" si="17"/>
        <v>High Risk</v>
      </c>
    </row>
    <row r="520" spans="1:14" x14ac:dyDescent="0.3">
      <c r="A520">
        <v>519</v>
      </c>
      <c r="B520" t="s">
        <v>379</v>
      </c>
      <c r="C520">
        <v>33</v>
      </c>
      <c r="D520" t="s">
        <v>17</v>
      </c>
      <c r="E520">
        <v>10</v>
      </c>
      <c r="F520" s="1">
        <v>46244</v>
      </c>
      <c r="G520" s="1">
        <v>46251</v>
      </c>
      <c r="H520">
        <v>5</v>
      </c>
      <c r="I520" s="3">
        <v>74854.820000000007</v>
      </c>
      <c r="J520" t="str">
        <f>VLOOKUP(H520,Diagnosis!$A:$B,2,FALSE)</f>
        <v>Heart Disease</v>
      </c>
      <c r="K520" t="str">
        <f>VLOOKUP(H520,Outcome!A$2:$B$7,2,FALSE)</f>
        <v>Readmitted</v>
      </c>
      <c r="L520">
        <f t="shared" si="16"/>
        <v>7</v>
      </c>
      <c r="M520" t="str">
        <f>IF(Labs!E520&gt;120,"High","Normal")</f>
        <v>High</v>
      </c>
      <c r="N520" t="str">
        <f t="shared" si="17"/>
        <v>High Risk</v>
      </c>
    </row>
    <row r="521" spans="1:14" x14ac:dyDescent="0.3">
      <c r="A521">
        <v>520</v>
      </c>
      <c r="B521" t="s">
        <v>380</v>
      </c>
      <c r="C521">
        <v>56</v>
      </c>
      <c r="D521" t="s">
        <v>10</v>
      </c>
      <c r="E521">
        <v>1</v>
      </c>
      <c r="F521" s="1">
        <v>45359</v>
      </c>
      <c r="G521" s="1">
        <v>45380</v>
      </c>
      <c r="H521">
        <v>1</v>
      </c>
      <c r="I521" s="3">
        <v>3547.06</v>
      </c>
      <c r="J521" t="str">
        <f>VLOOKUP(H521,Diagnosis!$A:$B,2,FALSE)</f>
        <v>Diabetes</v>
      </c>
      <c r="K521" t="str">
        <f>VLOOKUP(H521,Outcome!A$2:$B$7,2,FALSE)</f>
        <v>Recovered</v>
      </c>
      <c r="L521">
        <f t="shared" si="16"/>
        <v>21</v>
      </c>
      <c r="M521" t="str">
        <f>IF(Labs!E521&gt;120,"High","Normal")</f>
        <v>High</v>
      </c>
      <c r="N521" t="str">
        <f t="shared" si="17"/>
        <v>low risk</v>
      </c>
    </row>
    <row r="522" spans="1:14" x14ac:dyDescent="0.3">
      <c r="A522">
        <v>521</v>
      </c>
      <c r="B522" t="s">
        <v>381</v>
      </c>
      <c r="C522">
        <v>75</v>
      </c>
      <c r="D522" t="s">
        <v>17</v>
      </c>
      <c r="E522">
        <v>2</v>
      </c>
      <c r="F522" s="1">
        <v>45294</v>
      </c>
      <c r="G522" s="1">
        <v>45323</v>
      </c>
      <c r="H522">
        <v>2</v>
      </c>
      <c r="I522" s="3">
        <v>53946</v>
      </c>
      <c r="J522" t="str">
        <f>VLOOKUP(H522,Diagnosis!$A:$B,2,FALSE)</f>
        <v>Hypertension</v>
      </c>
      <c r="K522" t="str">
        <f>VLOOKUP(H522,Outcome!A$2:$B$7,2,FALSE)</f>
        <v>Improved</v>
      </c>
      <c r="L522">
        <f t="shared" si="16"/>
        <v>29</v>
      </c>
      <c r="M522" t="str">
        <f>IF(Labs!E522&gt;120,"High","Normal")</f>
        <v>High</v>
      </c>
      <c r="N522" t="str">
        <f t="shared" si="17"/>
        <v>High Risk</v>
      </c>
    </row>
    <row r="523" spans="1:14" x14ac:dyDescent="0.3">
      <c r="A523">
        <v>522</v>
      </c>
      <c r="B523" t="s">
        <v>102</v>
      </c>
      <c r="C523">
        <v>12</v>
      </c>
      <c r="D523" t="s">
        <v>10</v>
      </c>
      <c r="E523">
        <v>8</v>
      </c>
      <c r="F523" s="1">
        <v>45343</v>
      </c>
      <c r="G523" s="1">
        <v>45355</v>
      </c>
      <c r="H523">
        <v>4</v>
      </c>
      <c r="I523" s="3">
        <v>7970.4</v>
      </c>
      <c r="J523" t="str">
        <f>VLOOKUP(H523,Diagnosis!$A:$B,2,FALSE)</f>
        <v>Pneumonia</v>
      </c>
      <c r="K523" t="str">
        <f>VLOOKUP(H523,Outcome!A$2:$B$7,2,FALSE)</f>
        <v>Referred</v>
      </c>
      <c r="L523">
        <f t="shared" si="16"/>
        <v>12</v>
      </c>
      <c r="M523" t="str">
        <f>IF(Labs!E523&gt;120,"High","Normal")</f>
        <v>High</v>
      </c>
      <c r="N523" t="str">
        <f t="shared" si="17"/>
        <v>High Risk</v>
      </c>
    </row>
    <row r="524" spans="1:14" x14ac:dyDescent="0.3">
      <c r="A524">
        <v>523</v>
      </c>
      <c r="B524" t="s">
        <v>19</v>
      </c>
      <c r="C524">
        <v>29</v>
      </c>
      <c r="D524" t="s">
        <v>17</v>
      </c>
      <c r="E524">
        <v>7</v>
      </c>
      <c r="F524" s="1">
        <v>46193</v>
      </c>
      <c r="G524" s="1">
        <v>46218</v>
      </c>
      <c r="H524">
        <v>4</v>
      </c>
      <c r="I524" s="3">
        <v>54858.68</v>
      </c>
      <c r="J524" t="str">
        <f>VLOOKUP(H524,Diagnosis!$A:$B,2,FALSE)</f>
        <v>Pneumonia</v>
      </c>
      <c r="K524" t="str">
        <f>VLOOKUP(H524,Outcome!A$2:$B$7,2,FALSE)</f>
        <v>Referred</v>
      </c>
      <c r="L524">
        <f t="shared" si="16"/>
        <v>25</v>
      </c>
      <c r="M524" t="str">
        <f>IF(Labs!E524&gt;120,"High","Normal")</f>
        <v>High</v>
      </c>
      <c r="N524" t="str">
        <f t="shared" si="17"/>
        <v>High Risk</v>
      </c>
    </row>
    <row r="525" spans="1:14" x14ac:dyDescent="0.3">
      <c r="A525">
        <v>524</v>
      </c>
      <c r="B525" t="s">
        <v>382</v>
      </c>
      <c r="C525">
        <v>87</v>
      </c>
      <c r="D525" t="s">
        <v>10</v>
      </c>
      <c r="E525">
        <v>1</v>
      </c>
      <c r="F525" s="1">
        <v>45695</v>
      </c>
      <c r="G525" s="1">
        <v>45722</v>
      </c>
      <c r="H525">
        <v>2</v>
      </c>
      <c r="I525" s="3">
        <v>24374.240000000002</v>
      </c>
      <c r="J525" t="str">
        <f>VLOOKUP(H525,Diagnosis!$A:$B,2,FALSE)</f>
        <v>Hypertension</v>
      </c>
      <c r="K525" t="str">
        <f>VLOOKUP(H525,Outcome!A$2:$B$7,2,FALSE)</f>
        <v>Improved</v>
      </c>
      <c r="L525">
        <f t="shared" si="16"/>
        <v>27</v>
      </c>
      <c r="M525" t="str">
        <f>IF(Labs!E525&gt;120,"High","Normal")</f>
        <v>High</v>
      </c>
      <c r="N525" t="str">
        <f t="shared" si="17"/>
        <v>High Risk</v>
      </c>
    </row>
    <row r="526" spans="1:14" x14ac:dyDescent="0.3">
      <c r="A526">
        <v>525</v>
      </c>
      <c r="B526" t="s">
        <v>324</v>
      </c>
      <c r="C526">
        <v>77</v>
      </c>
      <c r="D526" t="s">
        <v>10</v>
      </c>
      <c r="E526">
        <v>9</v>
      </c>
      <c r="F526" s="1">
        <v>45683</v>
      </c>
      <c r="G526" s="1">
        <v>45713</v>
      </c>
      <c r="H526">
        <v>1</v>
      </c>
      <c r="I526" s="3">
        <v>39784.39</v>
      </c>
      <c r="J526" t="str">
        <f>VLOOKUP(H526,Diagnosis!$A:$B,2,FALSE)</f>
        <v>Diabetes</v>
      </c>
      <c r="K526" t="str">
        <f>VLOOKUP(H526,Outcome!A$2:$B$7,2,FALSE)</f>
        <v>Recovered</v>
      </c>
      <c r="L526">
        <f t="shared" si="16"/>
        <v>30</v>
      </c>
      <c r="M526" t="str">
        <f>IF(Labs!E526&gt;120,"High","Normal")</f>
        <v>High</v>
      </c>
      <c r="N526" t="str">
        <f t="shared" si="17"/>
        <v>High Risk</v>
      </c>
    </row>
    <row r="527" spans="1:14" x14ac:dyDescent="0.3">
      <c r="A527">
        <v>526</v>
      </c>
      <c r="B527" t="s">
        <v>383</v>
      </c>
      <c r="C527">
        <v>53</v>
      </c>
      <c r="D527" t="s">
        <v>17</v>
      </c>
      <c r="E527">
        <v>3</v>
      </c>
      <c r="F527" s="1">
        <v>44938</v>
      </c>
      <c r="G527" s="1">
        <v>44945</v>
      </c>
      <c r="H527">
        <v>2</v>
      </c>
      <c r="I527" s="3">
        <v>47361.67</v>
      </c>
      <c r="J527" t="str">
        <f>VLOOKUP(H527,Diagnosis!$A:$B,2,FALSE)</f>
        <v>Hypertension</v>
      </c>
      <c r="K527" t="str">
        <f>VLOOKUP(H527,Outcome!A$2:$B$7,2,FALSE)</f>
        <v>Improved</v>
      </c>
      <c r="L527">
        <f t="shared" si="16"/>
        <v>7</v>
      </c>
      <c r="M527" t="str">
        <f>IF(Labs!E527&gt;120,"High","Normal")</f>
        <v>High</v>
      </c>
      <c r="N527" t="str">
        <f t="shared" si="17"/>
        <v>High Risk</v>
      </c>
    </row>
    <row r="528" spans="1:14" x14ac:dyDescent="0.3">
      <c r="A528">
        <v>527</v>
      </c>
      <c r="B528" t="s">
        <v>293</v>
      </c>
      <c r="C528">
        <v>86</v>
      </c>
      <c r="D528" t="s">
        <v>17</v>
      </c>
      <c r="E528">
        <v>9</v>
      </c>
      <c r="F528" s="1">
        <v>45506</v>
      </c>
      <c r="G528" s="1">
        <v>45526</v>
      </c>
      <c r="H528">
        <v>2</v>
      </c>
      <c r="I528" s="3">
        <v>54090.85</v>
      </c>
      <c r="J528" t="str">
        <f>VLOOKUP(H528,Diagnosis!$A:$B,2,FALSE)</f>
        <v>Hypertension</v>
      </c>
      <c r="K528" t="str">
        <f>VLOOKUP(H528,Outcome!A$2:$B$7,2,FALSE)</f>
        <v>Improved</v>
      </c>
      <c r="L528">
        <f t="shared" si="16"/>
        <v>20</v>
      </c>
      <c r="M528" t="str">
        <f>IF(Labs!E528&gt;120,"High","Normal")</f>
        <v>High</v>
      </c>
      <c r="N528" t="str">
        <f t="shared" si="17"/>
        <v>High Risk</v>
      </c>
    </row>
    <row r="529" spans="1:14" x14ac:dyDescent="0.3">
      <c r="A529">
        <v>528</v>
      </c>
      <c r="B529" t="s">
        <v>57</v>
      </c>
      <c r="C529">
        <v>13</v>
      </c>
      <c r="D529" t="s">
        <v>17</v>
      </c>
      <c r="E529">
        <v>10</v>
      </c>
      <c r="F529" s="1">
        <v>45559</v>
      </c>
      <c r="G529" s="1">
        <v>45589</v>
      </c>
      <c r="H529">
        <v>1</v>
      </c>
      <c r="I529" s="3">
        <v>25258.19</v>
      </c>
      <c r="J529" t="str">
        <f>VLOOKUP(H529,Diagnosis!$A:$B,2,FALSE)</f>
        <v>Diabetes</v>
      </c>
      <c r="K529" t="str">
        <f>VLOOKUP(H529,Outcome!A$2:$B$7,2,FALSE)</f>
        <v>Recovered</v>
      </c>
      <c r="L529">
        <f t="shared" si="16"/>
        <v>30</v>
      </c>
      <c r="M529" t="str">
        <f>IF(Labs!E529&gt;120,"High","Normal")</f>
        <v>High</v>
      </c>
      <c r="N529" t="str">
        <f t="shared" si="17"/>
        <v>low risk</v>
      </c>
    </row>
    <row r="530" spans="1:14" x14ac:dyDescent="0.3">
      <c r="A530">
        <v>529</v>
      </c>
      <c r="B530" t="s">
        <v>53</v>
      </c>
      <c r="C530">
        <v>37</v>
      </c>
      <c r="D530" t="s">
        <v>17</v>
      </c>
      <c r="E530">
        <v>4</v>
      </c>
      <c r="F530" s="1">
        <v>45212</v>
      </c>
      <c r="G530" s="1">
        <v>45227</v>
      </c>
      <c r="H530">
        <v>2</v>
      </c>
      <c r="I530" s="3">
        <v>111900.78</v>
      </c>
      <c r="J530" t="str">
        <f>VLOOKUP(H530,Diagnosis!$A:$B,2,FALSE)</f>
        <v>Hypertension</v>
      </c>
      <c r="K530" t="str">
        <f>VLOOKUP(H530,Outcome!A$2:$B$7,2,FALSE)</f>
        <v>Improved</v>
      </c>
      <c r="L530">
        <f t="shared" si="16"/>
        <v>15</v>
      </c>
      <c r="M530" t="str">
        <f>IF(Labs!E530&gt;120,"High","Normal")</f>
        <v>High</v>
      </c>
      <c r="N530" t="str">
        <f t="shared" si="17"/>
        <v>High Risk</v>
      </c>
    </row>
    <row r="531" spans="1:14" x14ac:dyDescent="0.3">
      <c r="A531">
        <v>530</v>
      </c>
      <c r="B531" t="s">
        <v>97</v>
      </c>
      <c r="C531">
        <v>20</v>
      </c>
      <c r="D531" t="s">
        <v>10</v>
      </c>
      <c r="E531">
        <v>6</v>
      </c>
      <c r="F531" s="1">
        <v>45439</v>
      </c>
      <c r="G531" s="1">
        <v>45444</v>
      </c>
      <c r="H531">
        <v>1</v>
      </c>
      <c r="I531" s="3">
        <v>46196.09</v>
      </c>
      <c r="J531" t="str">
        <f>VLOOKUP(H531,Diagnosis!$A:$B,2,FALSE)</f>
        <v>Diabetes</v>
      </c>
      <c r="K531" t="str">
        <f>VLOOKUP(H531,Outcome!A$2:$B$7,2,FALSE)</f>
        <v>Recovered</v>
      </c>
      <c r="L531">
        <f t="shared" si="16"/>
        <v>5</v>
      </c>
      <c r="M531" t="str">
        <f>IF(Labs!E531&gt;120,"High","Normal")</f>
        <v>High</v>
      </c>
      <c r="N531" t="str">
        <f t="shared" si="17"/>
        <v>low risk</v>
      </c>
    </row>
    <row r="532" spans="1:14" x14ac:dyDescent="0.3">
      <c r="A532">
        <v>531</v>
      </c>
      <c r="B532" t="s">
        <v>141</v>
      </c>
      <c r="C532">
        <v>36</v>
      </c>
      <c r="D532" t="s">
        <v>10</v>
      </c>
      <c r="E532">
        <v>3</v>
      </c>
      <c r="F532" s="1">
        <v>45953</v>
      </c>
      <c r="G532" s="1">
        <v>45976</v>
      </c>
      <c r="H532">
        <v>1</v>
      </c>
      <c r="I532" s="3">
        <v>87691.83</v>
      </c>
      <c r="J532" t="str">
        <f>VLOOKUP(H532,Diagnosis!$A:$B,2,FALSE)</f>
        <v>Diabetes</v>
      </c>
      <c r="K532" t="str">
        <f>VLOOKUP(H532,Outcome!A$2:$B$7,2,FALSE)</f>
        <v>Recovered</v>
      </c>
      <c r="L532">
        <f t="shared" si="16"/>
        <v>23</v>
      </c>
      <c r="M532" t="str">
        <f>IF(Labs!E532&gt;120,"High","Normal")</f>
        <v>High</v>
      </c>
      <c r="N532" t="str">
        <f t="shared" si="17"/>
        <v>low risk</v>
      </c>
    </row>
    <row r="533" spans="1:14" x14ac:dyDescent="0.3">
      <c r="A533">
        <v>532</v>
      </c>
      <c r="B533" t="s">
        <v>185</v>
      </c>
      <c r="C533">
        <v>40</v>
      </c>
      <c r="D533" t="s">
        <v>10</v>
      </c>
      <c r="E533">
        <v>9</v>
      </c>
      <c r="F533" s="1">
        <v>44784</v>
      </c>
      <c r="G533" s="1">
        <v>44789</v>
      </c>
      <c r="H533">
        <v>2</v>
      </c>
      <c r="I533" s="3">
        <v>17050.330000000002</v>
      </c>
      <c r="J533" t="str">
        <f>VLOOKUP(H533,Diagnosis!$A:$B,2,FALSE)</f>
        <v>Hypertension</v>
      </c>
      <c r="K533" t="str">
        <f>VLOOKUP(H533,Outcome!A$2:$B$7,2,FALSE)</f>
        <v>Improved</v>
      </c>
      <c r="L533">
        <f t="shared" si="16"/>
        <v>5</v>
      </c>
      <c r="M533" t="str">
        <f>IF(Labs!E533&gt;120,"High","Normal")</f>
        <v>High</v>
      </c>
      <c r="N533" t="str">
        <f t="shared" si="17"/>
        <v>High Risk</v>
      </c>
    </row>
    <row r="534" spans="1:14" x14ac:dyDescent="0.3">
      <c r="A534">
        <v>533</v>
      </c>
      <c r="B534" t="s">
        <v>384</v>
      </c>
      <c r="C534">
        <v>69</v>
      </c>
      <c r="D534" t="s">
        <v>17</v>
      </c>
      <c r="E534">
        <v>5</v>
      </c>
      <c r="F534" s="1">
        <v>46064</v>
      </c>
      <c r="G534" s="1">
        <v>46092</v>
      </c>
      <c r="H534">
        <v>2</v>
      </c>
      <c r="I534" s="3">
        <v>131618</v>
      </c>
      <c r="J534" t="str">
        <f>VLOOKUP(H534,Diagnosis!$A:$B,2,FALSE)</f>
        <v>Hypertension</v>
      </c>
      <c r="K534" t="str">
        <f>VLOOKUP(H534,Outcome!A$2:$B$7,2,FALSE)</f>
        <v>Improved</v>
      </c>
      <c r="L534">
        <f t="shared" si="16"/>
        <v>28</v>
      </c>
      <c r="M534" t="str">
        <f>IF(Labs!E534&gt;120,"High","Normal")</f>
        <v>High</v>
      </c>
      <c r="N534" t="str">
        <f t="shared" si="17"/>
        <v>High Risk</v>
      </c>
    </row>
    <row r="535" spans="1:14" x14ac:dyDescent="0.3">
      <c r="A535">
        <v>534</v>
      </c>
      <c r="B535" t="s">
        <v>321</v>
      </c>
      <c r="C535">
        <v>81</v>
      </c>
      <c r="D535" t="s">
        <v>17</v>
      </c>
      <c r="E535">
        <v>10</v>
      </c>
      <c r="F535" s="1">
        <v>45747</v>
      </c>
      <c r="G535" s="1">
        <v>45759</v>
      </c>
      <c r="H535">
        <v>3</v>
      </c>
      <c r="I535" s="3">
        <v>40265.019999999997</v>
      </c>
      <c r="J535" t="str">
        <f>VLOOKUP(H535,Diagnosis!$A:$B,2,FALSE)</f>
        <v>Asthma</v>
      </c>
      <c r="K535" t="str">
        <f>VLOOKUP(H535,Outcome!A$2:$B$7,2,FALSE)</f>
        <v>Ongoing Treatment</v>
      </c>
      <c r="L535">
        <f t="shared" si="16"/>
        <v>12</v>
      </c>
      <c r="M535" t="str">
        <f>IF(Labs!E535&gt;120,"High","Normal")</f>
        <v>High</v>
      </c>
      <c r="N535" t="str">
        <f t="shared" si="17"/>
        <v>High Risk</v>
      </c>
    </row>
    <row r="536" spans="1:14" x14ac:dyDescent="0.3">
      <c r="A536">
        <v>535</v>
      </c>
      <c r="B536" t="s">
        <v>352</v>
      </c>
      <c r="C536">
        <v>34</v>
      </c>
      <c r="D536" t="s">
        <v>10</v>
      </c>
      <c r="E536">
        <v>3</v>
      </c>
      <c r="F536" s="1">
        <v>45311</v>
      </c>
      <c r="G536" s="1">
        <v>45323</v>
      </c>
      <c r="H536">
        <v>1</v>
      </c>
      <c r="I536" s="3">
        <v>139555.71</v>
      </c>
      <c r="J536" t="str">
        <f>VLOOKUP(H536,Diagnosis!$A:$B,2,FALSE)</f>
        <v>Diabetes</v>
      </c>
      <c r="K536" t="str">
        <f>VLOOKUP(H536,Outcome!A$2:$B$7,2,FALSE)</f>
        <v>Recovered</v>
      </c>
      <c r="L536">
        <f t="shared" si="16"/>
        <v>12</v>
      </c>
      <c r="M536" t="str">
        <f>IF(Labs!E536&gt;120,"High","Normal")</f>
        <v>High</v>
      </c>
      <c r="N536" t="str">
        <f t="shared" si="17"/>
        <v>low risk</v>
      </c>
    </row>
    <row r="537" spans="1:14" x14ac:dyDescent="0.3">
      <c r="A537">
        <v>536</v>
      </c>
      <c r="B537" t="s">
        <v>385</v>
      </c>
      <c r="C537">
        <v>60</v>
      </c>
      <c r="D537" t="s">
        <v>17</v>
      </c>
      <c r="E537">
        <v>7</v>
      </c>
      <c r="F537" s="1">
        <v>45307</v>
      </c>
      <c r="G537" s="1">
        <v>45323</v>
      </c>
      <c r="H537">
        <v>1</v>
      </c>
      <c r="I537" s="3">
        <v>44901.34</v>
      </c>
      <c r="J537" t="str">
        <f>VLOOKUP(H537,Diagnosis!$A:$B,2,FALSE)</f>
        <v>Diabetes</v>
      </c>
      <c r="K537" t="str">
        <f>VLOOKUP(H537,Outcome!A$2:$B$7,2,FALSE)</f>
        <v>Recovered</v>
      </c>
      <c r="L537">
        <f t="shared" si="16"/>
        <v>16</v>
      </c>
      <c r="M537" t="str">
        <f>IF(Labs!E537&gt;120,"High","Normal")</f>
        <v>High</v>
      </c>
      <c r="N537" t="str">
        <f t="shared" si="17"/>
        <v>low risk</v>
      </c>
    </row>
    <row r="538" spans="1:14" x14ac:dyDescent="0.3">
      <c r="A538">
        <v>537</v>
      </c>
      <c r="B538" t="s">
        <v>386</v>
      </c>
      <c r="C538">
        <v>66</v>
      </c>
      <c r="D538" t="s">
        <v>17</v>
      </c>
      <c r="E538">
        <v>8</v>
      </c>
      <c r="F538" s="1">
        <v>44888</v>
      </c>
      <c r="G538" s="1">
        <v>44893</v>
      </c>
      <c r="H538">
        <v>2</v>
      </c>
      <c r="I538" s="3">
        <v>102931.72</v>
      </c>
      <c r="J538" t="str">
        <f>VLOOKUP(H538,Diagnosis!$A:$B,2,FALSE)</f>
        <v>Hypertension</v>
      </c>
      <c r="K538" t="str">
        <f>VLOOKUP(H538,Outcome!A$2:$B$7,2,FALSE)</f>
        <v>Improved</v>
      </c>
      <c r="L538">
        <f t="shared" si="16"/>
        <v>5</v>
      </c>
      <c r="M538" t="str">
        <f>IF(Labs!E538&gt;120,"High","Normal")</f>
        <v>High</v>
      </c>
      <c r="N538" t="str">
        <f t="shared" si="17"/>
        <v>High Risk</v>
      </c>
    </row>
    <row r="539" spans="1:14" x14ac:dyDescent="0.3">
      <c r="A539">
        <v>538</v>
      </c>
      <c r="B539" t="s">
        <v>387</v>
      </c>
      <c r="C539">
        <v>46</v>
      </c>
      <c r="D539" t="s">
        <v>17</v>
      </c>
      <c r="E539">
        <v>4</v>
      </c>
      <c r="F539" s="1">
        <v>46121</v>
      </c>
      <c r="G539" s="1">
        <v>46136</v>
      </c>
      <c r="H539">
        <v>1</v>
      </c>
      <c r="I539" s="3">
        <v>49423.39</v>
      </c>
      <c r="J539" t="str">
        <f>VLOOKUP(H539,Diagnosis!$A:$B,2,FALSE)</f>
        <v>Diabetes</v>
      </c>
      <c r="K539" t="str">
        <f>VLOOKUP(H539,Outcome!A$2:$B$7,2,FALSE)</f>
        <v>Recovered</v>
      </c>
      <c r="L539">
        <f t="shared" si="16"/>
        <v>15</v>
      </c>
      <c r="M539" t="str">
        <f>IF(Labs!E539&gt;120,"High","Normal")</f>
        <v>High</v>
      </c>
      <c r="N539" t="str">
        <f t="shared" si="17"/>
        <v>low risk</v>
      </c>
    </row>
    <row r="540" spans="1:14" x14ac:dyDescent="0.3">
      <c r="A540">
        <v>539</v>
      </c>
      <c r="B540" t="s">
        <v>211</v>
      </c>
      <c r="C540">
        <v>86</v>
      </c>
      <c r="D540" t="s">
        <v>17</v>
      </c>
      <c r="E540">
        <v>9</v>
      </c>
      <c r="F540" s="1">
        <v>46182</v>
      </c>
      <c r="G540" s="1">
        <v>46193</v>
      </c>
      <c r="H540">
        <v>2</v>
      </c>
      <c r="I540" s="3">
        <v>165427.6</v>
      </c>
      <c r="J540" t="str">
        <f>VLOOKUP(H540,Diagnosis!$A:$B,2,FALSE)</f>
        <v>Hypertension</v>
      </c>
      <c r="K540" t="str">
        <f>VLOOKUP(H540,Outcome!A$2:$B$7,2,FALSE)</f>
        <v>Improved</v>
      </c>
      <c r="L540">
        <f t="shared" si="16"/>
        <v>11</v>
      </c>
      <c r="M540" t="str">
        <f>IF(Labs!E540&gt;120,"High","Normal")</f>
        <v>High</v>
      </c>
      <c r="N540" t="str">
        <f t="shared" si="17"/>
        <v>High Risk</v>
      </c>
    </row>
    <row r="541" spans="1:14" x14ac:dyDescent="0.3">
      <c r="A541">
        <v>540</v>
      </c>
      <c r="B541" t="s">
        <v>388</v>
      </c>
      <c r="C541">
        <v>84</v>
      </c>
      <c r="D541" t="s">
        <v>10</v>
      </c>
      <c r="E541">
        <v>2</v>
      </c>
      <c r="F541" s="1">
        <v>46003</v>
      </c>
      <c r="G541" s="1">
        <v>46033</v>
      </c>
      <c r="H541">
        <v>2</v>
      </c>
      <c r="I541" s="3">
        <v>149762.37</v>
      </c>
      <c r="J541" t="str">
        <f>VLOOKUP(H541,Diagnosis!$A:$B,2,FALSE)</f>
        <v>Hypertension</v>
      </c>
      <c r="K541" t="str">
        <f>VLOOKUP(H541,Outcome!A$2:$B$7,2,FALSE)</f>
        <v>Improved</v>
      </c>
      <c r="L541">
        <f t="shared" si="16"/>
        <v>30</v>
      </c>
      <c r="M541" t="str">
        <f>IF(Labs!E541&gt;120,"High","Normal")</f>
        <v>High</v>
      </c>
      <c r="N541" t="str">
        <f t="shared" si="17"/>
        <v>High Risk</v>
      </c>
    </row>
    <row r="542" spans="1:14" x14ac:dyDescent="0.3">
      <c r="A542">
        <v>541</v>
      </c>
      <c r="B542" t="s">
        <v>128</v>
      </c>
      <c r="C542">
        <v>70</v>
      </c>
      <c r="D542" t="s">
        <v>17</v>
      </c>
      <c r="E542">
        <v>7</v>
      </c>
      <c r="F542" s="1">
        <v>45900</v>
      </c>
      <c r="G542" s="1">
        <v>45912</v>
      </c>
      <c r="H542">
        <v>2</v>
      </c>
      <c r="I542" s="3">
        <v>118467.24</v>
      </c>
      <c r="J542" t="str">
        <f>VLOOKUP(H542,Diagnosis!$A:$B,2,FALSE)</f>
        <v>Hypertension</v>
      </c>
      <c r="K542" t="str">
        <f>VLOOKUP(H542,Outcome!A$2:$B$7,2,FALSE)</f>
        <v>Improved</v>
      </c>
      <c r="L542">
        <f t="shared" si="16"/>
        <v>12</v>
      </c>
      <c r="M542" t="str">
        <f>IF(Labs!E542&gt;120,"High","Normal")</f>
        <v>High</v>
      </c>
      <c r="N542" t="str">
        <f t="shared" si="17"/>
        <v>High Risk</v>
      </c>
    </row>
    <row r="543" spans="1:14" x14ac:dyDescent="0.3">
      <c r="A543">
        <v>542</v>
      </c>
      <c r="B543" t="s">
        <v>34</v>
      </c>
      <c r="C543">
        <v>33</v>
      </c>
      <c r="D543" t="s">
        <v>10</v>
      </c>
      <c r="E543">
        <v>4</v>
      </c>
      <c r="F543" s="1">
        <v>45619</v>
      </c>
      <c r="G543" s="1">
        <v>45631</v>
      </c>
      <c r="H543">
        <v>2</v>
      </c>
      <c r="I543" s="3">
        <v>156520.20000000001</v>
      </c>
      <c r="J543" t="str">
        <f>VLOOKUP(H543,Diagnosis!$A:$B,2,FALSE)</f>
        <v>Hypertension</v>
      </c>
      <c r="K543" t="str">
        <f>VLOOKUP(H543,Outcome!A$2:$B$7,2,FALSE)</f>
        <v>Improved</v>
      </c>
      <c r="L543">
        <f t="shared" si="16"/>
        <v>12</v>
      </c>
      <c r="M543" t="str">
        <f>IF(Labs!E543&gt;120,"High","Normal")</f>
        <v>High</v>
      </c>
      <c r="N543" t="str">
        <f t="shared" si="17"/>
        <v>High Risk</v>
      </c>
    </row>
    <row r="544" spans="1:14" x14ac:dyDescent="0.3">
      <c r="A544">
        <v>543</v>
      </c>
      <c r="B544" t="s">
        <v>389</v>
      </c>
      <c r="C544">
        <v>78</v>
      </c>
      <c r="D544" t="s">
        <v>17</v>
      </c>
      <c r="E544">
        <v>9</v>
      </c>
      <c r="F544" s="1">
        <v>44846</v>
      </c>
      <c r="G544" s="1">
        <v>44860</v>
      </c>
      <c r="H544">
        <v>1</v>
      </c>
      <c r="I544" s="3">
        <v>16183.16</v>
      </c>
      <c r="J544" t="str">
        <f>VLOOKUP(H544,Diagnosis!$A:$B,2,FALSE)</f>
        <v>Diabetes</v>
      </c>
      <c r="K544" t="str">
        <f>VLOOKUP(H544,Outcome!A$2:$B$7,2,FALSE)</f>
        <v>Recovered</v>
      </c>
      <c r="L544">
        <f t="shared" si="16"/>
        <v>14</v>
      </c>
      <c r="M544" t="str">
        <f>IF(Labs!E544&gt;120,"High","Normal")</f>
        <v>High</v>
      </c>
      <c r="N544" t="str">
        <f t="shared" si="17"/>
        <v>High Risk</v>
      </c>
    </row>
    <row r="545" spans="1:14" x14ac:dyDescent="0.3">
      <c r="A545">
        <v>544</v>
      </c>
      <c r="B545" t="s">
        <v>390</v>
      </c>
      <c r="C545">
        <v>20</v>
      </c>
      <c r="D545" t="s">
        <v>17</v>
      </c>
      <c r="E545">
        <v>3</v>
      </c>
      <c r="F545" s="1">
        <v>45303</v>
      </c>
      <c r="G545" s="1">
        <v>45322</v>
      </c>
      <c r="H545">
        <v>3</v>
      </c>
      <c r="I545" s="3">
        <v>23503.61</v>
      </c>
      <c r="J545" t="str">
        <f>VLOOKUP(H545,Diagnosis!$A:$B,2,FALSE)</f>
        <v>Asthma</v>
      </c>
      <c r="K545" t="str">
        <f>VLOOKUP(H545,Outcome!A$2:$B$7,2,FALSE)</f>
        <v>Ongoing Treatment</v>
      </c>
      <c r="L545">
        <f t="shared" si="16"/>
        <v>19</v>
      </c>
      <c r="M545" t="str">
        <f>IF(Labs!E545&gt;120,"High","Normal")</f>
        <v>High</v>
      </c>
      <c r="N545" t="str">
        <f t="shared" si="17"/>
        <v>High Risk</v>
      </c>
    </row>
    <row r="546" spans="1:14" x14ac:dyDescent="0.3">
      <c r="A546">
        <v>545</v>
      </c>
      <c r="B546" t="s">
        <v>141</v>
      </c>
      <c r="C546">
        <v>43</v>
      </c>
      <c r="D546" t="s">
        <v>17</v>
      </c>
      <c r="E546">
        <v>8</v>
      </c>
      <c r="F546" s="1">
        <v>45944</v>
      </c>
      <c r="G546" s="1">
        <v>45959</v>
      </c>
      <c r="H546">
        <v>2</v>
      </c>
      <c r="I546" s="3">
        <v>107365.38</v>
      </c>
      <c r="J546" t="str">
        <f>VLOOKUP(H546,Diagnosis!$A:$B,2,FALSE)</f>
        <v>Hypertension</v>
      </c>
      <c r="K546" t="str">
        <f>VLOOKUP(H546,Outcome!A$2:$B$7,2,FALSE)</f>
        <v>Improved</v>
      </c>
      <c r="L546">
        <f t="shared" si="16"/>
        <v>15</v>
      </c>
      <c r="M546" t="str">
        <f>IF(Labs!E546&gt;120,"High","Normal")</f>
        <v>High</v>
      </c>
      <c r="N546" t="str">
        <f t="shared" si="17"/>
        <v>High Risk</v>
      </c>
    </row>
    <row r="547" spans="1:14" x14ac:dyDescent="0.3">
      <c r="A547">
        <v>546</v>
      </c>
      <c r="B547" t="s">
        <v>391</v>
      </c>
      <c r="C547">
        <v>32</v>
      </c>
      <c r="D547" t="s">
        <v>17</v>
      </c>
      <c r="E547">
        <v>3</v>
      </c>
      <c r="F547" s="1">
        <v>45736</v>
      </c>
      <c r="G547" s="1">
        <v>45754</v>
      </c>
      <c r="H547">
        <v>1</v>
      </c>
      <c r="I547" s="3">
        <v>114243.43</v>
      </c>
      <c r="J547" t="str">
        <f>VLOOKUP(H547,Diagnosis!$A:$B,2,FALSE)</f>
        <v>Diabetes</v>
      </c>
      <c r="K547" t="str">
        <f>VLOOKUP(H547,Outcome!A$2:$B$7,2,FALSE)</f>
        <v>Recovered</v>
      </c>
      <c r="L547">
        <f t="shared" si="16"/>
        <v>18</v>
      </c>
      <c r="M547" t="str">
        <f>IF(Labs!E547&gt;120,"High","Normal")</f>
        <v>High</v>
      </c>
      <c r="N547" t="str">
        <f t="shared" si="17"/>
        <v>low risk</v>
      </c>
    </row>
    <row r="548" spans="1:14" x14ac:dyDescent="0.3">
      <c r="A548">
        <v>547</v>
      </c>
      <c r="B548" t="s">
        <v>392</v>
      </c>
      <c r="C548">
        <v>19</v>
      </c>
      <c r="D548" t="s">
        <v>17</v>
      </c>
      <c r="E548">
        <v>3</v>
      </c>
      <c r="F548" s="1">
        <v>45090</v>
      </c>
      <c r="G548" s="1">
        <v>45119</v>
      </c>
      <c r="H548">
        <v>1</v>
      </c>
      <c r="I548" s="3">
        <v>172587.3</v>
      </c>
      <c r="J548" t="str">
        <f>VLOOKUP(H548,Diagnosis!$A:$B,2,FALSE)</f>
        <v>Diabetes</v>
      </c>
      <c r="K548" t="str">
        <f>VLOOKUP(H548,Outcome!A$2:$B$7,2,FALSE)</f>
        <v>Recovered</v>
      </c>
      <c r="L548">
        <f t="shared" si="16"/>
        <v>29</v>
      </c>
      <c r="M548" t="str">
        <f>IF(Labs!E548&gt;120,"High","Normal")</f>
        <v>High</v>
      </c>
      <c r="N548" t="str">
        <f t="shared" si="17"/>
        <v>low risk</v>
      </c>
    </row>
    <row r="549" spans="1:14" x14ac:dyDescent="0.3">
      <c r="A549">
        <v>548</v>
      </c>
      <c r="B549" t="s">
        <v>393</v>
      </c>
      <c r="C549">
        <v>82</v>
      </c>
      <c r="D549" t="s">
        <v>17</v>
      </c>
      <c r="E549">
        <v>5</v>
      </c>
      <c r="F549" s="1">
        <v>44737</v>
      </c>
      <c r="G549" s="1">
        <v>44743</v>
      </c>
      <c r="H549">
        <v>2</v>
      </c>
      <c r="I549" s="3">
        <v>178717.71</v>
      </c>
      <c r="J549" t="str">
        <f>VLOOKUP(H549,Diagnosis!$A:$B,2,FALSE)</f>
        <v>Hypertension</v>
      </c>
      <c r="K549" t="str">
        <f>VLOOKUP(H549,Outcome!A$2:$B$7,2,FALSE)</f>
        <v>Improved</v>
      </c>
      <c r="L549">
        <f t="shared" si="16"/>
        <v>6</v>
      </c>
      <c r="M549" t="str">
        <f>IF(Labs!E549&gt;120,"High","Normal")</f>
        <v>High</v>
      </c>
      <c r="N549" t="str">
        <f t="shared" si="17"/>
        <v>High Risk</v>
      </c>
    </row>
    <row r="550" spans="1:14" x14ac:dyDescent="0.3">
      <c r="A550">
        <v>549</v>
      </c>
      <c r="B550" t="s">
        <v>394</v>
      </c>
      <c r="C550">
        <v>29</v>
      </c>
      <c r="D550" t="s">
        <v>10</v>
      </c>
      <c r="E550">
        <v>10</v>
      </c>
      <c r="F550" s="1">
        <v>44854</v>
      </c>
      <c r="G550" s="1">
        <v>44879</v>
      </c>
      <c r="H550">
        <v>2</v>
      </c>
      <c r="I550" s="3">
        <v>138729.49</v>
      </c>
      <c r="J550" t="str">
        <f>VLOOKUP(H550,Diagnosis!$A:$B,2,FALSE)</f>
        <v>Hypertension</v>
      </c>
      <c r="K550" t="str">
        <f>VLOOKUP(H550,Outcome!A$2:$B$7,2,FALSE)</f>
        <v>Improved</v>
      </c>
      <c r="L550">
        <f t="shared" si="16"/>
        <v>25</v>
      </c>
      <c r="M550" t="str">
        <f>IF(Labs!E550&gt;120,"High","Normal")</f>
        <v>High</v>
      </c>
      <c r="N550" t="str">
        <f t="shared" si="17"/>
        <v>High Risk</v>
      </c>
    </row>
    <row r="551" spans="1:14" x14ac:dyDescent="0.3">
      <c r="A551">
        <v>550</v>
      </c>
      <c r="B551" t="s">
        <v>48</v>
      </c>
      <c r="C551">
        <v>34</v>
      </c>
      <c r="D551" t="s">
        <v>17</v>
      </c>
      <c r="E551">
        <v>6</v>
      </c>
      <c r="F551" s="1">
        <v>45490</v>
      </c>
      <c r="G551" s="1">
        <v>45509</v>
      </c>
      <c r="H551">
        <v>2</v>
      </c>
      <c r="I551" s="3">
        <v>43291.95</v>
      </c>
      <c r="J551" t="str">
        <f>VLOOKUP(H551,Diagnosis!$A:$B,2,FALSE)</f>
        <v>Hypertension</v>
      </c>
      <c r="K551" t="str">
        <f>VLOOKUP(H551,Outcome!A$2:$B$7,2,FALSE)</f>
        <v>Improved</v>
      </c>
      <c r="L551">
        <f t="shared" si="16"/>
        <v>19</v>
      </c>
      <c r="M551" t="str">
        <f>IF(Labs!E551&gt;120,"High","Normal")</f>
        <v>High</v>
      </c>
      <c r="N551" t="str">
        <f t="shared" si="17"/>
        <v>High Risk</v>
      </c>
    </row>
    <row r="552" spans="1:14" x14ac:dyDescent="0.3">
      <c r="A552">
        <v>551</v>
      </c>
      <c r="B552" t="s">
        <v>212</v>
      </c>
      <c r="C552">
        <v>14</v>
      </c>
      <c r="D552" t="s">
        <v>17</v>
      </c>
      <c r="E552">
        <v>4</v>
      </c>
      <c r="F552" s="1">
        <v>45632</v>
      </c>
      <c r="G552" s="1">
        <v>45659</v>
      </c>
      <c r="H552">
        <v>5</v>
      </c>
      <c r="I552" s="3">
        <v>123975.29</v>
      </c>
      <c r="J552" t="str">
        <f>VLOOKUP(H552,Diagnosis!$A:$B,2,FALSE)</f>
        <v>Heart Disease</v>
      </c>
      <c r="K552" t="str">
        <f>VLOOKUP(H552,Outcome!A$2:$B$7,2,FALSE)</f>
        <v>Readmitted</v>
      </c>
      <c r="L552">
        <f t="shared" si="16"/>
        <v>27</v>
      </c>
      <c r="M552" t="str">
        <f>IF(Labs!E552&gt;120,"High","Normal")</f>
        <v>High</v>
      </c>
      <c r="N552" t="str">
        <f t="shared" si="17"/>
        <v>High Risk</v>
      </c>
    </row>
    <row r="553" spans="1:14" x14ac:dyDescent="0.3">
      <c r="A553">
        <v>552</v>
      </c>
      <c r="B553" t="s">
        <v>332</v>
      </c>
      <c r="C553">
        <v>13</v>
      </c>
      <c r="D553" t="s">
        <v>17</v>
      </c>
      <c r="E553">
        <v>8</v>
      </c>
      <c r="F553" s="1">
        <v>45821</v>
      </c>
      <c r="G553" s="1">
        <v>45840</v>
      </c>
      <c r="H553">
        <v>1</v>
      </c>
      <c r="I553" s="3">
        <v>141636.60999999999</v>
      </c>
      <c r="J553" t="str">
        <f>VLOOKUP(H553,Diagnosis!$A:$B,2,FALSE)</f>
        <v>Diabetes</v>
      </c>
      <c r="K553" t="str">
        <f>VLOOKUP(H553,Outcome!A$2:$B$7,2,FALSE)</f>
        <v>Recovered</v>
      </c>
      <c r="L553">
        <f t="shared" si="16"/>
        <v>19</v>
      </c>
      <c r="M553" t="str">
        <f>IF(Labs!E553&gt;120,"High","Normal")</f>
        <v>High</v>
      </c>
      <c r="N553" t="str">
        <f t="shared" si="17"/>
        <v>low risk</v>
      </c>
    </row>
    <row r="554" spans="1:14" x14ac:dyDescent="0.3">
      <c r="A554">
        <v>553</v>
      </c>
      <c r="B554" t="s">
        <v>152</v>
      </c>
      <c r="C554">
        <v>12</v>
      </c>
      <c r="D554" t="s">
        <v>10</v>
      </c>
      <c r="E554">
        <v>3</v>
      </c>
      <c r="F554" s="1">
        <v>45797</v>
      </c>
      <c r="G554" s="1">
        <v>45814</v>
      </c>
      <c r="H554">
        <v>4</v>
      </c>
      <c r="I554" s="3">
        <v>161711.99</v>
      </c>
      <c r="J554" t="str">
        <f>VLOOKUP(H554,Diagnosis!$A:$B,2,FALSE)</f>
        <v>Pneumonia</v>
      </c>
      <c r="K554" t="str">
        <f>VLOOKUP(H554,Outcome!A$2:$B$7,2,FALSE)</f>
        <v>Referred</v>
      </c>
      <c r="L554">
        <f t="shared" si="16"/>
        <v>17</v>
      </c>
      <c r="M554" t="str">
        <f>IF(Labs!E554&gt;120,"High","Normal")</f>
        <v>High</v>
      </c>
      <c r="N554" t="str">
        <f t="shared" si="17"/>
        <v>High Risk</v>
      </c>
    </row>
    <row r="555" spans="1:14" x14ac:dyDescent="0.3">
      <c r="A555">
        <v>554</v>
      </c>
      <c r="B555" t="s">
        <v>226</v>
      </c>
      <c r="C555">
        <v>54</v>
      </c>
      <c r="D555" t="s">
        <v>10</v>
      </c>
      <c r="E555">
        <v>1</v>
      </c>
      <c r="F555" s="1">
        <v>45990</v>
      </c>
      <c r="G555" s="1">
        <v>46006</v>
      </c>
      <c r="H555">
        <v>2</v>
      </c>
      <c r="I555" s="3">
        <v>169069.84</v>
      </c>
      <c r="J555" t="str">
        <f>VLOOKUP(H555,Diagnosis!$A:$B,2,FALSE)</f>
        <v>Hypertension</v>
      </c>
      <c r="K555" t="str">
        <f>VLOOKUP(H555,Outcome!A$2:$B$7,2,FALSE)</f>
        <v>Improved</v>
      </c>
      <c r="L555">
        <f t="shared" si="16"/>
        <v>16</v>
      </c>
      <c r="M555" t="str">
        <f>IF(Labs!E555&gt;120,"High","Normal")</f>
        <v>High</v>
      </c>
      <c r="N555" t="str">
        <f t="shared" si="17"/>
        <v>High Risk</v>
      </c>
    </row>
    <row r="556" spans="1:14" x14ac:dyDescent="0.3">
      <c r="A556">
        <v>555</v>
      </c>
      <c r="B556" t="s">
        <v>395</v>
      </c>
      <c r="C556">
        <v>45</v>
      </c>
      <c r="D556" t="s">
        <v>17</v>
      </c>
      <c r="E556">
        <v>7</v>
      </c>
      <c r="F556" s="1">
        <v>44836</v>
      </c>
      <c r="G556" s="1">
        <v>44844</v>
      </c>
      <c r="H556">
        <v>2</v>
      </c>
      <c r="I556" s="3">
        <v>43771.040000000001</v>
      </c>
      <c r="J556" t="str">
        <f>VLOOKUP(H556,Diagnosis!$A:$B,2,FALSE)</f>
        <v>Hypertension</v>
      </c>
      <c r="K556" t="str">
        <f>VLOOKUP(H556,Outcome!A$2:$B$7,2,FALSE)</f>
        <v>Improved</v>
      </c>
      <c r="L556">
        <f t="shared" si="16"/>
        <v>8</v>
      </c>
      <c r="M556" t="str">
        <f>IF(Labs!E556&gt;120,"High","Normal")</f>
        <v>High</v>
      </c>
      <c r="N556" t="str">
        <f t="shared" si="17"/>
        <v>High Risk</v>
      </c>
    </row>
    <row r="557" spans="1:14" x14ac:dyDescent="0.3">
      <c r="A557">
        <v>556</v>
      </c>
      <c r="B557" t="s">
        <v>340</v>
      </c>
      <c r="C557">
        <v>77</v>
      </c>
      <c r="D557" t="s">
        <v>10</v>
      </c>
      <c r="E557">
        <v>5</v>
      </c>
      <c r="F557" s="1">
        <v>44949</v>
      </c>
      <c r="G557" s="1">
        <v>44949</v>
      </c>
      <c r="H557">
        <v>3</v>
      </c>
      <c r="I557" s="3">
        <v>142622.49</v>
      </c>
      <c r="J557" t="str">
        <f>VLOOKUP(H557,Diagnosis!$A:$B,2,FALSE)</f>
        <v>Asthma</v>
      </c>
      <c r="K557" t="str">
        <f>VLOOKUP(H557,Outcome!A$2:$B$7,2,FALSE)</f>
        <v>Ongoing Treatment</v>
      </c>
      <c r="L557">
        <f t="shared" si="16"/>
        <v>0</v>
      </c>
      <c r="M557" t="str">
        <f>IF(Labs!E557&gt;120,"High","Normal")</f>
        <v>High</v>
      </c>
      <c r="N557" t="str">
        <f t="shared" si="17"/>
        <v>High Risk</v>
      </c>
    </row>
    <row r="558" spans="1:14" x14ac:dyDescent="0.3">
      <c r="A558">
        <v>557</v>
      </c>
      <c r="B558" t="s">
        <v>396</v>
      </c>
      <c r="C558">
        <v>16</v>
      </c>
      <c r="D558" t="s">
        <v>17</v>
      </c>
      <c r="E558">
        <v>7</v>
      </c>
      <c r="F558" s="1">
        <v>45902</v>
      </c>
      <c r="G558" s="1">
        <v>45908</v>
      </c>
      <c r="H558">
        <v>3</v>
      </c>
      <c r="I558" s="3">
        <v>58572.55</v>
      </c>
      <c r="J558" t="str">
        <f>VLOOKUP(H558,Diagnosis!$A:$B,2,FALSE)</f>
        <v>Asthma</v>
      </c>
      <c r="K558" t="str">
        <f>VLOOKUP(H558,Outcome!A$2:$B$7,2,FALSE)</f>
        <v>Ongoing Treatment</v>
      </c>
      <c r="L558">
        <f t="shared" si="16"/>
        <v>6</v>
      </c>
      <c r="M558" t="str">
        <f>IF(Labs!E558&gt;120,"High","Normal")</f>
        <v>High</v>
      </c>
      <c r="N558" t="str">
        <f t="shared" si="17"/>
        <v>High Risk</v>
      </c>
    </row>
    <row r="559" spans="1:14" x14ac:dyDescent="0.3">
      <c r="A559">
        <v>558</v>
      </c>
      <c r="B559" t="s">
        <v>397</v>
      </c>
      <c r="C559">
        <v>20</v>
      </c>
      <c r="D559" t="s">
        <v>10</v>
      </c>
      <c r="E559">
        <v>10</v>
      </c>
      <c r="F559" s="1">
        <v>45081</v>
      </c>
      <c r="G559" s="1">
        <v>45089</v>
      </c>
      <c r="H559">
        <v>5</v>
      </c>
      <c r="I559" s="3">
        <v>77682.17</v>
      </c>
      <c r="J559" t="str">
        <f>VLOOKUP(H559,Diagnosis!$A:$B,2,FALSE)</f>
        <v>Heart Disease</v>
      </c>
      <c r="K559" t="str">
        <f>VLOOKUP(H559,Outcome!A$2:$B$7,2,FALSE)</f>
        <v>Readmitted</v>
      </c>
      <c r="L559">
        <f t="shared" si="16"/>
        <v>8</v>
      </c>
      <c r="M559" t="str">
        <f>IF(Labs!E559&gt;120,"High","Normal")</f>
        <v>High</v>
      </c>
      <c r="N559" t="str">
        <f t="shared" si="17"/>
        <v>High Risk</v>
      </c>
    </row>
    <row r="560" spans="1:14" x14ac:dyDescent="0.3">
      <c r="A560">
        <v>559</v>
      </c>
      <c r="B560" t="s">
        <v>398</v>
      </c>
      <c r="C560">
        <v>36</v>
      </c>
      <c r="D560" t="s">
        <v>10</v>
      </c>
      <c r="E560">
        <v>4</v>
      </c>
      <c r="F560" s="1">
        <v>45408</v>
      </c>
      <c r="G560" s="1">
        <v>45425</v>
      </c>
      <c r="H560">
        <v>4</v>
      </c>
      <c r="I560" s="3">
        <v>88138.03</v>
      </c>
      <c r="J560" t="str">
        <f>VLOOKUP(H560,Diagnosis!$A:$B,2,FALSE)</f>
        <v>Pneumonia</v>
      </c>
      <c r="K560" t="str">
        <f>VLOOKUP(H560,Outcome!A$2:$B$7,2,FALSE)</f>
        <v>Referred</v>
      </c>
      <c r="L560">
        <f t="shared" si="16"/>
        <v>17</v>
      </c>
      <c r="M560" t="str">
        <f>IF(Labs!E560&gt;120,"High","Normal")</f>
        <v>High</v>
      </c>
      <c r="N560" t="str">
        <f t="shared" si="17"/>
        <v>High Risk</v>
      </c>
    </row>
    <row r="561" spans="1:14" x14ac:dyDescent="0.3">
      <c r="A561">
        <v>560</v>
      </c>
      <c r="B561" t="s">
        <v>399</v>
      </c>
      <c r="C561">
        <v>72</v>
      </c>
      <c r="D561" t="s">
        <v>10</v>
      </c>
      <c r="E561">
        <v>5</v>
      </c>
      <c r="F561" s="1">
        <v>45190</v>
      </c>
      <c r="G561" s="1">
        <v>45208</v>
      </c>
      <c r="H561">
        <v>1</v>
      </c>
      <c r="I561" s="3">
        <v>127725.29</v>
      </c>
      <c r="J561" t="str">
        <f>VLOOKUP(H561,Diagnosis!$A:$B,2,FALSE)</f>
        <v>Diabetes</v>
      </c>
      <c r="K561" t="str">
        <f>VLOOKUP(H561,Outcome!A$2:$B$7,2,FALSE)</f>
        <v>Recovered</v>
      </c>
      <c r="L561">
        <f t="shared" si="16"/>
        <v>18</v>
      </c>
      <c r="M561" t="str">
        <f>IF(Labs!E561&gt;120,"High","Normal")</f>
        <v>High</v>
      </c>
      <c r="N561" t="str">
        <f t="shared" si="17"/>
        <v>High Risk</v>
      </c>
    </row>
    <row r="562" spans="1:14" x14ac:dyDescent="0.3">
      <c r="A562">
        <v>561</v>
      </c>
      <c r="B562" t="s">
        <v>400</v>
      </c>
      <c r="C562">
        <v>30</v>
      </c>
      <c r="D562" t="s">
        <v>10</v>
      </c>
      <c r="E562">
        <v>3</v>
      </c>
      <c r="F562" s="1">
        <v>44767</v>
      </c>
      <c r="G562" s="1">
        <v>44773</v>
      </c>
      <c r="H562">
        <v>2</v>
      </c>
      <c r="I562" s="3">
        <v>142029.4</v>
      </c>
      <c r="J562" t="str">
        <f>VLOOKUP(H562,Diagnosis!$A:$B,2,FALSE)</f>
        <v>Hypertension</v>
      </c>
      <c r="K562" t="str">
        <f>VLOOKUP(H562,Outcome!A$2:$B$7,2,FALSE)</f>
        <v>Improved</v>
      </c>
      <c r="L562">
        <f t="shared" si="16"/>
        <v>6</v>
      </c>
      <c r="M562" t="str">
        <f>IF(Labs!E562&gt;120,"High","Normal")</f>
        <v>High</v>
      </c>
      <c r="N562" t="str">
        <f t="shared" si="17"/>
        <v>High Risk</v>
      </c>
    </row>
    <row r="563" spans="1:14" x14ac:dyDescent="0.3">
      <c r="A563">
        <v>562</v>
      </c>
      <c r="B563" t="s">
        <v>343</v>
      </c>
      <c r="C563">
        <v>90</v>
      </c>
      <c r="D563" t="s">
        <v>17</v>
      </c>
      <c r="E563">
        <v>3</v>
      </c>
      <c r="F563" s="1">
        <v>45358</v>
      </c>
      <c r="G563" s="1">
        <v>45388</v>
      </c>
      <c r="H563">
        <v>2</v>
      </c>
      <c r="I563" s="3">
        <v>145275.56</v>
      </c>
      <c r="J563" t="str">
        <f>VLOOKUP(H563,Diagnosis!$A:$B,2,FALSE)</f>
        <v>Hypertension</v>
      </c>
      <c r="K563" t="str">
        <f>VLOOKUP(H563,Outcome!A$2:$B$7,2,FALSE)</f>
        <v>Improved</v>
      </c>
      <c r="L563">
        <f t="shared" si="16"/>
        <v>30</v>
      </c>
      <c r="M563" t="str">
        <f>IF(Labs!E563&gt;120,"High","Normal")</f>
        <v>High</v>
      </c>
      <c r="N563" t="str">
        <f t="shared" si="17"/>
        <v>High Risk</v>
      </c>
    </row>
    <row r="564" spans="1:14" x14ac:dyDescent="0.3">
      <c r="A564">
        <v>563</v>
      </c>
      <c r="B564" t="s">
        <v>387</v>
      </c>
      <c r="C564">
        <v>77</v>
      </c>
      <c r="D564" t="s">
        <v>10</v>
      </c>
      <c r="E564">
        <v>2</v>
      </c>
      <c r="F564" s="1">
        <v>44693</v>
      </c>
      <c r="G564" s="1">
        <v>44701</v>
      </c>
      <c r="H564">
        <v>1</v>
      </c>
      <c r="I564" s="3">
        <v>16707.05</v>
      </c>
      <c r="J564" t="str">
        <f>VLOOKUP(H564,Diagnosis!$A:$B,2,FALSE)</f>
        <v>Diabetes</v>
      </c>
      <c r="K564" t="str">
        <f>VLOOKUP(H564,Outcome!A$2:$B$7,2,FALSE)</f>
        <v>Recovered</v>
      </c>
      <c r="L564">
        <f t="shared" si="16"/>
        <v>8</v>
      </c>
      <c r="M564" t="str">
        <f>IF(Labs!E564&gt;120,"High","Normal")</f>
        <v>High</v>
      </c>
      <c r="N564" t="str">
        <f t="shared" si="17"/>
        <v>High Risk</v>
      </c>
    </row>
    <row r="565" spans="1:14" x14ac:dyDescent="0.3">
      <c r="A565">
        <v>564</v>
      </c>
      <c r="B565" t="s">
        <v>238</v>
      </c>
      <c r="C565">
        <v>52</v>
      </c>
      <c r="D565" t="s">
        <v>10</v>
      </c>
      <c r="E565">
        <v>10</v>
      </c>
      <c r="F565" s="1">
        <v>44679</v>
      </c>
      <c r="G565" s="1">
        <v>44709</v>
      </c>
      <c r="H565">
        <v>4</v>
      </c>
      <c r="I565" s="3">
        <v>33610.629999999997</v>
      </c>
      <c r="J565" t="str">
        <f>VLOOKUP(H565,Diagnosis!$A:$B,2,FALSE)</f>
        <v>Pneumonia</v>
      </c>
      <c r="K565" t="str">
        <f>VLOOKUP(H565,Outcome!A$2:$B$7,2,FALSE)</f>
        <v>Referred</v>
      </c>
      <c r="L565">
        <f t="shared" si="16"/>
        <v>30</v>
      </c>
      <c r="M565" t="str">
        <f>IF(Labs!E565&gt;120,"High","Normal")</f>
        <v>High</v>
      </c>
      <c r="N565" t="str">
        <f t="shared" si="17"/>
        <v>High Risk</v>
      </c>
    </row>
    <row r="566" spans="1:14" x14ac:dyDescent="0.3">
      <c r="A566">
        <v>565</v>
      </c>
      <c r="B566" t="s">
        <v>87</v>
      </c>
      <c r="C566">
        <v>2</v>
      </c>
      <c r="D566" t="s">
        <v>17</v>
      </c>
      <c r="E566">
        <v>9</v>
      </c>
      <c r="F566" s="1">
        <v>45147</v>
      </c>
      <c r="G566" s="1">
        <v>45153</v>
      </c>
      <c r="H566">
        <v>1</v>
      </c>
      <c r="I566" s="3">
        <v>108913.9</v>
      </c>
      <c r="J566" t="str">
        <f>VLOOKUP(H566,Diagnosis!$A:$B,2,FALSE)</f>
        <v>Diabetes</v>
      </c>
      <c r="K566" t="str">
        <f>VLOOKUP(H566,Outcome!A$2:$B$7,2,FALSE)</f>
        <v>Recovered</v>
      </c>
      <c r="L566">
        <f t="shared" si="16"/>
        <v>6</v>
      </c>
      <c r="M566" t="str">
        <f>IF(Labs!E566&gt;120,"High","Normal")</f>
        <v>High</v>
      </c>
      <c r="N566" t="str">
        <f t="shared" si="17"/>
        <v>low risk</v>
      </c>
    </row>
    <row r="567" spans="1:14" x14ac:dyDescent="0.3">
      <c r="A567">
        <v>566</v>
      </c>
      <c r="B567" t="s">
        <v>315</v>
      </c>
      <c r="C567">
        <v>79</v>
      </c>
      <c r="D567" t="s">
        <v>17</v>
      </c>
      <c r="E567">
        <v>1</v>
      </c>
      <c r="F567" s="1">
        <v>45298</v>
      </c>
      <c r="G567" s="1">
        <v>45305</v>
      </c>
      <c r="H567">
        <v>3</v>
      </c>
      <c r="I567" s="3">
        <v>175677.15</v>
      </c>
      <c r="J567" t="str">
        <f>VLOOKUP(H567,Diagnosis!$A:$B,2,FALSE)</f>
        <v>Asthma</v>
      </c>
      <c r="K567" t="str">
        <f>VLOOKUP(H567,Outcome!A$2:$B$7,2,FALSE)</f>
        <v>Ongoing Treatment</v>
      </c>
      <c r="L567">
        <f t="shared" si="16"/>
        <v>7</v>
      </c>
      <c r="M567" t="str">
        <f>IF(Labs!E567&gt;120,"High","Normal")</f>
        <v>High</v>
      </c>
      <c r="N567" t="str">
        <f t="shared" si="17"/>
        <v>High Risk</v>
      </c>
    </row>
    <row r="568" spans="1:14" x14ac:dyDescent="0.3">
      <c r="A568">
        <v>567</v>
      </c>
      <c r="B568" t="s">
        <v>151</v>
      </c>
      <c r="C568">
        <v>52</v>
      </c>
      <c r="D568" t="s">
        <v>10</v>
      </c>
      <c r="E568">
        <v>7</v>
      </c>
      <c r="F568" s="1">
        <v>45392</v>
      </c>
      <c r="G568" s="1">
        <v>45410</v>
      </c>
      <c r="H568">
        <v>1</v>
      </c>
      <c r="I568" s="3">
        <v>5227.5600000000004</v>
      </c>
      <c r="J568" t="str">
        <f>VLOOKUP(H568,Diagnosis!$A:$B,2,FALSE)</f>
        <v>Diabetes</v>
      </c>
      <c r="K568" t="str">
        <f>VLOOKUP(H568,Outcome!A$2:$B$7,2,FALSE)</f>
        <v>Recovered</v>
      </c>
      <c r="L568">
        <f t="shared" si="16"/>
        <v>18</v>
      </c>
      <c r="M568" t="str">
        <f>IF(Labs!E568&gt;120,"High","Normal")</f>
        <v>High</v>
      </c>
      <c r="N568" t="str">
        <f t="shared" si="17"/>
        <v>low risk</v>
      </c>
    </row>
    <row r="569" spans="1:14" x14ac:dyDescent="0.3">
      <c r="A569">
        <v>568</v>
      </c>
      <c r="B569" t="s">
        <v>258</v>
      </c>
      <c r="C569">
        <v>71</v>
      </c>
      <c r="D569" t="s">
        <v>10</v>
      </c>
      <c r="E569">
        <v>9</v>
      </c>
      <c r="F569" s="1">
        <v>45755</v>
      </c>
      <c r="G569" s="1">
        <v>45766</v>
      </c>
      <c r="H569">
        <v>1</v>
      </c>
      <c r="I569" s="3">
        <v>147253.89000000001</v>
      </c>
      <c r="J569" t="str">
        <f>VLOOKUP(H569,Diagnosis!$A:$B,2,FALSE)</f>
        <v>Diabetes</v>
      </c>
      <c r="K569" t="str">
        <f>VLOOKUP(H569,Outcome!A$2:$B$7,2,FALSE)</f>
        <v>Recovered</v>
      </c>
      <c r="L569">
        <f t="shared" si="16"/>
        <v>11</v>
      </c>
      <c r="M569" t="str">
        <f>IF(Labs!E569&gt;120,"High","Normal")</f>
        <v>High</v>
      </c>
      <c r="N569" t="str">
        <f t="shared" si="17"/>
        <v>High Risk</v>
      </c>
    </row>
    <row r="570" spans="1:14" x14ac:dyDescent="0.3">
      <c r="A570">
        <v>569</v>
      </c>
      <c r="B570" t="s">
        <v>401</v>
      </c>
      <c r="C570">
        <v>25</v>
      </c>
      <c r="D570" t="s">
        <v>10</v>
      </c>
      <c r="E570">
        <v>7</v>
      </c>
      <c r="F570" s="1">
        <v>45739</v>
      </c>
      <c r="G570" s="1">
        <v>45739</v>
      </c>
      <c r="H570">
        <v>1</v>
      </c>
      <c r="I570" s="3">
        <v>74766.399999999994</v>
      </c>
      <c r="J570" t="str">
        <f>VLOOKUP(H570,Diagnosis!$A:$B,2,FALSE)</f>
        <v>Diabetes</v>
      </c>
      <c r="K570" t="str">
        <f>VLOOKUP(H570,Outcome!A$2:$B$7,2,FALSE)</f>
        <v>Recovered</v>
      </c>
      <c r="L570">
        <f t="shared" si="16"/>
        <v>0</v>
      </c>
      <c r="M570" t="str">
        <f>IF(Labs!E570&gt;120,"High","Normal")</f>
        <v>High</v>
      </c>
      <c r="N570" t="str">
        <f t="shared" si="17"/>
        <v>low risk</v>
      </c>
    </row>
    <row r="571" spans="1:14" x14ac:dyDescent="0.3">
      <c r="A571">
        <v>570</v>
      </c>
      <c r="B571" t="s">
        <v>402</v>
      </c>
      <c r="C571">
        <v>10</v>
      </c>
      <c r="D571" t="s">
        <v>10</v>
      </c>
      <c r="E571">
        <v>6</v>
      </c>
      <c r="F571" s="1">
        <v>44801</v>
      </c>
      <c r="G571" s="1">
        <v>44826</v>
      </c>
      <c r="H571">
        <v>2</v>
      </c>
      <c r="I571" s="3">
        <v>48240.58</v>
      </c>
      <c r="J571" t="str">
        <f>VLOOKUP(H571,Diagnosis!$A:$B,2,FALSE)</f>
        <v>Hypertension</v>
      </c>
      <c r="K571" t="str">
        <f>VLOOKUP(H571,Outcome!A$2:$B$7,2,FALSE)</f>
        <v>Improved</v>
      </c>
      <c r="L571">
        <f t="shared" si="16"/>
        <v>25</v>
      </c>
      <c r="M571" t="str">
        <f>IF(Labs!E571&gt;120,"High","Normal")</f>
        <v>High</v>
      </c>
      <c r="N571" t="str">
        <f t="shared" si="17"/>
        <v>High Risk</v>
      </c>
    </row>
    <row r="572" spans="1:14" x14ac:dyDescent="0.3">
      <c r="A572">
        <v>571</v>
      </c>
      <c r="B572" t="s">
        <v>403</v>
      </c>
      <c r="C572">
        <v>33</v>
      </c>
      <c r="D572" t="s">
        <v>10</v>
      </c>
      <c r="E572">
        <v>7</v>
      </c>
      <c r="F572" s="1">
        <v>45715</v>
      </c>
      <c r="G572" s="1">
        <v>45730</v>
      </c>
      <c r="H572">
        <v>3</v>
      </c>
      <c r="I572" s="3">
        <v>136951.51</v>
      </c>
      <c r="J572" t="str">
        <f>VLOOKUP(H572,Diagnosis!$A:$B,2,FALSE)</f>
        <v>Asthma</v>
      </c>
      <c r="K572" t="str">
        <f>VLOOKUP(H572,Outcome!A$2:$B$7,2,FALSE)</f>
        <v>Ongoing Treatment</v>
      </c>
      <c r="L572">
        <f t="shared" si="16"/>
        <v>15</v>
      </c>
      <c r="M572" t="str">
        <f>IF(Labs!E572&gt;120,"High","Normal")</f>
        <v>High</v>
      </c>
      <c r="N572" t="str">
        <f t="shared" si="17"/>
        <v>High Risk</v>
      </c>
    </row>
    <row r="573" spans="1:14" x14ac:dyDescent="0.3">
      <c r="A573">
        <v>572</v>
      </c>
      <c r="B573" t="s">
        <v>404</v>
      </c>
      <c r="C573">
        <v>76</v>
      </c>
      <c r="D573" t="s">
        <v>17</v>
      </c>
      <c r="E573">
        <v>8</v>
      </c>
      <c r="F573" s="1">
        <v>44800</v>
      </c>
      <c r="G573" s="1">
        <v>44808</v>
      </c>
      <c r="H573">
        <v>1</v>
      </c>
      <c r="I573" s="3">
        <v>114974.97</v>
      </c>
      <c r="J573" t="str">
        <f>VLOOKUP(H573,Diagnosis!$A:$B,2,FALSE)</f>
        <v>Diabetes</v>
      </c>
      <c r="K573" t="str">
        <f>VLOOKUP(H573,Outcome!A$2:$B$7,2,FALSE)</f>
        <v>Recovered</v>
      </c>
      <c r="L573">
        <f t="shared" si="16"/>
        <v>8</v>
      </c>
      <c r="M573" t="str">
        <f>IF(Labs!E573&gt;120,"High","Normal")</f>
        <v>High</v>
      </c>
      <c r="N573" t="str">
        <f t="shared" si="17"/>
        <v>High Risk</v>
      </c>
    </row>
    <row r="574" spans="1:14" x14ac:dyDescent="0.3">
      <c r="A574">
        <v>573</v>
      </c>
      <c r="B574" t="s">
        <v>235</v>
      </c>
      <c r="C574">
        <v>41</v>
      </c>
      <c r="D574" t="s">
        <v>10</v>
      </c>
      <c r="E574">
        <v>6</v>
      </c>
      <c r="F574" s="1">
        <v>45619</v>
      </c>
      <c r="G574" s="1">
        <v>45636</v>
      </c>
      <c r="H574">
        <v>1</v>
      </c>
      <c r="I574" s="3">
        <v>150211.43</v>
      </c>
      <c r="J574" t="str">
        <f>VLOOKUP(H574,Diagnosis!$A:$B,2,FALSE)</f>
        <v>Diabetes</v>
      </c>
      <c r="K574" t="str">
        <f>VLOOKUP(H574,Outcome!A$2:$B$7,2,FALSE)</f>
        <v>Recovered</v>
      </c>
      <c r="L574">
        <f t="shared" si="16"/>
        <v>17</v>
      </c>
      <c r="M574" t="str">
        <f>IF(Labs!E574&gt;120,"High","Normal")</f>
        <v>High</v>
      </c>
      <c r="N574" t="str">
        <f t="shared" si="17"/>
        <v>low risk</v>
      </c>
    </row>
    <row r="575" spans="1:14" x14ac:dyDescent="0.3">
      <c r="A575">
        <v>574</v>
      </c>
      <c r="B575" t="s">
        <v>284</v>
      </c>
      <c r="C575">
        <v>12</v>
      </c>
      <c r="D575" t="s">
        <v>10</v>
      </c>
      <c r="E575">
        <v>6</v>
      </c>
      <c r="F575" s="1">
        <v>44717</v>
      </c>
      <c r="G575" s="1">
        <v>44734</v>
      </c>
      <c r="H575">
        <v>5</v>
      </c>
      <c r="I575" s="3">
        <v>87088.59</v>
      </c>
      <c r="J575" t="str">
        <f>VLOOKUP(H575,Diagnosis!$A:$B,2,FALSE)</f>
        <v>Heart Disease</v>
      </c>
      <c r="K575" t="str">
        <f>VLOOKUP(H575,Outcome!A$2:$B$7,2,FALSE)</f>
        <v>Readmitted</v>
      </c>
      <c r="L575">
        <f t="shared" si="16"/>
        <v>17</v>
      </c>
      <c r="M575" t="str">
        <f>IF(Labs!E575&gt;120,"High","Normal")</f>
        <v>High</v>
      </c>
      <c r="N575" t="str">
        <f t="shared" si="17"/>
        <v>High Risk</v>
      </c>
    </row>
    <row r="576" spans="1:14" x14ac:dyDescent="0.3">
      <c r="A576">
        <v>575</v>
      </c>
      <c r="B576" t="s">
        <v>383</v>
      </c>
      <c r="C576">
        <v>74</v>
      </c>
      <c r="D576" t="s">
        <v>10</v>
      </c>
      <c r="E576">
        <v>3</v>
      </c>
      <c r="F576" s="1">
        <v>46090</v>
      </c>
      <c r="G576" s="1">
        <v>46111</v>
      </c>
      <c r="H576">
        <v>5</v>
      </c>
      <c r="I576" s="3">
        <v>36254.730000000003</v>
      </c>
      <c r="J576" t="str">
        <f>VLOOKUP(H576,Diagnosis!$A:$B,2,FALSE)</f>
        <v>Heart Disease</v>
      </c>
      <c r="K576" t="str">
        <f>VLOOKUP(H576,Outcome!A$2:$B$7,2,FALSE)</f>
        <v>Readmitted</v>
      </c>
      <c r="L576">
        <f t="shared" si="16"/>
        <v>21</v>
      </c>
      <c r="M576" t="str">
        <f>IF(Labs!E576&gt;120,"High","Normal")</f>
        <v>High</v>
      </c>
      <c r="N576" t="str">
        <f t="shared" si="17"/>
        <v>High Risk</v>
      </c>
    </row>
    <row r="577" spans="1:14" x14ac:dyDescent="0.3">
      <c r="A577">
        <v>576</v>
      </c>
      <c r="B577" t="s">
        <v>405</v>
      </c>
      <c r="C577">
        <v>95</v>
      </c>
      <c r="D577" t="s">
        <v>17</v>
      </c>
      <c r="E577">
        <v>5</v>
      </c>
      <c r="F577" s="1">
        <v>44985</v>
      </c>
      <c r="G577" s="1">
        <v>44992</v>
      </c>
      <c r="H577">
        <v>1</v>
      </c>
      <c r="I577" s="3">
        <v>46820.94</v>
      </c>
      <c r="J577" t="str">
        <f>VLOOKUP(H577,Diagnosis!$A:$B,2,FALSE)</f>
        <v>Diabetes</v>
      </c>
      <c r="K577" t="str">
        <f>VLOOKUP(H577,Outcome!A$2:$B$7,2,FALSE)</f>
        <v>Recovered</v>
      </c>
      <c r="L577">
        <f t="shared" si="16"/>
        <v>7</v>
      </c>
      <c r="M577" t="str">
        <f>IF(Labs!E577&gt;120,"High","Normal")</f>
        <v>High</v>
      </c>
      <c r="N577" t="str">
        <f t="shared" si="17"/>
        <v>High Risk</v>
      </c>
    </row>
    <row r="578" spans="1:14" x14ac:dyDescent="0.3">
      <c r="A578">
        <v>577</v>
      </c>
      <c r="B578" t="s">
        <v>323</v>
      </c>
      <c r="C578">
        <v>20</v>
      </c>
      <c r="D578" t="s">
        <v>17</v>
      </c>
      <c r="E578">
        <v>2</v>
      </c>
      <c r="F578" s="1">
        <v>44722</v>
      </c>
      <c r="G578" s="1">
        <v>44743</v>
      </c>
      <c r="H578">
        <v>6</v>
      </c>
      <c r="I578" s="3">
        <v>89948.01</v>
      </c>
      <c r="J578" t="str">
        <f>VLOOKUP(H578,Diagnosis!$A:$B,2,FALSE)</f>
        <v>Kidney Disease</v>
      </c>
      <c r="K578" t="str">
        <f>VLOOKUP(H578,Outcome!A$2:$B$7,2,FALSE)</f>
        <v>Deceased</v>
      </c>
      <c r="L578">
        <f t="shared" si="16"/>
        <v>21</v>
      </c>
      <c r="M578" t="str">
        <f>IF(Labs!E578&gt;120,"High","Normal")</f>
        <v>High</v>
      </c>
      <c r="N578" t="str">
        <f t="shared" si="17"/>
        <v>High Risk</v>
      </c>
    </row>
    <row r="579" spans="1:14" x14ac:dyDescent="0.3">
      <c r="A579">
        <v>578</v>
      </c>
      <c r="B579" t="s">
        <v>406</v>
      </c>
      <c r="C579">
        <v>6</v>
      </c>
      <c r="D579" t="s">
        <v>10</v>
      </c>
      <c r="E579">
        <v>6</v>
      </c>
      <c r="F579" s="1">
        <v>45833</v>
      </c>
      <c r="G579" s="1">
        <v>45843</v>
      </c>
      <c r="H579">
        <v>2</v>
      </c>
      <c r="I579" s="3">
        <v>177401.64</v>
      </c>
      <c r="J579" t="str">
        <f>VLOOKUP(H579,Diagnosis!$A:$B,2,FALSE)</f>
        <v>Hypertension</v>
      </c>
      <c r="K579" t="str">
        <f>VLOOKUP(H579,Outcome!A$2:$B$7,2,FALSE)</f>
        <v>Improved</v>
      </c>
      <c r="L579">
        <f t="shared" ref="L579:L642" si="18">DATEDIF(F579,G579,"d")</f>
        <v>10</v>
      </c>
      <c r="M579" t="str">
        <f>IF(Labs!E579&gt;120,"High","Normal")</f>
        <v>High</v>
      </c>
      <c r="N579" t="str">
        <f t="shared" si="17"/>
        <v>High Risk</v>
      </c>
    </row>
    <row r="580" spans="1:14" x14ac:dyDescent="0.3">
      <c r="A580">
        <v>579</v>
      </c>
      <c r="B580" t="s">
        <v>198</v>
      </c>
      <c r="C580">
        <v>63</v>
      </c>
      <c r="D580" t="s">
        <v>17</v>
      </c>
      <c r="E580">
        <v>9</v>
      </c>
      <c r="F580" s="1">
        <v>45135</v>
      </c>
      <c r="G580" s="1">
        <v>45147</v>
      </c>
      <c r="H580">
        <v>1</v>
      </c>
      <c r="I580" s="3">
        <v>104858.07</v>
      </c>
      <c r="J580" t="str">
        <f>VLOOKUP(H580,Diagnosis!$A:$B,2,FALSE)</f>
        <v>Diabetes</v>
      </c>
      <c r="K580" t="str">
        <f>VLOOKUP(H580,Outcome!A$2:$B$7,2,FALSE)</f>
        <v>Recovered</v>
      </c>
      <c r="L580">
        <f t="shared" si="18"/>
        <v>12</v>
      </c>
      <c r="M580" t="str">
        <f>IF(Labs!E580&gt;120,"High","Normal")</f>
        <v>High</v>
      </c>
      <c r="N580" t="str">
        <f t="shared" ref="N580:N643" si="19">IF(OR(C580&gt;65,H580&lt;&gt;1),"High Risk","low risk")</f>
        <v>low risk</v>
      </c>
    </row>
    <row r="581" spans="1:14" x14ac:dyDescent="0.3">
      <c r="A581">
        <v>580</v>
      </c>
      <c r="B581" t="s">
        <v>219</v>
      </c>
      <c r="C581">
        <v>55</v>
      </c>
      <c r="D581" t="s">
        <v>10</v>
      </c>
      <c r="E581">
        <v>9</v>
      </c>
      <c r="F581" s="1">
        <v>44628</v>
      </c>
      <c r="G581" s="1">
        <v>44644</v>
      </c>
      <c r="H581">
        <v>1</v>
      </c>
      <c r="I581" s="3">
        <v>155221.01999999999</v>
      </c>
      <c r="J581" t="str">
        <f>VLOOKUP(H581,Diagnosis!$A:$B,2,FALSE)</f>
        <v>Diabetes</v>
      </c>
      <c r="K581" t="str">
        <f>VLOOKUP(H581,Outcome!A$2:$B$7,2,FALSE)</f>
        <v>Recovered</v>
      </c>
      <c r="L581">
        <f t="shared" si="18"/>
        <v>16</v>
      </c>
      <c r="M581" t="str">
        <f>IF(Labs!E581&gt;120,"High","Normal")</f>
        <v>High</v>
      </c>
      <c r="N581" t="str">
        <f t="shared" si="19"/>
        <v>low risk</v>
      </c>
    </row>
    <row r="582" spans="1:14" x14ac:dyDescent="0.3">
      <c r="A582">
        <v>581</v>
      </c>
      <c r="B582" t="s">
        <v>191</v>
      </c>
      <c r="C582">
        <v>16</v>
      </c>
      <c r="D582" t="s">
        <v>10</v>
      </c>
      <c r="E582">
        <v>6</v>
      </c>
      <c r="F582" s="1">
        <v>45973</v>
      </c>
      <c r="G582" s="1">
        <v>45973</v>
      </c>
      <c r="H582">
        <v>1</v>
      </c>
      <c r="I582" s="3">
        <v>39908.550000000003</v>
      </c>
      <c r="J582" t="str">
        <f>VLOOKUP(H582,Diagnosis!$A:$B,2,FALSE)</f>
        <v>Diabetes</v>
      </c>
      <c r="K582" t="str">
        <f>VLOOKUP(H582,Outcome!A$2:$B$7,2,FALSE)</f>
        <v>Recovered</v>
      </c>
      <c r="L582">
        <f t="shared" si="18"/>
        <v>0</v>
      </c>
      <c r="M582" t="str">
        <f>IF(Labs!E582&gt;120,"High","Normal")</f>
        <v>High</v>
      </c>
      <c r="N582" t="str">
        <f t="shared" si="19"/>
        <v>low risk</v>
      </c>
    </row>
    <row r="583" spans="1:14" x14ac:dyDescent="0.3">
      <c r="A583">
        <v>582</v>
      </c>
      <c r="B583" t="s">
        <v>407</v>
      </c>
      <c r="C583">
        <v>42</v>
      </c>
      <c r="D583" t="s">
        <v>10</v>
      </c>
      <c r="E583">
        <v>10</v>
      </c>
      <c r="F583" s="1">
        <v>45093</v>
      </c>
      <c r="G583" s="1">
        <v>45098</v>
      </c>
      <c r="H583">
        <v>2</v>
      </c>
      <c r="I583" s="3">
        <v>44592.2</v>
      </c>
      <c r="J583" t="str">
        <f>VLOOKUP(H583,Diagnosis!$A:$B,2,FALSE)</f>
        <v>Hypertension</v>
      </c>
      <c r="K583" t="str">
        <f>VLOOKUP(H583,Outcome!A$2:$B$7,2,FALSE)</f>
        <v>Improved</v>
      </c>
      <c r="L583">
        <f t="shared" si="18"/>
        <v>5</v>
      </c>
      <c r="M583" t="str">
        <f>IF(Labs!E583&gt;120,"High","Normal")</f>
        <v>High</v>
      </c>
      <c r="N583" t="str">
        <f t="shared" si="19"/>
        <v>High Risk</v>
      </c>
    </row>
    <row r="584" spans="1:14" x14ac:dyDescent="0.3">
      <c r="A584">
        <v>583</v>
      </c>
      <c r="B584" t="s">
        <v>408</v>
      </c>
      <c r="C584">
        <v>44</v>
      </c>
      <c r="D584" t="s">
        <v>10</v>
      </c>
      <c r="E584">
        <v>3</v>
      </c>
      <c r="F584" s="1">
        <v>45583</v>
      </c>
      <c r="G584" s="1">
        <v>45596</v>
      </c>
      <c r="H584">
        <v>1</v>
      </c>
      <c r="I584" s="3">
        <v>126876.49</v>
      </c>
      <c r="J584" t="str">
        <f>VLOOKUP(H584,Diagnosis!$A:$B,2,FALSE)</f>
        <v>Diabetes</v>
      </c>
      <c r="K584" t="str">
        <f>VLOOKUP(H584,Outcome!A$2:$B$7,2,FALSE)</f>
        <v>Recovered</v>
      </c>
      <c r="L584">
        <f t="shared" si="18"/>
        <v>13</v>
      </c>
      <c r="M584" t="str">
        <f>IF(Labs!E584&gt;120,"High","Normal")</f>
        <v>High</v>
      </c>
      <c r="N584" t="str">
        <f t="shared" si="19"/>
        <v>low risk</v>
      </c>
    </row>
    <row r="585" spans="1:14" x14ac:dyDescent="0.3">
      <c r="A585">
        <v>584</v>
      </c>
      <c r="B585" t="s">
        <v>409</v>
      </c>
      <c r="C585">
        <v>52</v>
      </c>
      <c r="D585" t="s">
        <v>10</v>
      </c>
      <c r="E585">
        <v>8</v>
      </c>
      <c r="F585" s="1">
        <v>44930</v>
      </c>
      <c r="G585" s="1">
        <v>44948</v>
      </c>
      <c r="H585">
        <v>1</v>
      </c>
      <c r="I585" s="3">
        <v>104720.96000000001</v>
      </c>
      <c r="J585" t="str">
        <f>VLOOKUP(H585,Diagnosis!$A:$B,2,FALSE)</f>
        <v>Diabetes</v>
      </c>
      <c r="K585" t="str">
        <f>VLOOKUP(H585,Outcome!A$2:$B$7,2,FALSE)</f>
        <v>Recovered</v>
      </c>
      <c r="L585">
        <f t="shared" si="18"/>
        <v>18</v>
      </c>
      <c r="M585" t="str">
        <f>IF(Labs!E585&gt;120,"High","Normal")</f>
        <v>High</v>
      </c>
      <c r="N585" t="str">
        <f t="shared" si="19"/>
        <v>low risk</v>
      </c>
    </row>
    <row r="586" spans="1:14" x14ac:dyDescent="0.3">
      <c r="A586">
        <v>585</v>
      </c>
      <c r="B586" t="s">
        <v>109</v>
      </c>
      <c r="C586">
        <v>93</v>
      </c>
      <c r="D586" t="s">
        <v>10</v>
      </c>
      <c r="E586">
        <v>4</v>
      </c>
      <c r="F586" s="1">
        <v>45699</v>
      </c>
      <c r="G586" s="1">
        <v>45712</v>
      </c>
      <c r="H586">
        <v>5</v>
      </c>
      <c r="I586" s="3">
        <v>37301.22</v>
      </c>
      <c r="J586" t="str">
        <f>VLOOKUP(H586,Diagnosis!$A:$B,2,FALSE)</f>
        <v>Heart Disease</v>
      </c>
      <c r="K586" t="str">
        <f>VLOOKUP(H586,Outcome!A$2:$B$7,2,FALSE)</f>
        <v>Readmitted</v>
      </c>
      <c r="L586">
        <f t="shared" si="18"/>
        <v>13</v>
      </c>
      <c r="M586" t="str">
        <f>IF(Labs!E586&gt;120,"High","Normal")</f>
        <v>High</v>
      </c>
      <c r="N586" t="str">
        <f t="shared" si="19"/>
        <v>High Risk</v>
      </c>
    </row>
    <row r="587" spans="1:14" x14ac:dyDescent="0.3">
      <c r="A587">
        <v>586</v>
      </c>
      <c r="B587" t="s">
        <v>387</v>
      </c>
      <c r="C587">
        <v>2</v>
      </c>
      <c r="D587" t="s">
        <v>17</v>
      </c>
      <c r="E587">
        <v>7</v>
      </c>
      <c r="F587" s="1">
        <v>45585</v>
      </c>
      <c r="G587" s="1">
        <v>45589</v>
      </c>
      <c r="H587">
        <v>6</v>
      </c>
      <c r="I587" s="3">
        <v>153266.71</v>
      </c>
      <c r="J587" t="str">
        <f>VLOOKUP(H587,Diagnosis!$A:$B,2,FALSE)</f>
        <v>Kidney Disease</v>
      </c>
      <c r="K587" t="str">
        <f>VLOOKUP(H587,Outcome!A$2:$B$7,2,FALSE)</f>
        <v>Deceased</v>
      </c>
      <c r="L587">
        <f t="shared" si="18"/>
        <v>4</v>
      </c>
      <c r="M587" t="str">
        <f>IF(Labs!E587&gt;120,"High","Normal")</f>
        <v>High</v>
      </c>
      <c r="N587" t="str">
        <f t="shared" si="19"/>
        <v>High Risk</v>
      </c>
    </row>
    <row r="588" spans="1:14" x14ac:dyDescent="0.3">
      <c r="A588">
        <v>587</v>
      </c>
      <c r="B588" t="s">
        <v>410</v>
      </c>
      <c r="C588">
        <v>93</v>
      </c>
      <c r="D588" t="s">
        <v>10</v>
      </c>
      <c r="E588">
        <v>8</v>
      </c>
      <c r="F588" s="1">
        <v>45176</v>
      </c>
      <c r="G588" s="1">
        <v>45184</v>
      </c>
      <c r="H588">
        <v>2</v>
      </c>
      <c r="I588" s="3">
        <v>103290.63</v>
      </c>
      <c r="J588" t="str">
        <f>VLOOKUP(H588,Diagnosis!$A:$B,2,FALSE)</f>
        <v>Hypertension</v>
      </c>
      <c r="K588" t="str">
        <f>VLOOKUP(H588,Outcome!A$2:$B$7,2,FALSE)</f>
        <v>Improved</v>
      </c>
      <c r="L588">
        <f t="shared" si="18"/>
        <v>8</v>
      </c>
      <c r="M588" t="str">
        <f>IF(Labs!E588&gt;120,"High","Normal")</f>
        <v>High</v>
      </c>
      <c r="N588" t="str">
        <f t="shared" si="19"/>
        <v>High Risk</v>
      </c>
    </row>
    <row r="589" spans="1:14" x14ac:dyDescent="0.3">
      <c r="A589">
        <v>588</v>
      </c>
      <c r="B589" t="s">
        <v>43</v>
      </c>
      <c r="C589">
        <v>89</v>
      </c>
      <c r="D589" t="s">
        <v>17</v>
      </c>
      <c r="E589">
        <v>1</v>
      </c>
      <c r="F589" s="1">
        <v>45003</v>
      </c>
      <c r="G589" s="1">
        <v>45029</v>
      </c>
      <c r="H589">
        <v>1</v>
      </c>
      <c r="I589" s="3">
        <v>151417.48000000001</v>
      </c>
      <c r="J589" t="str">
        <f>VLOOKUP(H589,Diagnosis!$A:$B,2,FALSE)</f>
        <v>Diabetes</v>
      </c>
      <c r="K589" t="str">
        <f>VLOOKUP(H589,Outcome!A$2:$B$7,2,FALSE)</f>
        <v>Recovered</v>
      </c>
      <c r="L589">
        <f t="shared" si="18"/>
        <v>26</v>
      </c>
      <c r="M589" t="str">
        <f>IF(Labs!E589&gt;120,"High","Normal")</f>
        <v>High</v>
      </c>
      <c r="N589" t="str">
        <f t="shared" si="19"/>
        <v>High Risk</v>
      </c>
    </row>
    <row r="590" spans="1:14" x14ac:dyDescent="0.3">
      <c r="A590">
        <v>589</v>
      </c>
      <c r="B590" t="s">
        <v>411</v>
      </c>
      <c r="C590">
        <v>43</v>
      </c>
      <c r="D590" t="s">
        <v>10</v>
      </c>
      <c r="E590">
        <v>6</v>
      </c>
      <c r="F590" s="1">
        <v>45299</v>
      </c>
      <c r="G590" s="1">
        <v>45316</v>
      </c>
      <c r="H590">
        <v>2</v>
      </c>
      <c r="I590" s="3">
        <v>146277.82</v>
      </c>
      <c r="J590" t="str">
        <f>VLOOKUP(H590,Diagnosis!$A:$B,2,FALSE)</f>
        <v>Hypertension</v>
      </c>
      <c r="K590" t="str">
        <f>VLOOKUP(H590,Outcome!A$2:$B$7,2,FALSE)</f>
        <v>Improved</v>
      </c>
      <c r="L590">
        <f t="shared" si="18"/>
        <v>17</v>
      </c>
      <c r="M590" t="str">
        <f>IF(Labs!E590&gt;120,"High","Normal")</f>
        <v>High</v>
      </c>
      <c r="N590" t="str">
        <f t="shared" si="19"/>
        <v>High Risk</v>
      </c>
    </row>
    <row r="591" spans="1:14" x14ac:dyDescent="0.3">
      <c r="A591">
        <v>590</v>
      </c>
      <c r="B591" t="s">
        <v>412</v>
      </c>
      <c r="C591">
        <v>53</v>
      </c>
      <c r="D591" t="s">
        <v>17</v>
      </c>
      <c r="E591">
        <v>6</v>
      </c>
      <c r="F591" s="1">
        <v>45953</v>
      </c>
      <c r="G591" s="1">
        <v>45983</v>
      </c>
      <c r="H591">
        <v>2</v>
      </c>
      <c r="I591" s="3">
        <v>104891.54</v>
      </c>
      <c r="J591" t="str">
        <f>VLOOKUP(H591,Diagnosis!$A:$B,2,FALSE)</f>
        <v>Hypertension</v>
      </c>
      <c r="K591" t="str">
        <f>VLOOKUP(H591,Outcome!A$2:$B$7,2,FALSE)</f>
        <v>Improved</v>
      </c>
      <c r="L591">
        <f t="shared" si="18"/>
        <v>30</v>
      </c>
      <c r="M591" t="str">
        <f>IF(Labs!E591&gt;120,"High","Normal")</f>
        <v>High</v>
      </c>
      <c r="N591" t="str">
        <f t="shared" si="19"/>
        <v>High Risk</v>
      </c>
    </row>
    <row r="592" spans="1:14" x14ac:dyDescent="0.3">
      <c r="A592">
        <v>591</v>
      </c>
      <c r="B592" t="s">
        <v>413</v>
      </c>
      <c r="C592">
        <v>37</v>
      </c>
      <c r="D592" t="s">
        <v>10</v>
      </c>
      <c r="E592">
        <v>6</v>
      </c>
      <c r="F592" s="1">
        <v>45940</v>
      </c>
      <c r="G592" s="1">
        <v>45956</v>
      </c>
      <c r="H592">
        <v>2</v>
      </c>
      <c r="I592" s="3">
        <v>133233.39000000001</v>
      </c>
      <c r="J592" t="str">
        <f>VLOOKUP(H592,Diagnosis!$A:$B,2,FALSE)</f>
        <v>Hypertension</v>
      </c>
      <c r="K592" t="str">
        <f>VLOOKUP(H592,Outcome!A$2:$B$7,2,FALSE)</f>
        <v>Improved</v>
      </c>
      <c r="L592">
        <f t="shared" si="18"/>
        <v>16</v>
      </c>
      <c r="M592" t="str">
        <f>IF(Labs!E592&gt;120,"High","Normal")</f>
        <v>High</v>
      </c>
      <c r="N592" t="str">
        <f t="shared" si="19"/>
        <v>High Risk</v>
      </c>
    </row>
    <row r="593" spans="1:14" x14ac:dyDescent="0.3">
      <c r="A593">
        <v>592</v>
      </c>
      <c r="B593" t="s">
        <v>203</v>
      </c>
      <c r="C593">
        <v>79</v>
      </c>
      <c r="D593" t="s">
        <v>10</v>
      </c>
      <c r="E593">
        <v>8</v>
      </c>
      <c r="F593" s="1">
        <v>45855</v>
      </c>
      <c r="G593" s="1">
        <v>45885</v>
      </c>
      <c r="H593">
        <v>1</v>
      </c>
      <c r="I593" s="3">
        <v>32244.66</v>
      </c>
      <c r="J593" t="str">
        <f>VLOOKUP(H593,Diagnosis!$A:$B,2,FALSE)</f>
        <v>Diabetes</v>
      </c>
      <c r="K593" t="str">
        <f>VLOOKUP(H593,Outcome!A$2:$B$7,2,FALSE)</f>
        <v>Recovered</v>
      </c>
      <c r="L593">
        <f t="shared" si="18"/>
        <v>30</v>
      </c>
      <c r="M593" t="str">
        <f>IF(Labs!E593&gt;120,"High","Normal")</f>
        <v>High</v>
      </c>
      <c r="N593" t="str">
        <f t="shared" si="19"/>
        <v>High Risk</v>
      </c>
    </row>
    <row r="594" spans="1:14" x14ac:dyDescent="0.3">
      <c r="A594">
        <v>593</v>
      </c>
      <c r="B594" t="s">
        <v>272</v>
      </c>
      <c r="C594">
        <v>81</v>
      </c>
      <c r="D594" t="s">
        <v>10</v>
      </c>
      <c r="E594">
        <v>2</v>
      </c>
      <c r="F594" s="1">
        <v>44724</v>
      </c>
      <c r="G594" s="1">
        <v>44729</v>
      </c>
      <c r="H594">
        <v>1</v>
      </c>
      <c r="I594" s="3">
        <v>58143.07</v>
      </c>
      <c r="J594" t="str">
        <f>VLOOKUP(H594,Diagnosis!$A:$B,2,FALSE)</f>
        <v>Diabetes</v>
      </c>
      <c r="K594" t="str">
        <f>VLOOKUP(H594,Outcome!A$2:$B$7,2,FALSE)</f>
        <v>Recovered</v>
      </c>
      <c r="L594">
        <f t="shared" si="18"/>
        <v>5</v>
      </c>
      <c r="M594" t="str">
        <f>IF(Labs!E594&gt;120,"High","Normal")</f>
        <v>High</v>
      </c>
      <c r="N594" t="str">
        <f t="shared" si="19"/>
        <v>High Risk</v>
      </c>
    </row>
    <row r="595" spans="1:14" x14ac:dyDescent="0.3">
      <c r="A595">
        <v>594</v>
      </c>
      <c r="B595" t="s">
        <v>414</v>
      </c>
      <c r="C595">
        <v>78</v>
      </c>
      <c r="D595" t="s">
        <v>10</v>
      </c>
      <c r="E595">
        <v>5</v>
      </c>
      <c r="F595" s="1">
        <v>45473</v>
      </c>
      <c r="G595" s="1">
        <v>45497</v>
      </c>
      <c r="H595">
        <v>5</v>
      </c>
      <c r="I595" s="3">
        <v>66961.759999999995</v>
      </c>
      <c r="J595" t="str">
        <f>VLOOKUP(H595,Diagnosis!$A:$B,2,FALSE)</f>
        <v>Heart Disease</v>
      </c>
      <c r="K595" t="str">
        <f>VLOOKUP(H595,Outcome!A$2:$B$7,2,FALSE)</f>
        <v>Readmitted</v>
      </c>
      <c r="L595">
        <f t="shared" si="18"/>
        <v>24</v>
      </c>
      <c r="M595" t="str">
        <f>IF(Labs!E595&gt;120,"High","Normal")</f>
        <v>High</v>
      </c>
      <c r="N595" t="str">
        <f t="shared" si="19"/>
        <v>High Risk</v>
      </c>
    </row>
    <row r="596" spans="1:14" x14ac:dyDescent="0.3">
      <c r="A596">
        <v>595</v>
      </c>
      <c r="B596" t="s">
        <v>415</v>
      </c>
      <c r="C596">
        <v>58</v>
      </c>
      <c r="D596" t="s">
        <v>10</v>
      </c>
      <c r="E596">
        <v>3</v>
      </c>
      <c r="F596" s="1">
        <v>44938</v>
      </c>
      <c r="G596" s="1">
        <v>44965</v>
      </c>
      <c r="H596">
        <v>1</v>
      </c>
      <c r="I596" s="3">
        <v>131679.6</v>
      </c>
      <c r="J596" t="str">
        <f>VLOOKUP(H596,Diagnosis!$A:$B,2,FALSE)</f>
        <v>Diabetes</v>
      </c>
      <c r="K596" t="str">
        <f>VLOOKUP(H596,Outcome!A$2:$B$7,2,FALSE)</f>
        <v>Recovered</v>
      </c>
      <c r="L596">
        <f t="shared" si="18"/>
        <v>27</v>
      </c>
      <c r="M596" t="str">
        <f>IF(Labs!E596&gt;120,"High","Normal")</f>
        <v>High</v>
      </c>
      <c r="N596" t="str">
        <f t="shared" si="19"/>
        <v>low risk</v>
      </c>
    </row>
    <row r="597" spans="1:14" x14ac:dyDescent="0.3">
      <c r="A597">
        <v>596</v>
      </c>
      <c r="B597" t="s">
        <v>416</v>
      </c>
      <c r="C597">
        <v>27</v>
      </c>
      <c r="D597" t="s">
        <v>17</v>
      </c>
      <c r="E597">
        <v>7</v>
      </c>
      <c r="F597" s="1">
        <v>44772</v>
      </c>
      <c r="G597" s="1">
        <v>44775</v>
      </c>
      <c r="H597">
        <v>1</v>
      </c>
      <c r="I597" s="3">
        <v>158467.65</v>
      </c>
      <c r="J597" t="str">
        <f>VLOOKUP(H597,Diagnosis!$A:$B,2,FALSE)</f>
        <v>Diabetes</v>
      </c>
      <c r="K597" t="str">
        <f>VLOOKUP(H597,Outcome!A$2:$B$7,2,FALSE)</f>
        <v>Recovered</v>
      </c>
      <c r="L597">
        <f t="shared" si="18"/>
        <v>3</v>
      </c>
      <c r="M597" t="str">
        <f>IF(Labs!E597&gt;120,"High","Normal")</f>
        <v>High</v>
      </c>
      <c r="N597" t="str">
        <f t="shared" si="19"/>
        <v>low risk</v>
      </c>
    </row>
    <row r="598" spans="1:14" x14ac:dyDescent="0.3">
      <c r="A598">
        <v>597</v>
      </c>
      <c r="B598" t="s">
        <v>107</v>
      </c>
      <c r="C598">
        <v>4</v>
      </c>
      <c r="D598" t="s">
        <v>10</v>
      </c>
      <c r="E598">
        <v>9</v>
      </c>
      <c r="F598" s="1">
        <v>46128</v>
      </c>
      <c r="G598" s="1">
        <v>46130</v>
      </c>
      <c r="H598">
        <v>1</v>
      </c>
      <c r="I598" s="3">
        <v>112213.14</v>
      </c>
      <c r="J598" t="str">
        <f>VLOOKUP(H598,Diagnosis!$A:$B,2,FALSE)</f>
        <v>Diabetes</v>
      </c>
      <c r="K598" t="str">
        <f>VLOOKUP(H598,Outcome!A$2:$B$7,2,FALSE)</f>
        <v>Recovered</v>
      </c>
      <c r="L598">
        <f t="shared" si="18"/>
        <v>2</v>
      </c>
      <c r="M598" t="str">
        <f>IF(Labs!E598&gt;120,"High","Normal")</f>
        <v>High</v>
      </c>
      <c r="N598" t="str">
        <f t="shared" si="19"/>
        <v>low risk</v>
      </c>
    </row>
    <row r="599" spans="1:14" x14ac:dyDescent="0.3">
      <c r="A599">
        <v>598</v>
      </c>
      <c r="B599" t="s">
        <v>203</v>
      </c>
      <c r="C599">
        <v>40</v>
      </c>
      <c r="D599" t="s">
        <v>17</v>
      </c>
      <c r="E599">
        <v>4</v>
      </c>
      <c r="F599" s="1">
        <v>46072</v>
      </c>
      <c r="G599" s="1">
        <v>46081</v>
      </c>
      <c r="H599">
        <v>2</v>
      </c>
      <c r="I599" s="3">
        <v>24938.080000000002</v>
      </c>
      <c r="J599" t="str">
        <f>VLOOKUP(H599,Diagnosis!$A:$B,2,FALSE)</f>
        <v>Hypertension</v>
      </c>
      <c r="K599" t="str">
        <f>VLOOKUP(H599,Outcome!A$2:$B$7,2,FALSE)</f>
        <v>Improved</v>
      </c>
      <c r="L599">
        <f t="shared" si="18"/>
        <v>9</v>
      </c>
      <c r="M599" t="str">
        <f>IF(Labs!E599&gt;120,"High","Normal")</f>
        <v>High</v>
      </c>
      <c r="N599" t="str">
        <f t="shared" si="19"/>
        <v>High Risk</v>
      </c>
    </row>
    <row r="600" spans="1:14" x14ac:dyDescent="0.3">
      <c r="A600">
        <v>599</v>
      </c>
      <c r="B600" t="s">
        <v>417</v>
      </c>
      <c r="C600">
        <v>4</v>
      </c>
      <c r="D600" t="s">
        <v>17</v>
      </c>
      <c r="E600">
        <v>6</v>
      </c>
      <c r="F600" s="1">
        <v>45228</v>
      </c>
      <c r="G600" s="1">
        <v>45255</v>
      </c>
      <c r="H600">
        <v>2</v>
      </c>
      <c r="I600" s="3">
        <v>175559.22</v>
      </c>
      <c r="J600" t="str">
        <f>VLOOKUP(H600,Diagnosis!$A:$B,2,FALSE)</f>
        <v>Hypertension</v>
      </c>
      <c r="K600" t="str">
        <f>VLOOKUP(H600,Outcome!A$2:$B$7,2,FALSE)</f>
        <v>Improved</v>
      </c>
      <c r="L600">
        <f t="shared" si="18"/>
        <v>27</v>
      </c>
      <c r="M600" t="str">
        <f>IF(Labs!E600&gt;120,"High","Normal")</f>
        <v>High</v>
      </c>
      <c r="N600" t="str">
        <f t="shared" si="19"/>
        <v>High Risk</v>
      </c>
    </row>
    <row r="601" spans="1:14" x14ac:dyDescent="0.3">
      <c r="A601">
        <v>600</v>
      </c>
      <c r="B601" t="s">
        <v>328</v>
      </c>
      <c r="C601">
        <v>71</v>
      </c>
      <c r="D601" t="s">
        <v>10</v>
      </c>
      <c r="E601">
        <v>3</v>
      </c>
      <c r="F601" s="1">
        <v>45990</v>
      </c>
      <c r="G601" s="1">
        <v>46007</v>
      </c>
      <c r="H601">
        <v>1</v>
      </c>
      <c r="I601" s="3">
        <v>108571.2</v>
      </c>
      <c r="J601" t="str">
        <f>VLOOKUP(H601,Diagnosis!$A:$B,2,FALSE)</f>
        <v>Diabetes</v>
      </c>
      <c r="K601" t="str">
        <f>VLOOKUP(H601,Outcome!A$2:$B$7,2,FALSE)</f>
        <v>Recovered</v>
      </c>
      <c r="L601">
        <f t="shared" si="18"/>
        <v>17</v>
      </c>
      <c r="M601" t="str">
        <f>IF(Labs!E601&gt;120,"High","Normal")</f>
        <v>High</v>
      </c>
      <c r="N601" t="str">
        <f t="shared" si="19"/>
        <v>High Risk</v>
      </c>
    </row>
    <row r="602" spans="1:14" x14ac:dyDescent="0.3">
      <c r="A602">
        <v>601</v>
      </c>
      <c r="B602" t="s">
        <v>418</v>
      </c>
      <c r="C602">
        <v>68</v>
      </c>
      <c r="D602" t="s">
        <v>10</v>
      </c>
      <c r="E602">
        <v>6</v>
      </c>
      <c r="F602" s="1">
        <v>45548</v>
      </c>
      <c r="G602" s="1">
        <v>45565</v>
      </c>
      <c r="H602">
        <v>1</v>
      </c>
      <c r="I602" s="3">
        <v>18395.84</v>
      </c>
      <c r="J602" t="str">
        <f>VLOOKUP(H602,Diagnosis!$A:$B,2,FALSE)</f>
        <v>Diabetes</v>
      </c>
      <c r="K602" t="str">
        <f>VLOOKUP(H602,Outcome!A$2:$B$7,2,FALSE)</f>
        <v>Recovered</v>
      </c>
      <c r="L602">
        <f t="shared" si="18"/>
        <v>17</v>
      </c>
      <c r="M602" t="str">
        <f>IF(Labs!E602&gt;120,"High","Normal")</f>
        <v>High</v>
      </c>
      <c r="N602" t="str">
        <f t="shared" si="19"/>
        <v>High Risk</v>
      </c>
    </row>
    <row r="603" spans="1:14" x14ac:dyDescent="0.3">
      <c r="A603">
        <v>602</v>
      </c>
      <c r="B603" t="s">
        <v>419</v>
      </c>
      <c r="C603">
        <v>53</v>
      </c>
      <c r="D603" t="s">
        <v>10</v>
      </c>
      <c r="E603">
        <v>3</v>
      </c>
      <c r="F603" s="1">
        <v>45183</v>
      </c>
      <c r="G603" s="1">
        <v>45183</v>
      </c>
      <c r="H603">
        <v>1</v>
      </c>
      <c r="I603" s="3">
        <v>147229.91</v>
      </c>
      <c r="J603" t="str">
        <f>VLOOKUP(H603,Diagnosis!$A:$B,2,FALSE)</f>
        <v>Diabetes</v>
      </c>
      <c r="K603" t="str">
        <f>VLOOKUP(H603,Outcome!A$2:$B$7,2,FALSE)</f>
        <v>Recovered</v>
      </c>
      <c r="L603">
        <f t="shared" si="18"/>
        <v>0</v>
      </c>
      <c r="M603" t="str">
        <f>IF(Labs!E603&gt;120,"High","Normal")</f>
        <v>High</v>
      </c>
      <c r="N603" t="str">
        <f t="shared" si="19"/>
        <v>low risk</v>
      </c>
    </row>
    <row r="604" spans="1:14" x14ac:dyDescent="0.3">
      <c r="A604">
        <v>603</v>
      </c>
      <c r="B604" t="s">
        <v>420</v>
      </c>
      <c r="C604">
        <v>37</v>
      </c>
      <c r="D604" t="s">
        <v>10</v>
      </c>
      <c r="E604">
        <v>9</v>
      </c>
      <c r="F604" s="1">
        <v>44579</v>
      </c>
      <c r="G604" s="1">
        <v>44601</v>
      </c>
      <c r="H604">
        <v>5</v>
      </c>
      <c r="I604" s="3">
        <v>170584.95999999999</v>
      </c>
      <c r="J604" t="str">
        <f>VLOOKUP(H604,Diagnosis!$A:$B,2,FALSE)</f>
        <v>Heart Disease</v>
      </c>
      <c r="K604" t="str">
        <f>VLOOKUP(H604,Outcome!A$2:$B$7,2,FALSE)</f>
        <v>Readmitted</v>
      </c>
      <c r="L604">
        <f t="shared" si="18"/>
        <v>22</v>
      </c>
      <c r="M604" t="str">
        <f>IF(Labs!E604&gt;120,"High","Normal")</f>
        <v>High</v>
      </c>
      <c r="N604" t="str">
        <f t="shared" si="19"/>
        <v>High Risk</v>
      </c>
    </row>
    <row r="605" spans="1:14" x14ac:dyDescent="0.3">
      <c r="A605">
        <v>604</v>
      </c>
      <c r="B605" t="s">
        <v>126</v>
      </c>
      <c r="C605">
        <v>2</v>
      </c>
      <c r="D605" t="s">
        <v>10</v>
      </c>
      <c r="E605">
        <v>5</v>
      </c>
      <c r="F605" s="1">
        <v>45784</v>
      </c>
      <c r="G605" s="1">
        <v>45791</v>
      </c>
      <c r="H605">
        <v>4</v>
      </c>
      <c r="I605" s="3">
        <v>99807.66</v>
      </c>
      <c r="J605" t="str">
        <f>VLOOKUP(H605,Diagnosis!$A:$B,2,FALSE)</f>
        <v>Pneumonia</v>
      </c>
      <c r="K605" t="str">
        <f>VLOOKUP(H605,Outcome!A$2:$B$7,2,FALSE)</f>
        <v>Referred</v>
      </c>
      <c r="L605">
        <f t="shared" si="18"/>
        <v>7</v>
      </c>
      <c r="M605" t="str">
        <f>IF(Labs!E605&gt;120,"High","Normal")</f>
        <v>High</v>
      </c>
      <c r="N605" t="str">
        <f t="shared" si="19"/>
        <v>High Risk</v>
      </c>
    </row>
    <row r="606" spans="1:14" x14ac:dyDescent="0.3">
      <c r="A606">
        <v>605</v>
      </c>
      <c r="B606" t="s">
        <v>101</v>
      </c>
      <c r="C606">
        <v>72</v>
      </c>
      <c r="D606" t="s">
        <v>10</v>
      </c>
      <c r="E606">
        <v>7</v>
      </c>
      <c r="F606" s="1">
        <v>45073</v>
      </c>
      <c r="G606" s="1">
        <v>45078</v>
      </c>
      <c r="H606">
        <v>3</v>
      </c>
      <c r="I606" s="3">
        <v>117163.37</v>
      </c>
      <c r="J606" t="str">
        <f>VLOOKUP(H606,Diagnosis!$A:$B,2,FALSE)</f>
        <v>Asthma</v>
      </c>
      <c r="K606" t="str">
        <f>VLOOKUP(H606,Outcome!A$2:$B$7,2,FALSE)</f>
        <v>Ongoing Treatment</v>
      </c>
      <c r="L606">
        <f t="shared" si="18"/>
        <v>5</v>
      </c>
      <c r="M606" t="str">
        <f>IF(Labs!E606&gt;120,"High","Normal")</f>
        <v>High</v>
      </c>
      <c r="N606" t="str">
        <f t="shared" si="19"/>
        <v>High Risk</v>
      </c>
    </row>
    <row r="607" spans="1:14" x14ac:dyDescent="0.3">
      <c r="A607">
        <v>606</v>
      </c>
      <c r="B607" t="s">
        <v>421</v>
      </c>
      <c r="C607">
        <v>34</v>
      </c>
      <c r="D607" t="s">
        <v>17</v>
      </c>
      <c r="E607">
        <v>7</v>
      </c>
      <c r="F607" s="1">
        <v>45842</v>
      </c>
      <c r="G607" s="1">
        <v>45849</v>
      </c>
      <c r="H607">
        <v>2</v>
      </c>
      <c r="I607" s="3">
        <v>144492.73000000001</v>
      </c>
      <c r="J607" t="str">
        <f>VLOOKUP(H607,Diagnosis!$A:$B,2,FALSE)</f>
        <v>Hypertension</v>
      </c>
      <c r="K607" t="str">
        <f>VLOOKUP(H607,Outcome!A$2:$B$7,2,FALSE)</f>
        <v>Improved</v>
      </c>
      <c r="L607">
        <f t="shared" si="18"/>
        <v>7</v>
      </c>
      <c r="M607" t="str">
        <f>IF(Labs!E607&gt;120,"High","Normal")</f>
        <v>High</v>
      </c>
      <c r="N607" t="str">
        <f t="shared" si="19"/>
        <v>High Risk</v>
      </c>
    </row>
    <row r="608" spans="1:14" x14ac:dyDescent="0.3">
      <c r="A608">
        <v>607</v>
      </c>
      <c r="B608" t="s">
        <v>422</v>
      </c>
      <c r="C608">
        <v>37</v>
      </c>
      <c r="D608" t="s">
        <v>10</v>
      </c>
      <c r="E608">
        <v>7</v>
      </c>
      <c r="F608" s="1">
        <v>44947</v>
      </c>
      <c r="G608" s="1">
        <v>44974</v>
      </c>
      <c r="H608">
        <v>1</v>
      </c>
      <c r="I608" s="3">
        <v>26750.77</v>
      </c>
      <c r="J608" t="str">
        <f>VLOOKUP(H608,Diagnosis!$A:$B,2,FALSE)</f>
        <v>Diabetes</v>
      </c>
      <c r="K608" t="str">
        <f>VLOOKUP(H608,Outcome!A$2:$B$7,2,FALSE)</f>
        <v>Recovered</v>
      </c>
      <c r="L608">
        <f t="shared" si="18"/>
        <v>27</v>
      </c>
      <c r="M608" t="str">
        <f>IF(Labs!E608&gt;120,"High","Normal")</f>
        <v>High</v>
      </c>
      <c r="N608" t="str">
        <f t="shared" si="19"/>
        <v>low risk</v>
      </c>
    </row>
    <row r="609" spans="1:14" x14ac:dyDescent="0.3">
      <c r="A609">
        <v>608</v>
      </c>
      <c r="B609" t="s">
        <v>228</v>
      </c>
      <c r="C609">
        <v>80</v>
      </c>
      <c r="D609" t="s">
        <v>10</v>
      </c>
      <c r="E609">
        <v>5</v>
      </c>
      <c r="F609" s="1">
        <v>45996</v>
      </c>
      <c r="G609" s="1">
        <v>46015</v>
      </c>
      <c r="H609">
        <v>2</v>
      </c>
      <c r="I609" s="3">
        <v>59414.26</v>
      </c>
      <c r="J609" t="str">
        <f>VLOOKUP(H609,Diagnosis!$A:$B,2,FALSE)</f>
        <v>Hypertension</v>
      </c>
      <c r="K609" t="str">
        <f>VLOOKUP(H609,Outcome!A$2:$B$7,2,FALSE)</f>
        <v>Improved</v>
      </c>
      <c r="L609">
        <f t="shared" si="18"/>
        <v>19</v>
      </c>
      <c r="M609" t="str">
        <f>IF(Labs!E609&gt;120,"High","Normal")</f>
        <v>High</v>
      </c>
      <c r="N609" t="str">
        <f t="shared" si="19"/>
        <v>High Risk</v>
      </c>
    </row>
    <row r="610" spans="1:14" x14ac:dyDescent="0.3">
      <c r="A610">
        <v>609</v>
      </c>
      <c r="B610" t="s">
        <v>423</v>
      </c>
      <c r="C610">
        <v>69</v>
      </c>
      <c r="D610" t="s">
        <v>17</v>
      </c>
      <c r="E610">
        <v>3</v>
      </c>
      <c r="F610" s="1">
        <v>44771</v>
      </c>
      <c r="G610" s="1">
        <v>44780</v>
      </c>
      <c r="H610">
        <v>1</v>
      </c>
      <c r="I610" s="3">
        <v>129447.28</v>
      </c>
      <c r="J610" t="str">
        <f>VLOOKUP(H610,Diagnosis!$A:$B,2,FALSE)</f>
        <v>Diabetes</v>
      </c>
      <c r="K610" t="str">
        <f>VLOOKUP(H610,Outcome!A$2:$B$7,2,FALSE)</f>
        <v>Recovered</v>
      </c>
      <c r="L610">
        <f t="shared" si="18"/>
        <v>9</v>
      </c>
      <c r="M610" t="str">
        <f>IF(Labs!E610&gt;120,"High","Normal")</f>
        <v>High</v>
      </c>
      <c r="N610" t="str">
        <f t="shared" si="19"/>
        <v>High Risk</v>
      </c>
    </row>
    <row r="611" spans="1:14" x14ac:dyDescent="0.3">
      <c r="A611">
        <v>610</v>
      </c>
      <c r="B611" t="s">
        <v>353</v>
      </c>
      <c r="C611">
        <v>12</v>
      </c>
      <c r="D611" t="s">
        <v>17</v>
      </c>
      <c r="E611">
        <v>1</v>
      </c>
      <c r="F611" s="1">
        <v>45572</v>
      </c>
      <c r="G611" s="1">
        <v>45578</v>
      </c>
      <c r="H611">
        <v>1</v>
      </c>
      <c r="I611" s="3">
        <v>57804.86</v>
      </c>
      <c r="J611" t="str">
        <f>VLOOKUP(H611,Diagnosis!$A:$B,2,FALSE)</f>
        <v>Diabetes</v>
      </c>
      <c r="K611" t="str">
        <f>VLOOKUP(H611,Outcome!A$2:$B$7,2,FALSE)</f>
        <v>Recovered</v>
      </c>
      <c r="L611">
        <f t="shared" si="18"/>
        <v>6</v>
      </c>
      <c r="M611" t="str">
        <f>IF(Labs!E611&gt;120,"High","Normal")</f>
        <v>High</v>
      </c>
      <c r="N611" t="str">
        <f t="shared" si="19"/>
        <v>low risk</v>
      </c>
    </row>
    <row r="612" spans="1:14" x14ac:dyDescent="0.3">
      <c r="A612">
        <v>611</v>
      </c>
      <c r="B612" t="s">
        <v>316</v>
      </c>
      <c r="C612">
        <v>60</v>
      </c>
      <c r="D612" t="s">
        <v>17</v>
      </c>
      <c r="E612">
        <v>6</v>
      </c>
      <c r="F612" s="1">
        <v>44726</v>
      </c>
      <c r="G612" s="1">
        <v>44752</v>
      </c>
      <c r="H612">
        <v>3</v>
      </c>
      <c r="I612" s="3">
        <v>28430.59</v>
      </c>
      <c r="J612" t="str">
        <f>VLOOKUP(H612,Diagnosis!$A:$B,2,FALSE)</f>
        <v>Asthma</v>
      </c>
      <c r="K612" t="str">
        <f>VLOOKUP(H612,Outcome!A$2:$B$7,2,FALSE)</f>
        <v>Ongoing Treatment</v>
      </c>
      <c r="L612">
        <f t="shared" si="18"/>
        <v>26</v>
      </c>
      <c r="M612" t="str">
        <f>IF(Labs!E612&gt;120,"High","Normal")</f>
        <v>High</v>
      </c>
      <c r="N612" t="str">
        <f t="shared" si="19"/>
        <v>High Risk</v>
      </c>
    </row>
    <row r="613" spans="1:14" x14ac:dyDescent="0.3">
      <c r="A613">
        <v>612</v>
      </c>
      <c r="B613" t="s">
        <v>253</v>
      </c>
      <c r="C613">
        <v>10</v>
      </c>
      <c r="D613" t="s">
        <v>10</v>
      </c>
      <c r="E613">
        <v>3</v>
      </c>
      <c r="F613" s="1">
        <v>44955</v>
      </c>
      <c r="G613" s="1">
        <v>44983</v>
      </c>
      <c r="H613">
        <v>4</v>
      </c>
      <c r="I613" s="3">
        <v>147562</v>
      </c>
      <c r="J613" t="str">
        <f>VLOOKUP(H613,Diagnosis!$A:$B,2,FALSE)</f>
        <v>Pneumonia</v>
      </c>
      <c r="K613" t="str">
        <f>VLOOKUP(H613,Outcome!A$2:$B$7,2,FALSE)</f>
        <v>Referred</v>
      </c>
      <c r="L613">
        <f t="shared" si="18"/>
        <v>28</v>
      </c>
      <c r="M613" t="str">
        <f>IF(Labs!E613&gt;120,"High","Normal")</f>
        <v>High</v>
      </c>
      <c r="N613" t="str">
        <f t="shared" si="19"/>
        <v>High Risk</v>
      </c>
    </row>
    <row r="614" spans="1:14" x14ac:dyDescent="0.3">
      <c r="A614">
        <v>613</v>
      </c>
      <c r="B614" t="s">
        <v>51</v>
      </c>
      <c r="C614">
        <v>92</v>
      </c>
      <c r="D614" t="s">
        <v>17</v>
      </c>
      <c r="E614">
        <v>7</v>
      </c>
      <c r="F614" s="1">
        <v>46141</v>
      </c>
      <c r="G614" s="1">
        <v>46155</v>
      </c>
      <c r="H614">
        <v>1</v>
      </c>
      <c r="I614" s="3">
        <v>179030.04</v>
      </c>
      <c r="J614" t="str">
        <f>VLOOKUP(H614,Diagnosis!$A:$B,2,FALSE)</f>
        <v>Diabetes</v>
      </c>
      <c r="K614" t="str">
        <f>VLOOKUP(H614,Outcome!A$2:$B$7,2,FALSE)</f>
        <v>Recovered</v>
      </c>
      <c r="L614">
        <f t="shared" si="18"/>
        <v>14</v>
      </c>
      <c r="M614" t="str">
        <f>IF(Labs!E614&gt;120,"High","Normal")</f>
        <v>High</v>
      </c>
      <c r="N614" t="str">
        <f t="shared" si="19"/>
        <v>High Risk</v>
      </c>
    </row>
    <row r="615" spans="1:14" x14ac:dyDescent="0.3">
      <c r="A615">
        <v>614</v>
      </c>
      <c r="B615" t="s">
        <v>424</v>
      </c>
      <c r="C615">
        <v>95</v>
      </c>
      <c r="D615" t="s">
        <v>17</v>
      </c>
      <c r="E615">
        <v>9</v>
      </c>
      <c r="F615" s="1">
        <v>45925</v>
      </c>
      <c r="G615" s="1">
        <v>45931</v>
      </c>
      <c r="H615">
        <v>2</v>
      </c>
      <c r="I615" s="3">
        <v>123456.01</v>
      </c>
      <c r="J615" t="str">
        <f>VLOOKUP(H615,Diagnosis!$A:$B,2,FALSE)</f>
        <v>Hypertension</v>
      </c>
      <c r="K615" t="str">
        <f>VLOOKUP(H615,Outcome!A$2:$B$7,2,FALSE)</f>
        <v>Improved</v>
      </c>
      <c r="L615">
        <f t="shared" si="18"/>
        <v>6</v>
      </c>
      <c r="M615" t="str">
        <f>IF(Labs!E615&gt;120,"High","Normal")</f>
        <v>High</v>
      </c>
      <c r="N615" t="str">
        <f t="shared" si="19"/>
        <v>High Risk</v>
      </c>
    </row>
    <row r="616" spans="1:14" x14ac:dyDescent="0.3">
      <c r="A616">
        <v>615</v>
      </c>
      <c r="B616" t="s">
        <v>425</v>
      </c>
      <c r="C616">
        <v>21</v>
      </c>
      <c r="D616" t="s">
        <v>17</v>
      </c>
      <c r="E616">
        <v>9</v>
      </c>
      <c r="F616" s="1">
        <v>45628</v>
      </c>
      <c r="G616" s="1">
        <v>45631</v>
      </c>
      <c r="H616">
        <v>1</v>
      </c>
      <c r="I616" s="3">
        <v>115837.3</v>
      </c>
      <c r="J616" t="str">
        <f>VLOOKUP(H616,Diagnosis!$A:$B,2,FALSE)</f>
        <v>Diabetes</v>
      </c>
      <c r="K616" t="str">
        <f>VLOOKUP(H616,Outcome!A$2:$B$7,2,FALSE)</f>
        <v>Recovered</v>
      </c>
      <c r="L616">
        <f t="shared" si="18"/>
        <v>3</v>
      </c>
      <c r="M616" t="str">
        <f>IF(Labs!E616&gt;120,"High","Normal")</f>
        <v>High</v>
      </c>
      <c r="N616" t="str">
        <f t="shared" si="19"/>
        <v>low risk</v>
      </c>
    </row>
    <row r="617" spans="1:14" x14ac:dyDescent="0.3">
      <c r="A617">
        <v>616</v>
      </c>
      <c r="B617" t="s">
        <v>426</v>
      </c>
      <c r="C617">
        <v>7</v>
      </c>
      <c r="D617" t="s">
        <v>17</v>
      </c>
      <c r="E617">
        <v>2</v>
      </c>
      <c r="F617" s="1">
        <v>45045</v>
      </c>
      <c r="G617" s="1">
        <v>45065</v>
      </c>
      <c r="H617">
        <v>2</v>
      </c>
      <c r="I617" s="3">
        <v>5174.5200000000004</v>
      </c>
      <c r="J617" t="str">
        <f>VLOOKUP(H617,Diagnosis!$A:$B,2,FALSE)</f>
        <v>Hypertension</v>
      </c>
      <c r="K617" t="str">
        <f>VLOOKUP(H617,Outcome!A$2:$B$7,2,FALSE)</f>
        <v>Improved</v>
      </c>
      <c r="L617">
        <f t="shared" si="18"/>
        <v>20</v>
      </c>
      <c r="M617" t="str">
        <f>IF(Labs!E617&gt;120,"High","Normal")</f>
        <v>High</v>
      </c>
      <c r="N617" t="str">
        <f t="shared" si="19"/>
        <v>High Risk</v>
      </c>
    </row>
    <row r="618" spans="1:14" x14ac:dyDescent="0.3">
      <c r="A618">
        <v>617</v>
      </c>
      <c r="B618" t="s">
        <v>146</v>
      </c>
      <c r="C618">
        <v>16</v>
      </c>
      <c r="D618" t="s">
        <v>10</v>
      </c>
      <c r="E618">
        <v>4</v>
      </c>
      <c r="F618" s="1">
        <v>44580</v>
      </c>
      <c r="G618" s="1">
        <v>44581</v>
      </c>
      <c r="H618">
        <v>2</v>
      </c>
      <c r="I618" s="3">
        <v>125108.38</v>
      </c>
      <c r="J618" t="str">
        <f>VLOOKUP(H618,Diagnosis!$A:$B,2,FALSE)</f>
        <v>Hypertension</v>
      </c>
      <c r="K618" t="str">
        <f>VLOOKUP(H618,Outcome!A$2:$B$7,2,FALSE)</f>
        <v>Improved</v>
      </c>
      <c r="L618">
        <f t="shared" si="18"/>
        <v>1</v>
      </c>
      <c r="M618" t="str">
        <f>IF(Labs!E618&gt;120,"High","Normal")</f>
        <v>High</v>
      </c>
      <c r="N618" t="str">
        <f t="shared" si="19"/>
        <v>High Risk</v>
      </c>
    </row>
    <row r="619" spans="1:14" x14ac:dyDescent="0.3">
      <c r="A619">
        <v>618</v>
      </c>
      <c r="B619" t="s">
        <v>200</v>
      </c>
      <c r="C619">
        <v>48</v>
      </c>
      <c r="D619" t="s">
        <v>17</v>
      </c>
      <c r="E619">
        <v>4</v>
      </c>
      <c r="F619" s="1">
        <v>44884</v>
      </c>
      <c r="G619" s="1">
        <v>44899</v>
      </c>
      <c r="H619">
        <v>1</v>
      </c>
      <c r="I619" s="3">
        <v>112309.46</v>
      </c>
      <c r="J619" t="str">
        <f>VLOOKUP(H619,Diagnosis!$A:$B,2,FALSE)</f>
        <v>Diabetes</v>
      </c>
      <c r="K619" t="str">
        <f>VLOOKUP(H619,Outcome!A$2:$B$7,2,FALSE)</f>
        <v>Recovered</v>
      </c>
      <c r="L619">
        <f t="shared" si="18"/>
        <v>15</v>
      </c>
      <c r="M619" t="str">
        <f>IF(Labs!E619&gt;120,"High","Normal")</f>
        <v>High</v>
      </c>
      <c r="N619" t="str">
        <f t="shared" si="19"/>
        <v>low risk</v>
      </c>
    </row>
    <row r="620" spans="1:14" x14ac:dyDescent="0.3">
      <c r="A620">
        <v>619</v>
      </c>
      <c r="B620" t="s">
        <v>427</v>
      </c>
      <c r="C620">
        <v>46</v>
      </c>
      <c r="D620" t="s">
        <v>17</v>
      </c>
      <c r="E620">
        <v>9</v>
      </c>
      <c r="F620" s="1">
        <v>46182</v>
      </c>
      <c r="G620" s="1">
        <v>46185</v>
      </c>
      <c r="H620">
        <v>1</v>
      </c>
      <c r="I620" s="3">
        <v>43799.75</v>
      </c>
      <c r="J620" t="str">
        <f>VLOOKUP(H620,Diagnosis!$A:$B,2,FALSE)</f>
        <v>Diabetes</v>
      </c>
      <c r="K620" t="str">
        <f>VLOOKUP(H620,Outcome!A$2:$B$7,2,FALSE)</f>
        <v>Recovered</v>
      </c>
      <c r="L620">
        <f t="shared" si="18"/>
        <v>3</v>
      </c>
      <c r="M620" t="str">
        <f>IF(Labs!E620&gt;120,"High","Normal")</f>
        <v>High</v>
      </c>
      <c r="N620" t="str">
        <f t="shared" si="19"/>
        <v>low risk</v>
      </c>
    </row>
    <row r="621" spans="1:14" x14ac:dyDescent="0.3">
      <c r="A621">
        <v>620</v>
      </c>
      <c r="B621" t="s">
        <v>428</v>
      </c>
      <c r="C621">
        <v>57</v>
      </c>
      <c r="D621" t="s">
        <v>17</v>
      </c>
      <c r="E621">
        <v>1</v>
      </c>
      <c r="F621" s="1">
        <v>45973</v>
      </c>
      <c r="G621" s="1">
        <v>45985</v>
      </c>
      <c r="H621">
        <v>2</v>
      </c>
      <c r="I621" s="3">
        <v>26414.959999999999</v>
      </c>
      <c r="J621" t="str">
        <f>VLOOKUP(H621,Diagnosis!$A:$B,2,FALSE)</f>
        <v>Hypertension</v>
      </c>
      <c r="K621" t="str">
        <f>VLOOKUP(H621,Outcome!A$2:$B$7,2,FALSE)</f>
        <v>Improved</v>
      </c>
      <c r="L621">
        <f t="shared" si="18"/>
        <v>12</v>
      </c>
      <c r="M621" t="str">
        <f>IF(Labs!E621&gt;120,"High","Normal")</f>
        <v>High</v>
      </c>
      <c r="N621" t="str">
        <f t="shared" si="19"/>
        <v>High Risk</v>
      </c>
    </row>
    <row r="622" spans="1:14" x14ac:dyDescent="0.3">
      <c r="A622">
        <v>621</v>
      </c>
      <c r="B622" t="s">
        <v>429</v>
      </c>
      <c r="C622">
        <v>91</v>
      </c>
      <c r="D622" t="s">
        <v>10</v>
      </c>
      <c r="E622">
        <v>9</v>
      </c>
      <c r="F622" s="1">
        <v>45165</v>
      </c>
      <c r="G622" s="1">
        <v>45182</v>
      </c>
      <c r="H622">
        <v>3</v>
      </c>
      <c r="I622" s="3">
        <v>36185.21</v>
      </c>
      <c r="J622" t="str">
        <f>VLOOKUP(H622,Diagnosis!$A:$B,2,FALSE)</f>
        <v>Asthma</v>
      </c>
      <c r="K622" t="str">
        <f>VLOOKUP(H622,Outcome!A$2:$B$7,2,FALSE)</f>
        <v>Ongoing Treatment</v>
      </c>
      <c r="L622">
        <f t="shared" si="18"/>
        <v>17</v>
      </c>
      <c r="M622" t="str">
        <f>IF(Labs!E622&gt;120,"High","Normal")</f>
        <v>High</v>
      </c>
      <c r="N622" t="str">
        <f t="shared" si="19"/>
        <v>High Risk</v>
      </c>
    </row>
    <row r="623" spans="1:14" x14ac:dyDescent="0.3">
      <c r="A623">
        <v>622</v>
      </c>
      <c r="B623" t="s">
        <v>430</v>
      </c>
      <c r="C623">
        <v>45</v>
      </c>
      <c r="D623" t="s">
        <v>10</v>
      </c>
      <c r="E623">
        <v>8</v>
      </c>
      <c r="F623" s="1">
        <v>45125</v>
      </c>
      <c r="G623" s="1">
        <v>45152</v>
      </c>
      <c r="H623">
        <v>4</v>
      </c>
      <c r="I623" s="3">
        <v>164819.14000000001</v>
      </c>
      <c r="J623" t="str">
        <f>VLOOKUP(H623,Diagnosis!$A:$B,2,FALSE)</f>
        <v>Pneumonia</v>
      </c>
      <c r="K623" t="str">
        <f>VLOOKUP(H623,Outcome!A$2:$B$7,2,FALSE)</f>
        <v>Referred</v>
      </c>
      <c r="L623">
        <f t="shared" si="18"/>
        <v>27</v>
      </c>
      <c r="M623" t="str">
        <f>IF(Labs!E623&gt;120,"High","Normal")</f>
        <v>High</v>
      </c>
      <c r="N623" t="str">
        <f t="shared" si="19"/>
        <v>High Risk</v>
      </c>
    </row>
    <row r="624" spans="1:14" x14ac:dyDescent="0.3">
      <c r="A624">
        <v>623</v>
      </c>
      <c r="B624" t="s">
        <v>347</v>
      </c>
      <c r="C624">
        <v>9</v>
      </c>
      <c r="D624" t="s">
        <v>17</v>
      </c>
      <c r="E624">
        <v>8</v>
      </c>
      <c r="F624" s="1">
        <v>45167</v>
      </c>
      <c r="G624" s="1">
        <v>45193</v>
      </c>
      <c r="H624">
        <v>1</v>
      </c>
      <c r="I624" s="3">
        <v>67662.509999999995</v>
      </c>
      <c r="J624" t="str">
        <f>VLOOKUP(H624,Diagnosis!$A:$B,2,FALSE)</f>
        <v>Diabetes</v>
      </c>
      <c r="K624" t="str">
        <f>VLOOKUP(H624,Outcome!A$2:$B$7,2,FALSE)</f>
        <v>Recovered</v>
      </c>
      <c r="L624">
        <f t="shared" si="18"/>
        <v>26</v>
      </c>
      <c r="M624" t="str">
        <f>IF(Labs!E624&gt;120,"High","Normal")</f>
        <v>High</v>
      </c>
      <c r="N624" t="str">
        <f t="shared" si="19"/>
        <v>low risk</v>
      </c>
    </row>
    <row r="625" spans="1:14" x14ac:dyDescent="0.3">
      <c r="A625">
        <v>624</v>
      </c>
      <c r="B625" t="s">
        <v>60</v>
      </c>
      <c r="C625">
        <v>49</v>
      </c>
      <c r="D625" t="s">
        <v>17</v>
      </c>
      <c r="E625">
        <v>1</v>
      </c>
      <c r="F625" s="1">
        <v>45831</v>
      </c>
      <c r="G625" s="1">
        <v>45858</v>
      </c>
      <c r="H625">
        <v>2</v>
      </c>
      <c r="I625" s="3">
        <v>112585.02</v>
      </c>
      <c r="J625" t="str">
        <f>VLOOKUP(H625,Diagnosis!$A:$B,2,FALSE)</f>
        <v>Hypertension</v>
      </c>
      <c r="K625" t="str">
        <f>VLOOKUP(H625,Outcome!A$2:$B$7,2,FALSE)</f>
        <v>Improved</v>
      </c>
      <c r="L625">
        <f t="shared" si="18"/>
        <v>27</v>
      </c>
      <c r="M625" t="str">
        <f>IF(Labs!E625&gt;120,"High","Normal")</f>
        <v>High</v>
      </c>
      <c r="N625" t="str">
        <f t="shared" si="19"/>
        <v>High Risk</v>
      </c>
    </row>
    <row r="626" spans="1:14" x14ac:dyDescent="0.3">
      <c r="A626">
        <v>625</v>
      </c>
      <c r="B626" t="s">
        <v>431</v>
      </c>
      <c r="C626">
        <v>85</v>
      </c>
      <c r="D626" t="s">
        <v>10</v>
      </c>
      <c r="E626">
        <v>4</v>
      </c>
      <c r="F626" s="1">
        <v>45635</v>
      </c>
      <c r="G626" s="1">
        <v>45656</v>
      </c>
      <c r="H626">
        <v>2</v>
      </c>
      <c r="I626" s="3">
        <v>100385.54</v>
      </c>
      <c r="J626" t="str">
        <f>VLOOKUP(H626,Diagnosis!$A:$B,2,FALSE)</f>
        <v>Hypertension</v>
      </c>
      <c r="K626" t="str">
        <f>VLOOKUP(H626,Outcome!A$2:$B$7,2,FALSE)</f>
        <v>Improved</v>
      </c>
      <c r="L626">
        <f t="shared" si="18"/>
        <v>21</v>
      </c>
      <c r="M626" t="str">
        <f>IF(Labs!E626&gt;120,"High","Normal")</f>
        <v>High</v>
      </c>
      <c r="N626" t="str">
        <f t="shared" si="19"/>
        <v>High Risk</v>
      </c>
    </row>
    <row r="627" spans="1:14" x14ac:dyDescent="0.3">
      <c r="A627">
        <v>626</v>
      </c>
      <c r="B627" t="s">
        <v>375</v>
      </c>
      <c r="C627">
        <v>42</v>
      </c>
      <c r="D627" t="s">
        <v>10</v>
      </c>
      <c r="E627">
        <v>6</v>
      </c>
      <c r="F627" s="1">
        <v>44788</v>
      </c>
      <c r="G627" s="1">
        <v>44791</v>
      </c>
      <c r="H627">
        <v>2</v>
      </c>
      <c r="I627" s="3">
        <v>14335.67</v>
      </c>
      <c r="J627" t="str">
        <f>VLOOKUP(H627,Diagnosis!$A:$B,2,FALSE)</f>
        <v>Hypertension</v>
      </c>
      <c r="K627" t="str">
        <f>VLOOKUP(H627,Outcome!A$2:$B$7,2,FALSE)</f>
        <v>Improved</v>
      </c>
      <c r="L627">
        <f t="shared" si="18"/>
        <v>3</v>
      </c>
      <c r="M627" t="str">
        <f>IF(Labs!E627&gt;120,"High","Normal")</f>
        <v>High</v>
      </c>
      <c r="N627" t="str">
        <f t="shared" si="19"/>
        <v>High Risk</v>
      </c>
    </row>
    <row r="628" spans="1:14" x14ac:dyDescent="0.3">
      <c r="A628">
        <v>627</v>
      </c>
      <c r="B628" t="s">
        <v>432</v>
      </c>
      <c r="C628">
        <v>5</v>
      </c>
      <c r="D628" t="s">
        <v>17</v>
      </c>
      <c r="E628">
        <v>2</v>
      </c>
      <c r="F628" s="1">
        <v>45556</v>
      </c>
      <c r="G628" s="1">
        <v>45562</v>
      </c>
      <c r="H628">
        <v>1</v>
      </c>
      <c r="I628" s="3">
        <v>103854.66</v>
      </c>
      <c r="J628" t="str">
        <f>VLOOKUP(H628,Diagnosis!$A:$B,2,FALSE)</f>
        <v>Diabetes</v>
      </c>
      <c r="K628" t="str">
        <f>VLOOKUP(H628,Outcome!A$2:$B$7,2,FALSE)</f>
        <v>Recovered</v>
      </c>
      <c r="L628">
        <f t="shared" si="18"/>
        <v>6</v>
      </c>
      <c r="M628" t="str">
        <f>IF(Labs!E628&gt;120,"High","Normal")</f>
        <v>High</v>
      </c>
      <c r="N628" t="str">
        <f t="shared" si="19"/>
        <v>low risk</v>
      </c>
    </row>
    <row r="629" spans="1:14" x14ac:dyDescent="0.3">
      <c r="A629">
        <v>628</v>
      </c>
      <c r="B629" t="s">
        <v>363</v>
      </c>
      <c r="C629">
        <v>68</v>
      </c>
      <c r="D629" t="s">
        <v>10</v>
      </c>
      <c r="E629">
        <v>1</v>
      </c>
      <c r="F629" s="1">
        <v>45312</v>
      </c>
      <c r="G629" s="1">
        <v>45319</v>
      </c>
      <c r="H629">
        <v>2</v>
      </c>
      <c r="I629" s="3">
        <v>15080.13</v>
      </c>
      <c r="J629" t="str">
        <f>VLOOKUP(H629,Diagnosis!$A:$B,2,FALSE)</f>
        <v>Hypertension</v>
      </c>
      <c r="K629" t="str">
        <f>VLOOKUP(H629,Outcome!A$2:$B$7,2,FALSE)</f>
        <v>Improved</v>
      </c>
      <c r="L629">
        <f t="shared" si="18"/>
        <v>7</v>
      </c>
      <c r="M629" t="str">
        <f>IF(Labs!E629&gt;120,"High","Normal")</f>
        <v>High</v>
      </c>
      <c r="N629" t="str">
        <f t="shared" si="19"/>
        <v>High Risk</v>
      </c>
    </row>
    <row r="630" spans="1:14" x14ac:dyDescent="0.3">
      <c r="A630">
        <v>629</v>
      </c>
      <c r="B630" t="s">
        <v>291</v>
      </c>
      <c r="C630">
        <v>11</v>
      </c>
      <c r="D630" t="s">
        <v>10</v>
      </c>
      <c r="E630">
        <v>1</v>
      </c>
      <c r="F630" s="1">
        <v>45301</v>
      </c>
      <c r="G630" s="1">
        <v>45318</v>
      </c>
      <c r="H630">
        <v>3</v>
      </c>
      <c r="I630" s="3">
        <v>160551.43</v>
      </c>
      <c r="J630" t="str">
        <f>VLOOKUP(H630,Diagnosis!$A:$B,2,FALSE)</f>
        <v>Asthma</v>
      </c>
      <c r="K630" t="str">
        <f>VLOOKUP(H630,Outcome!A$2:$B$7,2,FALSE)</f>
        <v>Ongoing Treatment</v>
      </c>
      <c r="L630">
        <f t="shared" si="18"/>
        <v>17</v>
      </c>
      <c r="M630" t="str">
        <f>IF(Labs!E630&gt;120,"High","Normal")</f>
        <v>High</v>
      </c>
      <c r="N630" t="str">
        <f t="shared" si="19"/>
        <v>High Risk</v>
      </c>
    </row>
    <row r="631" spans="1:14" x14ac:dyDescent="0.3">
      <c r="A631">
        <v>630</v>
      </c>
      <c r="B631" t="s">
        <v>433</v>
      </c>
      <c r="C631">
        <v>79</v>
      </c>
      <c r="D631" t="s">
        <v>10</v>
      </c>
      <c r="E631">
        <v>9</v>
      </c>
      <c r="F631" s="1">
        <v>44645</v>
      </c>
      <c r="G631" s="1">
        <v>44668</v>
      </c>
      <c r="H631">
        <v>1</v>
      </c>
      <c r="I631" s="3">
        <v>56443.06</v>
      </c>
      <c r="J631" t="str">
        <f>VLOOKUP(H631,Diagnosis!$A:$B,2,FALSE)</f>
        <v>Diabetes</v>
      </c>
      <c r="K631" t="str">
        <f>VLOOKUP(H631,Outcome!A$2:$B$7,2,FALSE)</f>
        <v>Recovered</v>
      </c>
      <c r="L631">
        <f t="shared" si="18"/>
        <v>23</v>
      </c>
      <c r="M631" t="str">
        <f>IF(Labs!E631&gt;120,"High","Normal")</f>
        <v>High</v>
      </c>
      <c r="N631" t="str">
        <f t="shared" si="19"/>
        <v>High Risk</v>
      </c>
    </row>
    <row r="632" spans="1:14" x14ac:dyDescent="0.3">
      <c r="A632">
        <v>631</v>
      </c>
      <c r="B632" t="s">
        <v>434</v>
      </c>
      <c r="C632">
        <v>13</v>
      </c>
      <c r="D632" t="s">
        <v>17</v>
      </c>
      <c r="E632">
        <v>4</v>
      </c>
      <c r="F632" s="1">
        <v>45650</v>
      </c>
      <c r="G632" s="1">
        <v>45662</v>
      </c>
      <c r="H632">
        <v>1</v>
      </c>
      <c r="I632" s="3">
        <v>95899.08</v>
      </c>
      <c r="J632" t="str">
        <f>VLOOKUP(H632,Diagnosis!$A:$B,2,FALSE)</f>
        <v>Diabetes</v>
      </c>
      <c r="K632" t="str">
        <f>VLOOKUP(H632,Outcome!A$2:$B$7,2,FALSE)</f>
        <v>Recovered</v>
      </c>
      <c r="L632">
        <f t="shared" si="18"/>
        <v>12</v>
      </c>
      <c r="M632" t="str">
        <f>IF(Labs!E632&gt;120,"High","Normal")</f>
        <v>High</v>
      </c>
      <c r="N632" t="str">
        <f t="shared" si="19"/>
        <v>low risk</v>
      </c>
    </row>
    <row r="633" spans="1:14" x14ac:dyDescent="0.3">
      <c r="A633">
        <v>632</v>
      </c>
      <c r="B633" t="s">
        <v>435</v>
      </c>
      <c r="C633">
        <v>81</v>
      </c>
      <c r="D633" t="s">
        <v>17</v>
      </c>
      <c r="E633">
        <v>9</v>
      </c>
      <c r="F633" s="1">
        <v>46096</v>
      </c>
      <c r="G633" s="1">
        <v>46113</v>
      </c>
      <c r="H633">
        <v>2</v>
      </c>
      <c r="I633" s="3">
        <v>21228.77</v>
      </c>
      <c r="J633" t="str">
        <f>VLOOKUP(H633,Diagnosis!$A:$B,2,FALSE)</f>
        <v>Hypertension</v>
      </c>
      <c r="K633" t="str">
        <f>VLOOKUP(H633,Outcome!A$2:$B$7,2,FALSE)</f>
        <v>Improved</v>
      </c>
      <c r="L633">
        <f t="shared" si="18"/>
        <v>17</v>
      </c>
      <c r="M633" t="str">
        <f>IF(Labs!E633&gt;120,"High","Normal")</f>
        <v>High</v>
      </c>
      <c r="N633" t="str">
        <f t="shared" si="19"/>
        <v>High Risk</v>
      </c>
    </row>
    <row r="634" spans="1:14" x14ac:dyDescent="0.3">
      <c r="A634">
        <v>633</v>
      </c>
      <c r="B634" t="s">
        <v>123</v>
      </c>
      <c r="C634">
        <v>87</v>
      </c>
      <c r="D634" t="s">
        <v>10</v>
      </c>
      <c r="E634">
        <v>7</v>
      </c>
      <c r="F634" s="1">
        <v>44775</v>
      </c>
      <c r="G634" s="1">
        <v>44780</v>
      </c>
      <c r="H634">
        <v>4</v>
      </c>
      <c r="I634" s="3">
        <v>100118.87</v>
      </c>
      <c r="J634" t="str">
        <f>VLOOKUP(H634,Diagnosis!$A:$B,2,FALSE)</f>
        <v>Pneumonia</v>
      </c>
      <c r="K634" t="str">
        <f>VLOOKUP(H634,Outcome!A$2:$B$7,2,FALSE)</f>
        <v>Referred</v>
      </c>
      <c r="L634">
        <f t="shared" si="18"/>
        <v>5</v>
      </c>
      <c r="M634" t="str">
        <f>IF(Labs!E634&gt;120,"High","Normal")</f>
        <v>High</v>
      </c>
      <c r="N634" t="str">
        <f t="shared" si="19"/>
        <v>High Risk</v>
      </c>
    </row>
    <row r="635" spans="1:14" x14ac:dyDescent="0.3">
      <c r="A635">
        <v>634</v>
      </c>
      <c r="B635" t="s">
        <v>436</v>
      </c>
      <c r="C635">
        <v>85</v>
      </c>
      <c r="D635" t="s">
        <v>17</v>
      </c>
      <c r="E635">
        <v>9</v>
      </c>
      <c r="F635" s="1">
        <v>45790</v>
      </c>
      <c r="G635" s="1">
        <v>45804</v>
      </c>
      <c r="H635">
        <v>5</v>
      </c>
      <c r="I635" s="3">
        <v>162691.07999999999</v>
      </c>
      <c r="J635" t="str">
        <f>VLOOKUP(H635,Diagnosis!$A:$B,2,FALSE)</f>
        <v>Heart Disease</v>
      </c>
      <c r="K635" t="str">
        <f>VLOOKUP(H635,Outcome!A$2:$B$7,2,FALSE)</f>
        <v>Readmitted</v>
      </c>
      <c r="L635">
        <f t="shared" si="18"/>
        <v>14</v>
      </c>
      <c r="M635" t="str">
        <f>IF(Labs!E635&gt;120,"High","Normal")</f>
        <v>High</v>
      </c>
      <c r="N635" t="str">
        <f t="shared" si="19"/>
        <v>High Risk</v>
      </c>
    </row>
    <row r="636" spans="1:14" x14ac:dyDescent="0.3">
      <c r="A636">
        <v>635</v>
      </c>
      <c r="B636" t="s">
        <v>129</v>
      </c>
      <c r="C636">
        <v>48</v>
      </c>
      <c r="D636" t="s">
        <v>10</v>
      </c>
      <c r="E636">
        <v>7</v>
      </c>
      <c r="F636" s="1">
        <v>46253</v>
      </c>
      <c r="G636" s="1">
        <v>46276</v>
      </c>
      <c r="H636">
        <v>1</v>
      </c>
      <c r="I636" s="3">
        <v>45228.25</v>
      </c>
      <c r="J636" t="str">
        <f>VLOOKUP(H636,Diagnosis!$A:$B,2,FALSE)</f>
        <v>Diabetes</v>
      </c>
      <c r="K636" t="str">
        <f>VLOOKUP(H636,Outcome!A$2:$B$7,2,FALSE)</f>
        <v>Recovered</v>
      </c>
      <c r="L636">
        <f t="shared" si="18"/>
        <v>23</v>
      </c>
      <c r="M636" t="str">
        <f>IF(Labs!E636&gt;120,"High","Normal")</f>
        <v>High</v>
      </c>
      <c r="N636" t="str">
        <f t="shared" si="19"/>
        <v>low risk</v>
      </c>
    </row>
    <row r="637" spans="1:14" x14ac:dyDescent="0.3">
      <c r="A637">
        <v>636</v>
      </c>
      <c r="B637" t="s">
        <v>437</v>
      </c>
      <c r="C637">
        <v>49</v>
      </c>
      <c r="D637" t="s">
        <v>10</v>
      </c>
      <c r="E637">
        <v>6</v>
      </c>
      <c r="F637" s="1">
        <v>45488</v>
      </c>
      <c r="G637" s="1">
        <v>45502</v>
      </c>
      <c r="H637">
        <v>6</v>
      </c>
      <c r="I637" s="3">
        <v>2534.7199999999998</v>
      </c>
      <c r="J637" t="str">
        <f>VLOOKUP(H637,Diagnosis!$A:$B,2,FALSE)</f>
        <v>Kidney Disease</v>
      </c>
      <c r="K637" t="str">
        <f>VLOOKUP(H637,Outcome!A$2:$B$7,2,FALSE)</f>
        <v>Deceased</v>
      </c>
      <c r="L637">
        <f t="shared" si="18"/>
        <v>14</v>
      </c>
      <c r="M637" t="str">
        <f>IF(Labs!E637&gt;120,"High","Normal")</f>
        <v>High</v>
      </c>
      <c r="N637" t="str">
        <f t="shared" si="19"/>
        <v>High Risk</v>
      </c>
    </row>
    <row r="638" spans="1:14" x14ac:dyDescent="0.3">
      <c r="A638">
        <v>637</v>
      </c>
      <c r="B638" t="s">
        <v>438</v>
      </c>
      <c r="C638">
        <v>77</v>
      </c>
      <c r="D638" t="s">
        <v>17</v>
      </c>
      <c r="E638">
        <v>9</v>
      </c>
      <c r="F638" s="1">
        <v>44838</v>
      </c>
      <c r="G638" s="1">
        <v>44866</v>
      </c>
      <c r="H638">
        <v>1</v>
      </c>
      <c r="I638" s="3">
        <v>55809.279999999999</v>
      </c>
      <c r="J638" t="str">
        <f>VLOOKUP(H638,Diagnosis!$A:$B,2,FALSE)</f>
        <v>Diabetes</v>
      </c>
      <c r="K638" t="str">
        <f>VLOOKUP(H638,Outcome!A$2:$B$7,2,FALSE)</f>
        <v>Recovered</v>
      </c>
      <c r="L638">
        <f t="shared" si="18"/>
        <v>28</v>
      </c>
      <c r="M638" t="str">
        <f>IF(Labs!E638&gt;120,"High","Normal")</f>
        <v>High</v>
      </c>
      <c r="N638" t="str">
        <f t="shared" si="19"/>
        <v>High Risk</v>
      </c>
    </row>
    <row r="639" spans="1:14" x14ac:dyDescent="0.3">
      <c r="A639">
        <v>638</v>
      </c>
      <c r="B639" t="s">
        <v>65</v>
      </c>
      <c r="C639">
        <v>41</v>
      </c>
      <c r="D639" t="s">
        <v>17</v>
      </c>
      <c r="E639">
        <v>5</v>
      </c>
      <c r="F639" s="1">
        <v>45695</v>
      </c>
      <c r="G639" s="1">
        <v>45711</v>
      </c>
      <c r="H639">
        <v>2</v>
      </c>
      <c r="I639" s="3">
        <v>166851.23000000001</v>
      </c>
      <c r="J639" t="str">
        <f>VLOOKUP(H639,Diagnosis!$A:$B,2,FALSE)</f>
        <v>Hypertension</v>
      </c>
      <c r="K639" t="str">
        <f>VLOOKUP(H639,Outcome!A$2:$B$7,2,FALSE)</f>
        <v>Improved</v>
      </c>
      <c r="L639">
        <f t="shared" si="18"/>
        <v>16</v>
      </c>
      <c r="M639" t="str">
        <f>IF(Labs!E639&gt;120,"High","Normal")</f>
        <v>High</v>
      </c>
      <c r="N639" t="str">
        <f t="shared" si="19"/>
        <v>High Risk</v>
      </c>
    </row>
    <row r="640" spans="1:14" x14ac:dyDescent="0.3">
      <c r="A640">
        <v>639</v>
      </c>
      <c r="B640" t="s">
        <v>439</v>
      </c>
      <c r="C640">
        <v>5</v>
      </c>
      <c r="D640" t="s">
        <v>10</v>
      </c>
      <c r="E640">
        <v>6</v>
      </c>
      <c r="F640" s="1">
        <v>44881</v>
      </c>
      <c r="G640" s="1">
        <v>44885</v>
      </c>
      <c r="H640">
        <v>1</v>
      </c>
      <c r="I640" s="3">
        <v>160408.5</v>
      </c>
      <c r="J640" t="str">
        <f>VLOOKUP(H640,Diagnosis!$A:$B,2,FALSE)</f>
        <v>Diabetes</v>
      </c>
      <c r="K640" t="str">
        <f>VLOOKUP(H640,Outcome!A$2:$B$7,2,FALSE)</f>
        <v>Recovered</v>
      </c>
      <c r="L640">
        <f t="shared" si="18"/>
        <v>4</v>
      </c>
      <c r="M640" t="str">
        <f>IF(Labs!E640&gt;120,"High","Normal")</f>
        <v>High</v>
      </c>
      <c r="N640" t="str">
        <f t="shared" si="19"/>
        <v>low risk</v>
      </c>
    </row>
    <row r="641" spans="1:14" x14ac:dyDescent="0.3">
      <c r="A641">
        <v>640</v>
      </c>
      <c r="B641" t="s">
        <v>440</v>
      </c>
      <c r="C641">
        <v>33</v>
      </c>
      <c r="D641" t="s">
        <v>10</v>
      </c>
      <c r="E641">
        <v>2</v>
      </c>
      <c r="F641" s="1">
        <v>45730</v>
      </c>
      <c r="G641" s="1">
        <v>45742</v>
      </c>
      <c r="H641">
        <v>2</v>
      </c>
      <c r="I641" s="3">
        <v>41095.120000000003</v>
      </c>
      <c r="J641" t="str">
        <f>VLOOKUP(H641,Diagnosis!$A:$B,2,FALSE)</f>
        <v>Hypertension</v>
      </c>
      <c r="K641" t="str">
        <f>VLOOKUP(H641,Outcome!A$2:$B$7,2,FALSE)</f>
        <v>Improved</v>
      </c>
      <c r="L641">
        <f t="shared" si="18"/>
        <v>12</v>
      </c>
      <c r="M641" t="str">
        <f>IF(Labs!E641&gt;120,"High","Normal")</f>
        <v>High</v>
      </c>
      <c r="N641" t="str">
        <f t="shared" si="19"/>
        <v>High Risk</v>
      </c>
    </row>
    <row r="642" spans="1:14" x14ac:dyDescent="0.3">
      <c r="A642">
        <v>641</v>
      </c>
      <c r="B642" t="s">
        <v>441</v>
      </c>
      <c r="C642">
        <v>62</v>
      </c>
      <c r="D642" t="s">
        <v>17</v>
      </c>
      <c r="E642">
        <v>8</v>
      </c>
      <c r="F642" s="1">
        <v>46253</v>
      </c>
      <c r="G642" s="1">
        <v>46281</v>
      </c>
      <c r="H642">
        <v>3</v>
      </c>
      <c r="I642" s="3">
        <v>104781.26</v>
      </c>
      <c r="J642" t="str">
        <f>VLOOKUP(H642,Diagnosis!$A:$B,2,FALSE)</f>
        <v>Asthma</v>
      </c>
      <c r="K642" t="str">
        <f>VLOOKUP(H642,Outcome!A$2:$B$7,2,FALSE)</f>
        <v>Ongoing Treatment</v>
      </c>
      <c r="L642">
        <f t="shared" si="18"/>
        <v>28</v>
      </c>
      <c r="M642" t="str">
        <f>IF(Labs!E642&gt;120,"High","Normal")</f>
        <v>High</v>
      </c>
      <c r="N642" t="str">
        <f t="shared" si="19"/>
        <v>High Risk</v>
      </c>
    </row>
    <row r="643" spans="1:14" x14ac:dyDescent="0.3">
      <c r="A643">
        <v>642</v>
      </c>
      <c r="B643" t="s">
        <v>442</v>
      </c>
      <c r="C643">
        <v>83</v>
      </c>
      <c r="D643" t="s">
        <v>10</v>
      </c>
      <c r="E643">
        <v>1</v>
      </c>
      <c r="F643" s="1">
        <v>46058</v>
      </c>
      <c r="G643" s="1">
        <v>46083</v>
      </c>
      <c r="H643">
        <v>2</v>
      </c>
      <c r="I643" s="3">
        <v>16429.740000000002</v>
      </c>
      <c r="J643" t="str">
        <f>VLOOKUP(H643,Diagnosis!$A:$B,2,FALSE)</f>
        <v>Hypertension</v>
      </c>
      <c r="K643" t="str">
        <f>VLOOKUP(H643,Outcome!A$2:$B$7,2,FALSE)</f>
        <v>Improved</v>
      </c>
      <c r="L643">
        <f t="shared" ref="L643:L706" si="20">DATEDIF(F643,G643,"d")</f>
        <v>25</v>
      </c>
      <c r="M643" t="str">
        <f>IF(Labs!E643&gt;120,"High","Normal")</f>
        <v>High</v>
      </c>
      <c r="N643" t="str">
        <f t="shared" si="19"/>
        <v>High Risk</v>
      </c>
    </row>
    <row r="644" spans="1:14" x14ac:dyDescent="0.3">
      <c r="A644">
        <v>643</v>
      </c>
      <c r="B644" t="s">
        <v>182</v>
      </c>
      <c r="C644">
        <v>45</v>
      </c>
      <c r="D644" t="s">
        <v>10</v>
      </c>
      <c r="E644">
        <v>7</v>
      </c>
      <c r="F644" s="1">
        <v>44808</v>
      </c>
      <c r="G644" s="1">
        <v>44835</v>
      </c>
      <c r="H644">
        <v>4</v>
      </c>
      <c r="I644" s="3">
        <v>135212.96</v>
      </c>
      <c r="J644" t="str">
        <f>VLOOKUP(H644,Diagnosis!$A:$B,2,FALSE)</f>
        <v>Pneumonia</v>
      </c>
      <c r="K644" t="str">
        <f>VLOOKUP(H644,Outcome!A$2:$B$7,2,FALSE)</f>
        <v>Referred</v>
      </c>
      <c r="L644">
        <f t="shared" si="20"/>
        <v>27</v>
      </c>
      <c r="M644" t="str">
        <f>IF(Labs!E644&gt;120,"High","Normal")</f>
        <v>High</v>
      </c>
      <c r="N644" t="str">
        <f t="shared" ref="N644:N707" si="21">IF(OR(C644&gt;65,H644&lt;&gt;1),"High Risk","low risk")</f>
        <v>High Risk</v>
      </c>
    </row>
    <row r="645" spans="1:14" x14ac:dyDescent="0.3">
      <c r="A645">
        <v>644</v>
      </c>
      <c r="B645" t="s">
        <v>443</v>
      </c>
      <c r="C645">
        <v>82</v>
      </c>
      <c r="D645" t="s">
        <v>10</v>
      </c>
      <c r="E645">
        <v>1</v>
      </c>
      <c r="F645" s="1">
        <v>45186</v>
      </c>
      <c r="G645" s="1">
        <v>45202</v>
      </c>
      <c r="H645">
        <v>1</v>
      </c>
      <c r="I645" s="3">
        <v>98337.53</v>
      </c>
      <c r="J645" t="str">
        <f>VLOOKUP(H645,Diagnosis!$A:$B,2,FALSE)</f>
        <v>Diabetes</v>
      </c>
      <c r="K645" t="str">
        <f>VLOOKUP(H645,Outcome!A$2:$B$7,2,FALSE)</f>
        <v>Recovered</v>
      </c>
      <c r="L645">
        <f t="shared" si="20"/>
        <v>16</v>
      </c>
      <c r="M645" t="str">
        <f>IF(Labs!E645&gt;120,"High","Normal")</f>
        <v>High</v>
      </c>
      <c r="N645" t="str">
        <f t="shared" si="21"/>
        <v>High Risk</v>
      </c>
    </row>
    <row r="646" spans="1:14" x14ac:dyDescent="0.3">
      <c r="A646">
        <v>645</v>
      </c>
      <c r="B646" t="s">
        <v>444</v>
      </c>
      <c r="C646">
        <v>65</v>
      </c>
      <c r="D646" t="s">
        <v>17</v>
      </c>
      <c r="E646">
        <v>3</v>
      </c>
      <c r="F646" s="1">
        <v>44665</v>
      </c>
      <c r="G646" s="1">
        <v>44686</v>
      </c>
      <c r="H646">
        <v>3</v>
      </c>
      <c r="I646" s="3">
        <v>72236.679999999993</v>
      </c>
      <c r="J646" t="str">
        <f>VLOOKUP(H646,Diagnosis!$A:$B,2,FALSE)</f>
        <v>Asthma</v>
      </c>
      <c r="K646" t="str">
        <f>VLOOKUP(H646,Outcome!A$2:$B$7,2,FALSE)</f>
        <v>Ongoing Treatment</v>
      </c>
      <c r="L646">
        <f t="shared" si="20"/>
        <v>21</v>
      </c>
      <c r="M646" t="str">
        <f>IF(Labs!E646&gt;120,"High","Normal")</f>
        <v>High</v>
      </c>
      <c r="N646" t="str">
        <f t="shared" si="21"/>
        <v>High Risk</v>
      </c>
    </row>
    <row r="647" spans="1:14" x14ac:dyDescent="0.3">
      <c r="A647">
        <v>646</v>
      </c>
      <c r="B647" t="s">
        <v>171</v>
      </c>
      <c r="C647">
        <v>74</v>
      </c>
      <c r="D647" t="s">
        <v>17</v>
      </c>
      <c r="E647">
        <v>4</v>
      </c>
      <c r="F647" s="1">
        <v>45446</v>
      </c>
      <c r="G647" s="1">
        <v>45455</v>
      </c>
      <c r="H647">
        <v>4</v>
      </c>
      <c r="I647" s="3">
        <v>28772.2</v>
      </c>
      <c r="J647" t="str">
        <f>VLOOKUP(H647,Diagnosis!$A:$B,2,FALSE)</f>
        <v>Pneumonia</v>
      </c>
      <c r="K647" t="str">
        <f>VLOOKUP(H647,Outcome!A$2:$B$7,2,FALSE)</f>
        <v>Referred</v>
      </c>
      <c r="L647">
        <f t="shared" si="20"/>
        <v>9</v>
      </c>
      <c r="M647" t="str">
        <f>IF(Labs!E647&gt;120,"High","Normal")</f>
        <v>High</v>
      </c>
      <c r="N647" t="str">
        <f t="shared" si="21"/>
        <v>High Risk</v>
      </c>
    </row>
    <row r="648" spans="1:14" x14ac:dyDescent="0.3">
      <c r="A648">
        <v>647</v>
      </c>
      <c r="B648" t="s">
        <v>445</v>
      </c>
      <c r="C648">
        <v>61</v>
      </c>
      <c r="D648" t="s">
        <v>17</v>
      </c>
      <c r="E648">
        <v>9</v>
      </c>
      <c r="F648" s="1">
        <v>45379</v>
      </c>
      <c r="G648" s="1">
        <v>45387</v>
      </c>
      <c r="H648">
        <v>1</v>
      </c>
      <c r="I648" s="3">
        <v>91573.6</v>
      </c>
      <c r="J648" t="str">
        <f>VLOOKUP(H648,Diagnosis!$A:$B,2,FALSE)</f>
        <v>Diabetes</v>
      </c>
      <c r="K648" t="str">
        <f>VLOOKUP(H648,Outcome!A$2:$B$7,2,FALSE)</f>
        <v>Recovered</v>
      </c>
      <c r="L648">
        <f t="shared" si="20"/>
        <v>8</v>
      </c>
      <c r="M648" t="str">
        <f>IF(Labs!E648&gt;120,"High","Normal")</f>
        <v>High</v>
      </c>
      <c r="N648" t="str">
        <f t="shared" si="21"/>
        <v>low risk</v>
      </c>
    </row>
    <row r="649" spans="1:14" x14ac:dyDescent="0.3">
      <c r="A649">
        <v>648</v>
      </c>
      <c r="B649" t="s">
        <v>295</v>
      </c>
      <c r="C649">
        <v>62</v>
      </c>
      <c r="D649" t="s">
        <v>17</v>
      </c>
      <c r="E649">
        <v>8</v>
      </c>
      <c r="F649" s="1">
        <v>45371</v>
      </c>
      <c r="G649" s="1">
        <v>45391</v>
      </c>
      <c r="H649">
        <v>2</v>
      </c>
      <c r="I649" s="3">
        <v>102107.25</v>
      </c>
      <c r="J649" t="str">
        <f>VLOOKUP(H649,Diagnosis!$A:$B,2,FALSE)</f>
        <v>Hypertension</v>
      </c>
      <c r="K649" t="str">
        <f>VLOOKUP(H649,Outcome!A$2:$B$7,2,FALSE)</f>
        <v>Improved</v>
      </c>
      <c r="L649">
        <f t="shared" si="20"/>
        <v>20</v>
      </c>
      <c r="M649" t="str">
        <f>IF(Labs!E649&gt;120,"High","Normal")</f>
        <v>High</v>
      </c>
      <c r="N649" t="str">
        <f t="shared" si="21"/>
        <v>High Risk</v>
      </c>
    </row>
    <row r="650" spans="1:14" x14ac:dyDescent="0.3">
      <c r="A650">
        <v>649</v>
      </c>
      <c r="B650" t="s">
        <v>315</v>
      </c>
      <c r="C650">
        <v>32</v>
      </c>
      <c r="D650" t="s">
        <v>17</v>
      </c>
      <c r="E650">
        <v>5</v>
      </c>
      <c r="F650" s="1">
        <v>46152</v>
      </c>
      <c r="G650" s="1">
        <v>46165</v>
      </c>
      <c r="H650">
        <v>1</v>
      </c>
      <c r="I650" s="3">
        <v>166534.51</v>
      </c>
      <c r="J650" t="str">
        <f>VLOOKUP(H650,Diagnosis!$A:$B,2,FALSE)</f>
        <v>Diabetes</v>
      </c>
      <c r="K650" t="str">
        <f>VLOOKUP(H650,Outcome!A$2:$B$7,2,FALSE)</f>
        <v>Recovered</v>
      </c>
      <c r="L650">
        <f t="shared" si="20"/>
        <v>13</v>
      </c>
      <c r="M650" t="str">
        <f>IF(Labs!E650&gt;120,"High","Normal")</f>
        <v>High</v>
      </c>
      <c r="N650" t="str">
        <f t="shared" si="21"/>
        <v>low risk</v>
      </c>
    </row>
    <row r="651" spans="1:14" x14ac:dyDescent="0.3">
      <c r="A651">
        <v>650</v>
      </c>
      <c r="B651" t="s">
        <v>446</v>
      </c>
      <c r="C651">
        <v>86</v>
      </c>
      <c r="D651" t="s">
        <v>10</v>
      </c>
      <c r="E651">
        <v>7</v>
      </c>
      <c r="F651" s="1">
        <v>45310</v>
      </c>
      <c r="G651" s="1">
        <v>45321</v>
      </c>
      <c r="H651">
        <v>1</v>
      </c>
      <c r="I651" s="3">
        <v>63653.17</v>
      </c>
      <c r="J651" t="str">
        <f>VLOOKUP(H651,Diagnosis!$A:$B,2,FALSE)</f>
        <v>Diabetes</v>
      </c>
      <c r="K651" t="str">
        <f>VLOOKUP(H651,Outcome!A$2:$B$7,2,FALSE)</f>
        <v>Recovered</v>
      </c>
      <c r="L651">
        <f t="shared" si="20"/>
        <v>11</v>
      </c>
      <c r="M651" t="str">
        <f>IF(Labs!E651&gt;120,"High","Normal")</f>
        <v>High</v>
      </c>
      <c r="N651" t="str">
        <f t="shared" si="21"/>
        <v>High Risk</v>
      </c>
    </row>
    <row r="652" spans="1:14" x14ac:dyDescent="0.3">
      <c r="A652">
        <v>651</v>
      </c>
      <c r="B652" t="s">
        <v>447</v>
      </c>
      <c r="C652">
        <v>22</v>
      </c>
      <c r="D652" t="s">
        <v>10</v>
      </c>
      <c r="E652">
        <v>10</v>
      </c>
      <c r="F652" s="1">
        <v>46244</v>
      </c>
      <c r="G652" s="1">
        <v>46269</v>
      </c>
      <c r="H652">
        <v>2</v>
      </c>
      <c r="I652" s="3">
        <v>28382.78</v>
      </c>
      <c r="J652" t="str">
        <f>VLOOKUP(H652,Diagnosis!$A:$B,2,FALSE)</f>
        <v>Hypertension</v>
      </c>
      <c r="K652" t="str">
        <f>VLOOKUP(H652,Outcome!A$2:$B$7,2,FALSE)</f>
        <v>Improved</v>
      </c>
      <c r="L652">
        <f t="shared" si="20"/>
        <v>25</v>
      </c>
      <c r="M652" t="str">
        <f>IF(Labs!E652&gt;120,"High","Normal")</f>
        <v>High</v>
      </c>
      <c r="N652" t="str">
        <f t="shared" si="21"/>
        <v>High Risk</v>
      </c>
    </row>
    <row r="653" spans="1:14" x14ac:dyDescent="0.3">
      <c r="A653">
        <v>652</v>
      </c>
      <c r="B653" t="s">
        <v>448</v>
      </c>
      <c r="C653">
        <v>26</v>
      </c>
      <c r="D653" t="s">
        <v>10</v>
      </c>
      <c r="E653">
        <v>3</v>
      </c>
      <c r="F653" s="1">
        <v>46113</v>
      </c>
      <c r="G653" s="1">
        <v>46136</v>
      </c>
      <c r="H653">
        <v>5</v>
      </c>
      <c r="I653" s="3">
        <v>22445.98</v>
      </c>
      <c r="J653" t="str">
        <f>VLOOKUP(H653,Diagnosis!$A:$B,2,FALSE)</f>
        <v>Heart Disease</v>
      </c>
      <c r="K653" t="str">
        <f>VLOOKUP(H653,Outcome!A$2:$B$7,2,FALSE)</f>
        <v>Readmitted</v>
      </c>
      <c r="L653">
        <f t="shared" si="20"/>
        <v>23</v>
      </c>
      <c r="M653" t="str">
        <f>IF(Labs!E653&gt;120,"High","Normal")</f>
        <v>High</v>
      </c>
      <c r="N653" t="str">
        <f t="shared" si="21"/>
        <v>High Risk</v>
      </c>
    </row>
    <row r="654" spans="1:14" x14ac:dyDescent="0.3">
      <c r="A654">
        <v>653</v>
      </c>
      <c r="B654" t="s">
        <v>449</v>
      </c>
      <c r="C654">
        <v>80</v>
      </c>
      <c r="D654" t="s">
        <v>17</v>
      </c>
      <c r="E654">
        <v>5</v>
      </c>
      <c r="F654" s="1">
        <v>44590</v>
      </c>
      <c r="G654" s="1">
        <v>44600</v>
      </c>
      <c r="H654">
        <v>3</v>
      </c>
      <c r="I654" s="3">
        <v>22251.84</v>
      </c>
      <c r="J654" t="str">
        <f>VLOOKUP(H654,Diagnosis!$A:$B,2,FALSE)</f>
        <v>Asthma</v>
      </c>
      <c r="K654" t="str">
        <f>VLOOKUP(H654,Outcome!A$2:$B$7,2,FALSE)</f>
        <v>Ongoing Treatment</v>
      </c>
      <c r="L654">
        <f t="shared" si="20"/>
        <v>10</v>
      </c>
      <c r="M654" t="str">
        <f>IF(Labs!E654&gt;120,"High","Normal")</f>
        <v>High</v>
      </c>
      <c r="N654" t="str">
        <f t="shared" si="21"/>
        <v>High Risk</v>
      </c>
    </row>
    <row r="655" spans="1:14" x14ac:dyDescent="0.3">
      <c r="A655">
        <v>654</v>
      </c>
      <c r="B655" t="s">
        <v>450</v>
      </c>
      <c r="C655">
        <v>3</v>
      </c>
      <c r="D655" t="s">
        <v>10</v>
      </c>
      <c r="E655">
        <v>4</v>
      </c>
      <c r="F655" s="1">
        <v>46077</v>
      </c>
      <c r="G655" s="1">
        <v>46094</v>
      </c>
      <c r="H655">
        <v>1</v>
      </c>
      <c r="I655" s="3">
        <v>99490.3</v>
      </c>
      <c r="J655" t="str">
        <f>VLOOKUP(H655,Diagnosis!$A:$B,2,FALSE)</f>
        <v>Diabetes</v>
      </c>
      <c r="K655" t="str">
        <f>VLOOKUP(H655,Outcome!A$2:$B$7,2,FALSE)</f>
        <v>Recovered</v>
      </c>
      <c r="L655">
        <f t="shared" si="20"/>
        <v>17</v>
      </c>
      <c r="M655" t="str">
        <f>IF(Labs!E655&gt;120,"High","Normal")</f>
        <v>High</v>
      </c>
      <c r="N655" t="str">
        <f t="shared" si="21"/>
        <v>low risk</v>
      </c>
    </row>
    <row r="656" spans="1:14" x14ac:dyDescent="0.3">
      <c r="A656">
        <v>655</v>
      </c>
      <c r="B656" t="s">
        <v>248</v>
      </c>
      <c r="C656">
        <v>62</v>
      </c>
      <c r="D656" t="s">
        <v>17</v>
      </c>
      <c r="E656">
        <v>1</v>
      </c>
      <c r="F656" s="1">
        <v>45333</v>
      </c>
      <c r="G656" s="1">
        <v>45351</v>
      </c>
      <c r="H656">
        <v>5</v>
      </c>
      <c r="I656" s="3">
        <v>96006.84</v>
      </c>
      <c r="J656" t="str">
        <f>VLOOKUP(H656,Diagnosis!$A:$B,2,FALSE)</f>
        <v>Heart Disease</v>
      </c>
      <c r="K656" t="str">
        <f>VLOOKUP(H656,Outcome!A$2:$B$7,2,FALSE)</f>
        <v>Readmitted</v>
      </c>
      <c r="L656">
        <f t="shared" si="20"/>
        <v>18</v>
      </c>
      <c r="M656" t="str">
        <f>IF(Labs!E656&gt;120,"High","Normal")</f>
        <v>High</v>
      </c>
      <c r="N656" t="str">
        <f t="shared" si="21"/>
        <v>High Risk</v>
      </c>
    </row>
    <row r="657" spans="1:14" x14ac:dyDescent="0.3">
      <c r="A657">
        <v>656</v>
      </c>
      <c r="B657" t="s">
        <v>58</v>
      </c>
      <c r="C657">
        <v>8</v>
      </c>
      <c r="D657" t="s">
        <v>10</v>
      </c>
      <c r="E657">
        <v>4</v>
      </c>
      <c r="F657" s="1">
        <v>46178</v>
      </c>
      <c r="G657" s="1">
        <v>46200</v>
      </c>
      <c r="H657">
        <v>2</v>
      </c>
      <c r="I657" s="3">
        <v>11922.63</v>
      </c>
      <c r="J657" t="str">
        <f>VLOOKUP(H657,Diagnosis!$A:$B,2,FALSE)</f>
        <v>Hypertension</v>
      </c>
      <c r="K657" t="str">
        <f>VLOOKUP(H657,Outcome!A$2:$B$7,2,FALSE)</f>
        <v>Improved</v>
      </c>
      <c r="L657">
        <f t="shared" si="20"/>
        <v>22</v>
      </c>
      <c r="M657" t="str">
        <f>IF(Labs!E657&gt;120,"High","Normal")</f>
        <v>High</v>
      </c>
      <c r="N657" t="str">
        <f t="shared" si="21"/>
        <v>High Risk</v>
      </c>
    </row>
    <row r="658" spans="1:14" x14ac:dyDescent="0.3">
      <c r="A658">
        <v>657</v>
      </c>
      <c r="B658" t="s">
        <v>366</v>
      </c>
      <c r="C658">
        <v>50</v>
      </c>
      <c r="D658" t="s">
        <v>10</v>
      </c>
      <c r="E658">
        <v>6</v>
      </c>
      <c r="F658" s="1">
        <v>44782</v>
      </c>
      <c r="G658" s="1">
        <v>44782</v>
      </c>
      <c r="H658">
        <v>1</v>
      </c>
      <c r="I658" s="3">
        <v>159303.91</v>
      </c>
      <c r="J658" t="str">
        <f>VLOOKUP(H658,Diagnosis!$A:$B,2,FALSE)</f>
        <v>Diabetes</v>
      </c>
      <c r="K658" t="str">
        <f>VLOOKUP(H658,Outcome!A$2:$B$7,2,FALSE)</f>
        <v>Recovered</v>
      </c>
      <c r="L658">
        <f t="shared" si="20"/>
        <v>0</v>
      </c>
      <c r="M658" t="str">
        <f>IF(Labs!E658&gt;120,"High","Normal")</f>
        <v>High</v>
      </c>
      <c r="N658" t="str">
        <f t="shared" si="21"/>
        <v>low risk</v>
      </c>
    </row>
    <row r="659" spans="1:14" x14ac:dyDescent="0.3">
      <c r="A659">
        <v>658</v>
      </c>
      <c r="B659" t="s">
        <v>421</v>
      </c>
      <c r="C659">
        <v>49</v>
      </c>
      <c r="D659" t="s">
        <v>17</v>
      </c>
      <c r="E659">
        <v>6</v>
      </c>
      <c r="F659" s="1">
        <v>45554</v>
      </c>
      <c r="G659" s="1">
        <v>45581</v>
      </c>
      <c r="H659">
        <v>2</v>
      </c>
      <c r="I659" s="3">
        <v>18123.669999999998</v>
      </c>
      <c r="J659" t="str">
        <f>VLOOKUP(H659,Diagnosis!$A:$B,2,FALSE)</f>
        <v>Hypertension</v>
      </c>
      <c r="K659" t="str">
        <f>VLOOKUP(H659,Outcome!A$2:$B$7,2,FALSE)</f>
        <v>Improved</v>
      </c>
      <c r="L659">
        <f t="shared" si="20"/>
        <v>27</v>
      </c>
      <c r="M659" t="str">
        <f>IF(Labs!E659&gt;120,"High","Normal")</f>
        <v>High</v>
      </c>
      <c r="N659" t="str">
        <f t="shared" si="21"/>
        <v>High Risk</v>
      </c>
    </row>
    <row r="660" spans="1:14" x14ac:dyDescent="0.3">
      <c r="A660">
        <v>659</v>
      </c>
      <c r="B660" t="s">
        <v>451</v>
      </c>
      <c r="C660">
        <v>59</v>
      </c>
      <c r="D660" t="s">
        <v>17</v>
      </c>
      <c r="E660">
        <v>1</v>
      </c>
      <c r="F660" s="1">
        <v>45068</v>
      </c>
      <c r="G660" s="1">
        <v>45097</v>
      </c>
      <c r="H660">
        <v>2</v>
      </c>
      <c r="I660" s="3">
        <v>61708.61</v>
      </c>
      <c r="J660" t="str">
        <f>VLOOKUP(H660,Diagnosis!$A:$B,2,FALSE)</f>
        <v>Hypertension</v>
      </c>
      <c r="K660" t="str">
        <f>VLOOKUP(H660,Outcome!A$2:$B$7,2,FALSE)</f>
        <v>Improved</v>
      </c>
      <c r="L660">
        <f t="shared" si="20"/>
        <v>29</v>
      </c>
      <c r="M660" t="str">
        <f>IF(Labs!E660&gt;120,"High","Normal")</f>
        <v>High</v>
      </c>
      <c r="N660" t="str">
        <f t="shared" si="21"/>
        <v>High Risk</v>
      </c>
    </row>
    <row r="661" spans="1:14" x14ac:dyDescent="0.3">
      <c r="A661">
        <v>660</v>
      </c>
      <c r="B661" t="s">
        <v>452</v>
      </c>
      <c r="C661">
        <v>3</v>
      </c>
      <c r="D661" t="s">
        <v>10</v>
      </c>
      <c r="E661">
        <v>6</v>
      </c>
      <c r="F661" s="1">
        <v>45289</v>
      </c>
      <c r="G661" s="1">
        <v>45309</v>
      </c>
      <c r="H661">
        <v>1</v>
      </c>
      <c r="I661" s="3">
        <v>179289.01</v>
      </c>
      <c r="J661" t="str">
        <f>VLOOKUP(H661,Diagnosis!$A:$B,2,FALSE)</f>
        <v>Diabetes</v>
      </c>
      <c r="K661" t="str">
        <f>VLOOKUP(H661,Outcome!A$2:$B$7,2,FALSE)</f>
        <v>Recovered</v>
      </c>
      <c r="L661">
        <f t="shared" si="20"/>
        <v>20</v>
      </c>
      <c r="M661" t="str">
        <f>IF(Labs!E661&gt;120,"High","Normal")</f>
        <v>High</v>
      </c>
      <c r="N661" t="str">
        <f t="shared" si="21"/>
        <v>low risk</v>
      </c>
    </row>
    <row r="662" spans="1:14" x14ac:dyDescent="0.3">
      <c r="A662">
        <v>661</v>
      </c>
      <c r="B662" t="s">
        <v>111</v>
      </c>
      <c r="C662">
        <v>8</v>
      </c>
      <c r="D662" t="s">
        <v>10</v>
      </c>
      <c r="E662">
        <v>7</v>
      </c>
      <c r="F662" s="1">
        <v>46230</v>
      </c>
      <c r="G662" s="1">
        <v>46230</v>
      </c>
      <c r="H662">
        <v>5</v>
      </c>
      <c r="I662" s="3">
        <v>170968.16</v>
      </c>
      <c r="J662" t="str">
        <f>VLOOKUP(H662,Diagnosis!$A:$B,2,FALSE)</f>
        <v>Heart Disease</v>
      </c>
      <c r="K662" t="str">
        <f>VLOOKUP(H662,Outcome!A$2:$B$7,2,FALSE)</f>
        <v>Readmitted</v>
      </c>
      <c r="L662">
        <f t="shared" si="20"/>
        <v>0</v>
      </c>
      <c r="M662" t="str">
        <f>IF(Labs!E662&gt;120,"High","Normal")</f>
        <v>High</v>
      </c>
      <c r="N662" t="str">
        <f t="shared" si="21"/>
        <v>High Risk</v>
      </c>
    </row>
    <row r="663" spans="1:14" x14ac:dyDescent="0.3">
      <c r="A663">
        <v>662</v>
      </c>
      <c r="B663" t="s">
        <v>453</v>
      </c>
      <c r="C663">
        <v>44</v>
      </c>
      <c r="D663" t="s">
        <v>10</v>
      </c>
      <c r="E663">
        <v>3</v>
      </c>
      <c r="F663" s="1">
        <v>44741</v>
      </c>
      <c r="G663" s="1">
        <v>44764</v>
      </c>
      <c r="H663">
        <v>2</v>
      </c>
      <c r="I663" s="3">
        <v>173007.51</v>
      </c>
      <c r="J663" t="str">
        <f>VLOOKUP(H663,Diagnosis!$A:$B,2,FALSE)</f>
        <v>Hypertension</v>
      </c>
      <c r="K663" t="str">
        <f>VLOOKUP(H663,Outcome!A$2:$B$7,2,FALSE)</f>
        <v>Improved</v>
      </c>
      <c r="L663">
        <f t="shared" si="20"/>
        <v>23</v>
      </c>
      <c r="M663" t="str">
        <f>IF(Labs!E663&gt;120,"High","Normal")</f>
        <v>High</v>
      </c>
      <c r="N663" t="str">
        <f t="shared" si="21"/>
        <v>High Risk</v>
      </c>
    </row>
    <row r="664" spans="1:14" x14ac:dyDescent="0.3">
      <c r="A664">
        <v>663</v>
      </c>
      <c r="B664" t="s">
        <v>454</v>
      </c>
      <c r="C664">
        <v>54</v>
      </c>
      <c r="D664" t="s">
        <v>17</v>
      </c>
      <c r="E664">
        <v>10</v>
      </c>
      <c r="F664" s="1">
        <v>44874</v>
      </c>
      <c r="G664" s="1">
        <v>44887</v>
      </c>
      <c r="H664">
        <v>6</v>
      </c>
      <c r="I664" s="3">
        <v>163978.03</v>
      </c>
      <c r="J664" t="str">
        <f>VLOOKUP(H664,Diagnosis!$A:$B,2,FALSE)</f>
        <v>Kidney Disease</v>
      </c>
      <c r="K664" t="str">
        <f>VLOOKUP(H664,Outcome!A$2:$B$7,2,FALSE)</f>
        <v>Deceased</v>
      </c>
      <c r="L664">
        <f t="shared" si="20"/>
        <v>13</v>
      </c>
      <c r="M664" t="str">
        <f>IF(Labs!E664&gt;120,"High","Normal")</f>
        <v>High</v>
      </c>
      <c r="N664" t="str">
        <f t="shared" si="21"/>
        <v>High Risk</v>
      </c>
    </row>
    <row r="665" spans="1:14" x14ac:dyDescent="0.3">
      <c r="A665">
        <v>664</v>
      </c>
      <c r="B665" t="s">
        <v>455</v>
      </c>
      <c r="C665">
        <v>70</v>
      </c>
      <c r="D665" t="s">
        <v>17</v>
      </c>
      <c r="E665">
        <v>4</v>
      </c>
      <c r="F665" s="1">
        <v>45898</v>
      </c>
      <c r="G665" s="1">
        <v>45902</v>
      </c>
      <c r="H665">
        <v>2</v>
      </c>
      <c r="I665" s="3">
        <v>123918.63</v>
      </c>
      <c r="J665" t="str">
        <f>VLOOKUP(H665,Diagnosis!$A:$B,2,FALSE)</f>
        <v>Hypertension</v>
      </c>
      <c r="K665" t="str">
        <f>VLOOKUP(H665,Outcome!A$2:$B$7,2,FALSE)</f>
        <v>Improved</v>
      </c>
      <c r="L665">
        <f t="shared" si="20"/>
        <v>4</v>
      </c>
      <c r="M665" t="str">
        <f>IF(Labs!E665&gt;120,"High","Normal")</f>
        <v>High</v>
      </c>
      <c r="N665" t="str">
        <f t="shared" si="21"/>
        <v>High Risk</v>
      </c>
    </row>
    <row r="666" spans="1:14" x14ac:dyDescent="0.3">
      <c r="A666">
        <v>665</v>
      </c>
      <c r="B666" t="s">
        <v>456</v>
      </c>
      <c r="C666">
        <v>40</v>
      </c>
      <c r="D666" t="s">
        <v>17</v>
      </c>
      <c r="E666">
        <v>7</v>
      </c>
      <c r="F666" s="1">
        <v>46139</v>
      </c>
      <c r="G666" s="1">
        <v>46143</v>
      </c>
      <c r="H666">
        <v>3</v>
      </c>
      <c r="I666" s="3">
        <v>102759.86</v>
      </c>
      <c r="J666" t="str">
        <f>VLOOKUP(H666,Diagnosis!$A:$B,2,FALSE)</f>
        <v>Asthma</v>
      </c>
      <c r="K666" t="str">
        <f>VLOOKUP(H666,Outcome!A$2:$B$7,2,FALSE)</f>
        <v>Ongoing Treatment</v>
      </c>
      <c r="L666">
        <f t="shared" si="20"/>
        <v>4</v>
      </c>
      <c r="M666" t="str">
        <f>IF(Labs!E666&gt;120,"High","Normal")</f>
        <v>High</v>
      </c>
      <c r="N666" t="str">
        <f t="shared" si="21"/>
        <v>High Risk</v>
      </c>
    </row>
    <row r="667" spans="1:14" x14ac:dyDescent="0.3">
      <c r="A667">
        <v>666</v>
      </c>
      <c r="B667" t="s">
        <v>457</v>
      </c>
      <c r="C667">
        <v>9</v>
      </c>
      <c r="D667" t="s">
        <v>17</v>
      </c>
      <c r="E667">
        <v>3</v>
      </c>
      <c r="F667" s="1">
        <v>45212</v>
      </c>
      <c r="G667" s="1">
        <v>45238</v>
      </c>
      <c r="H667">
        <v>5</v>
      </c>
      <c r="I667" s="3">
        <v>131556.62</v>
      </c>
      <c r="J667" t="str">
        <f>VLOOKUP(H667,Diagnosis!$A:$B,2,FALSE)</f>
        <v>Heart Disease</v>
      </c>
      <c r="K667" t="str">
        <f>VLOOKUP(H667,Outcome!A$2:$B$7,2,FALSE)</f>
        <v>Readmitted</v>
      </c>
      <c r="L667">
        <f t="shared" si="20"/>
        <v>26</v>
      </c>
      <c r="M667" t="str">
        <f>IF(Labs!E667&gt;120,"High","Normal")</f>
        <v>High</v>
      </c>
      <c r="N667" t="str">
        <f t="shared" si="21"/>
        <v>High Risk</v>
      </c>
    </row>
    <row r="668" spans="1:14" x14ac:dyDescent="0.3">
      <c r="A668">
        <v>667</v>
      </c>
      <c r="B668" t="s">
        <v>59</v>
      </c>
      <c r="C668">
        <v>53</v>
      </c>
      <c r="D668" t="s">
        <v>10</v>
      </c>
      <c r="E668">
        <v>8</v>
      </c>
      <c r="F668" s="1">
        <v>46089</v>
      </c>
      <c r="G668" s="1">
        <v>46118</v>
      </c>
      <c r="H668">
        <v>4</v>
      </c>
      <c r="I668" s="3">
        <v>115540.41</v>
      </c>
      <c r="J668" t="str">
        <f>VLOOKUP(H668,Diagnosis!$A:$B,2,FALSE)</f>
        <v>Pneumonia</v>
      </c>
      <c r="K668" t="str">
        <f>VLOOKUP(H668,Outcome!A$2:$B$7,2,FALSE)</f>
        <v>Referred</v>
      </c>
      <c r="L668">
        <f t="shared" si="20"/>
        <v>29</v>
      </c>
      <c r="M668" t="str">
        <f>IF(Labs!E668&gt;120,"High","Normal")</f>
        <v>High</v>
      </c>
      <c r="N668" t="str">
        <f t="shared" si="21"/>
        <v>High Risk</v>
      </c>
    </row>
    <row r="669" spans="1:14" x14ac:dyDescent="0.3">
      <c r="A669">
        <v>668</v>
      </c>
      <c r="B669" t="s">
        <v>384</v>
      </c>
      <c r="C669">
        <v>25</v>
      </c>
      <c r="D669" t="s">
        <v>17</v>
      </c>
      <c r="E669">
        <v>3</v>
      </c>
      <c r="F669" s="1">
        <v>44940</v>
      </c>
      <c r="G669" s="1">
        <v>44940</v>
      </c>
      <c r="H669">
        <v>3</v>
      </c>
      <c r="I669" s="3">
        <v>111126.73</v>
      </c>
      <c r="J669" t="str">
        <f>VLOOKUP(H669,Diagnosis!$A:$B,2,FALSE)</f>
        <v>Asthma</v>
      </c>
      <c r="K669" t="str">
        <f>VLOOKUP(H669,Outcome!A$2:$B$7,2,FALSE)</f>
        <v>Ongoing Treatment</v>
      </c>
      <c r="L669">
        <f t="shared" si="20"/>
        <v>0</v>
      </c>
      <c r="M669" t="str">
        <f>IF(Labs!E669&gt;120,"High","Normal")</f>
        <v>High</v>
      </c>
      <c r="N669" t="str">
        <f t="shared" si="21"/>
        <v>High Risk</v>
      </c>
    </row>
    <row r="670" spans="1:14" x14ac:dyDescent="0.3">
      <c r="A670">
        <v>669</v>
      </c>
      <c r="B670" t="s">
        <v>458</v>
      </c>
      <c r="C670">
        <v>73</v>
      </c>
      <c r="D670" t="s">
        <v>17</v>
      </c>
      <c r="E670">
        <v>10</v>
      </c>
      <c r="F670" s="1">
        <v>45037</v>
      </c>
      <c r="G670" s="1">
        <v>45044</v>
      </c>
      <c r="H670">
        <v>3</v>
      </c>
      <c r="I670" s="3">
        <v>66268.89</v>
      </c>
      <c r="J670" t="str">
        <f>VLOOKUP(H670,Diagnosis!$A:$B,2,FALSE)</f>
        <v>Asthma</v>
      </c>
      <c r="K670" t="str">
        <f>VLOOKUP(H670,Outcome!A$2:$B$7,2,FALSE)</f>
        <v>Ongoing Treatment</v>
      </c>
      <c r="L670">
        <f t="shared" si="20"/>
        <v>7</v>
      </c>
      <c r="M670" t="str">
        <f>IF(Labs!E670&gt;120,"High","Normal")</f>
        <v>High</v>
      </c>
      <c r="N670" t="str">
        <f t="shared" si="21"/>
        <v>High Risk</v>
      </c>
    </row>
    <row r="671" spans="1:14" x14ac:dyDescent="0.3">
      <c r="A671">
        <v>670</v>
      </c>
      <c r="B671" t="s">
        <v>459</v>
      </c>
      <c r="C671">
        <v>65</v>
      </c>
      <c r="D671" t="s">
        <v>10</v>
      </c>
      <c r="E671">
        <v>6</v>
      </c>
      <c r="F671" s="1">
        <v>44938</v>
      </c>
      <c r="G671" s="1">
        <v>44965</v>
      </c>
      <c r="H671">
        <v>2</v>
      </c>
      <c r="I671" s="3">
        <v>86607.83</v>
      </c>
      <c r="J671" t="str">
        <f>VLOOKUP(H671,Diagnosis!$A:$B,2,FALSE)</f>
        <v>Hypertension</v>
      </c>
      <c r="K671" t="str">
        <f>VLOOKUP(H671,Outcome!A$2:$B$7,2,FALSE)</f>
        <v>Improved</v>
      </c>
      <c r="L671">
        <f t="shared" si="20"/>
        <v>27</v>
      </c>
      <c r="M671" t="str">
        <f>IF(Labs!E671&gt;120,"High","Normal")</f>
        <v>High</v>
      </c>
      <c r="N671" t="str">
        <f t="shared" si="21"/>
        <v>High Risk</v>
      </c>
    </row>
    <row r="672" spans="1:14" x14ac:dyDescent="0.3">
      <c r="A672">
        <v>671</v>
      </c>
      <c r="B672" t="s">
        <v>460</v>
      </c>
      <c r="C672">
        <v>29</v>
      </c>
      <c r="D672" t="s">
        <v>17</v>
      </c>
      <c r="E672">
        <v>7</v>
      </c>
      <c r="F672" s="1">
        <v>46127</v>
      </c>
      <c r="G672" s="1">
        <v>46127</v>
      </c>
      <c r="H672">
        <v>5</v>
      </c>
      <c r="I672" s="3">
        <v>171160.15</v>
      </c>
      <c r="J672" t="str">
        <f>VLOOKUP(H672,Diagnosis!$A:$B,2,FALSE)</f>
        <v>Heart Disease</v>
      </c>
      <c r="K672" t="str">
        <f>VLOOKUP(H672,Outcome!A$2:$B$7,2,FALSE)</f>
        <v>Readmitted</v>
      </c>
      <c r="L672">
        <f t="shared" si="20"/>
        <v>0</v>
      </c>
      <c r="M672" t="str">
        <f>IF(Labs!E672&gt;120,"High","Normal")</f>
        <v>High</v>
      </c>
      <c r="N672" t="str">
        <f t="shared" si="21"/>
        <v>High Risk</v>
      </c>
    </row>
    <row r="673" spans="1:14" x14ac:dyDescent="0.3">
      <c r="A673">
        <v>672</v>
      </c>
      <c r="B673" t="s">
        <v>65</v>
      </c>
      <c r="C673">
        <v>27</v>
      </c>
      <c r="D673" t="s">
        <v>17</v>
      </c>
      <c r="E673">
        <v>3</v>
      </c>
      <c r="F673" s="1">
        <v>45461</v>
      </c>
      <c r="G673" s="1">
        <v>45488</v>
      </c>
      <c r="H673">
        <v>2</v>
      </c>
      <c r="I673" s="3">
        <v>124595.63</v>
      </c>
      <c r="J673" t="str">
        <f>VLOOKUP(H673,Diagnosis!$A:$B,2,FALSE)</f>
        <v>Hypertension</v>
      </c>
      <c r="K673" t="str">
        <f>VLOOKUP(H673,Outcome!A$2:$B$7,2,FALSE)</f>
        <v>Improved</v>
      </c>
      <c r="L673">
        <f t="shared" si="20"/>
        <v>27</v>
      </c>
      <c r="M673" t="str">
        <f>IF(Labs!E673&gt;120,"High","Normal")</f>
        <v>High</v>
      </c>
      <c r="N673" t="str">
        <f t="shared" si="21"/>
        <v>High Risk</v>
      </c>
    </row>
    <row r="674" spans="1:14" x14ac:dyDescent="0.3">
      <c r="A674">
        <v>673</v>
      </c>
      <c r="B674" t="s">
        <v>461</v>
      </c>
      <c r="C674">
        <v>55</v>
      </c>
      <c r="D674" t="s">
        <v>10</v>
      </c>
      <c r="E674">
        <v>1</v>
      </c>
      <c r="F674" s="1">
        <v>45807</v>
      </c>
      <c r="G674" s="1">
        <v>45830</v>
      </c>
      <c r="H674">
        <v>4</v>
      </c>
      <c r="I674" s="3">
        <v>130335.66</v>
      </c>
      <c r="J674" t="str">
        <f>VLOOKUP(H674,Diagnosis!$A:$B,2,FALSE)</f>
        <v>Pneumonia</v>
      </c>
      <c r="K674" t="str">
        <f>VLOOKUP(H674,Outcome!A$2:$B$7,2,FALSE)</f>
        <v>Referred</v>
      </c>
      <c r="L674">
        <f t="shared" si="20"/>
        <v>23</v>
      </c>
      <c r="M674" t="str">
        <f>IF(Labs!E674&gt;120,"High","Normal")</f>
        <v>High</v>
      </c>
      <c r="N674" t="str">
        <f t="shared" si="21"/>
        <v>High Risk</v>
      </c>
    </row>
    <row r="675" spans="1:14" x14ac:dyDescent="0.3">
      <c r="A675">
        <v>674</v>
      </c>
      <c r="B675" t="s">
        <v>462</v>
      </c>
      <c r="C675">
        <v>74</v>
      </c>
      <c r="D675" t="s">
        <v>17</v>
      </c>
      <c r="E675">
        <v>9</v>
      </c>
      <c r="F675" s="1">
        <v>44785</v>
      </c>
      <c r="G675" s="1">
        <v>44799</v>
      </c>
      <c r="H675">
        <v>2</v>
      </c>
      <c r="I675" s="3">
        <v>158303.64000000001</v>
      </c>
      <c r="J675" t="str">
        <f>VLOOKUP(H675,Diagnosis!$A:$B,2,FALSE)</f>
        <v>Hypertension</v>
      </c>
      <c r="K675" t="str">
        <f>VLOOKUP(H675,Outcome!A$2:$B$7,2,FALSE)</f>
        <v>Improved</v>
      </c>
      <c r="L675">
        <f t="shared" si="20"/>
        <v>14</v>
      </c>
      <c r="M675" t="str">
        <f>IF(Labs!E675&gt;120,"High","Normal")</f>
        <v>High</v>
      </c>
      <c r="N675" t="str">
        <f t="shared" si="21"/>
        <v>High Risk</v>
      </c>
    </row>
    <row r="676" spans="1:14" x14ac:dyDescent="0.3">
      <c r="A676">
        <v>675</v>
      </c>
      <c r="B676" t="s">
        <v>463</v>
      </c>
      <c r="C676">
        <v>69</v>
      </c>
      <c r="D676" t="s">
        <v>10</v>
      </c>
      <c r="E676">
        <v>1</v>
      </c>
      <c r="F676" s="1">
        <v>45704</v>
      </c>
      <c r="G676" s="1">
        <v>45716</v>
      </c>
      <c r="H676">
        <v>2</v>
      </c>
      <c r="I676" s="3">
        <v>114440.12</v>
      </c>
      <c r="J676" t="str">
        <f>VLOOKUP(H676,Diagnosis!$A:$B,2,FALSE)</f>
        <v>Hypertension</v>
      </c>
      <c r="K676" t="str">
        <f>VLOOKUP(H676,Outcome!A$2:$B$7,2,FALSE)</f>
        <v>Improved</v>
      </c>
      <c r="L676">
        <f t="shared" si="20"/>
        <v>12</v>
      </c>
      <c r="M676" t="str">
        <f>IF(Labs!E676&gt;120,"High","Normal")</f>
        <v>High</v>
      </c>
      <c r="N676" t="str">
        <f t="shared" si="21"/>
        <v>High Risk</v>
      </c>
    </row>
    <row r="677" spans="1:14" x14ac:dyDescent="0.3">
      <c r="A677">
        <v>676</v>
      </c>
      <c r="B677" t="s">
        <v>371</v>
      </c>
      <c r="C677">
        <v>38</v>
      </c>
      <c r="D677" t="s">
        <v>10</v>
      </c>
      <c r="E677">
        <v>7</v>
      </c>
      <c r="F677" s="1">
        <v>45185</v>
      </c>
      <c r="G677" s="1">
        <v>45209</v>
      </c>
      <c r="H677">
        <v>4</v>
      </c>
      <c r="I677" s="3">
        <v>84389.119999999995</v>
      </c>
      <c r="J677" t="str">
        <f>VLOOKUP(H677,Diagnosis!$A:$B,2,FALSE)</f>
        <v>Pneumonia</v>
      </c>
      <c r="K677" t="str">
        <f>VLOOKUP(H677,Outcome!A$2:$B$7,2,FALSE)</f>
        <v>Referred</v>
      </c>
      <c r="L677">
        <f t="shared" si="20"/>
        <v>24</v>
      </c>
      <c r="M677" t="str">
        <f>IF(Labs!E677&gt;120,"High","Normal")</f>
        <v>High</v>
      </c>
      <c r="N677" t="str">
        <f t="shared" si="21"/>
        <v>High Risk</v>
      </c>
    </row>
    <row r="678" spans="1:14" x14ac:dyDescent="0.3">
      <c r="A678">
        <v>677</v>
      </c>
      <c r="B678" t="s">
        <v>464</v>
      </c>
      <c r="C678">
        <v>79</v>
      </c>
      <c r="D678" t="s">
        <v>17</v>
      </c>
      <c r="E678">
        <v>9</v>
      </c>
      <c r="F678" s="1">
        <v>44853</v>
      </c>
      <c r="G678" s="1">
        <v>44867</v>
      </c>
      <c r="H678">
        <v>4</v>
      </c>
      <c r="I678" s="3">
        <v>82676.41</v>
      </c>
      <c r="J678" t="str">
        <f>VLOOKUP(H678,Diagnosis!$A:$B,2,FALSE)</f>
        <v>Pneumonia</v>
      </c>
      <c r="K678" t="str">
        <f>VLOOKUP(H678,Outcome!A$2:$B$7,2,FALSE)</f>
        <v>Referred</v>
      </c>
      <c r="L678">
        <f t="shared" si="20"/>
        <v>14</v>
      </c>
      <c r="M678" t="str">
        <f>IF(Labs!E678&gt;120,"High","Normal")</f>
        <v>High</v>
      </c>
      <c r="N678" t="str">
        <f t="shared" si="21"/>
        <v>High Risk</v>
      </c>
    </row>
    <row r="679" spans="1:14" x14ac:dyDescent="0.3">
      <c r="A679">
        <v>678</v>
      </c>
      <c r="B679" t="s">
        <v>152</v>
      </c>
      <c r="C679">
        <v>24</v>
      </c>
      <c r="D679" t="s">
        <v>17</v>
      </c>
      <c r="E679">
        <v>7</v>
      </c>
      <c r="F679" s="1">
        <v>45408</v>
      </c>
      <c r="G679" s="1">
        <v>45418</v>
      </c>
      <c r="H679">
        <v>2</v>
      </c>
      <c r="I679" s="3">
        <v>34250.949999999997</v>
      </c>
      <c r="J679" t="str">
        <f>VLOOKUP(H679,Diagnosis!$A:$B,2,FALSE)</f>
        <v>Hypertension</v>
      </c>
      <c r="K679" t="str">
        <f>VLOOKUP(H679,Outcome!A$2:$B$7,2,FALSE)</f>
        <v>Improved</v>
      </c>
      <c r="L679">
        <f t="shared" si="20"/>
        <v>10</v>
      </c>
      <c r="M679" t="str">
        <f>IF(Labs!E679&gt;120,"High","Normal")</f>
        <v>High</v>
      </c>
      <c r="N679" t="str">
        <f t="shared" si="21"/>
        <v>High Risk</v>
      </c>
    </row>
    <row r="680" spans="1:14" x14ac:dyDescent="0.3">
      <c r="A680">
        <v>679</v>
      </c>
      <c r="B680" t="s">
        <v>465</v>
      </c>
      <c r="C680">
        <v>59</v>
      </c>
      <c r="D680" t="s">
        <v>17</v>
      </c>
      <c r="E680">
        <v>5</v>
      </c>
      <c r="F680" s="1">
        <v>45225</v>
      </c>
      <c r="G680" s="1">
        <v>45247</v>
      </c>
      <c r="H680">
        <v>2</v>
      </c>
      <c r="I680" s="3">
        <v>128785.88</v>
      </c>
      <c r="J680" t="str">
        <f>VLOOKUP(H680,Diagnosis!$A:$B,2,FALSE)</f>
        <v>Hypertension</v>
      </c>
      <c r="K680" t="str">
        <f>VLOOKUP(H680,Outcome!A$2:$B$7,2,FALSE)</f>
        <v>Improved</v>
      </c>
      <c r="L680">
        <f t="shared" si="20"/>
        <v>22</v>
      </c>
      <c r="M680" t="str">
        <f>IF(Labs!E680&gt;120,"High","Normal")</f>
        <v>High</v>
      </c>
      <c r="N680" t="str">
        <f t="shared" si="21"/>
        <v>High Risk</v>
      </c>
    </row>
    <row r="681" spans="1:14" x14ac:dyDescent="0.3">
      <c r="A681">
        <v>680</v>
      </c>
      <c r="B681" t="s">
        <v>318</v>
      </c>
      <c r="C681">
        <v>12</v>
      </c>
      <c r="D681" t="s">
        <v>17</v>
      </c>
      <c r="E681">
        <v>8</v>
      </c>
      <c r="F681" s="1">
        <v>45860</v>
      </c>
      <c r="G681" s="1">
        <v>45871</v>
      </c>
      <c r="H681">
        <v>1</v>
      </c>
      <c r="I681" s="3">
        <v>128042.04</v>
      </c>
      <c r="J681" t="str">
        <f>VLOOKUP(H681,Diagnosis!$A:$B,2,FALSE)</f>
        <v>Diabetes</v>
      </c>
      <c r="K681" t="str">
        <f>VLOOKUP(H681,Outcome!A$2:$B$7,2,FALSE)</f>
        <v>Recovered</v>
      </c>
      <c r="L681">
        <f t="shared" si="20"/>
        <v>11</v>
      </c>
      <c r="M681" t="str">
        <f>IF(Labs!E681&gt;120,"High","Normal")</f>
        <v>High</v>
      </c>
      <c r="N681" t="str">
        <f t="shared" si="21"/>
        <v>low risk</v>
      </c>
    </row>
    <row r="682" spans="1:14" x14ac:dyDescent="0.3">
      <c r="A682">
        <v>681</v>
      </c>
      <c r="B682" t="s">
        <v>466</v>
      </c>
      <c r="C682">
        <v>21</v>
      </c>
      <c r="D682" t="s">
        <v>10</v>
      </c>
      <c r="E682">
        <v>9</v>
      </c>
      <c r="F682" s="1">
        <v>45341</v>
      </c>
      <c r="G682" s="1">
        <v>45342</v>
      </c>
      <c r="H682">
        <v>3</v>
      </c>
      <c r="I682" s="3">
        <v>164424.87</v>
      </c>
      <c r="J682" t="str">
        <f>VLOOKUP(H682,Diagnosis!$A:$B,2,FALSE)</f>
        <v>Asthma</v>
      </c>
      <c r="K682" t="str">
        <f>VLOOKUP(H682,Outcome!A$2:$B$7,2,FALSE)</f>
        <v>Ongoing Treatment</v>
      </c>
      <c r="L682">
        <f t="shared" si="20"/>
        <v>1</v>
      </c>
      <c r="M682" t="str">
        <f>IF(Labs!E682&gt;120,"High","Normal")</f>
        <v>High</v>
      </c>
      <c r="N682" t="str">
        <f t="shared" si="21"/>
        <v>High Risk</v>
      </c>
    </row>
    <row r="683" spans="1:14" x14ac:dyDescent="0.3">
      <c r="A683">
        <v>682</v>
      </c>
      <c r="B683" t="s">
        <v>467</v>
      </c>
      <c r="C683">
        <v>21</v>
      </c>
      <c r="D683" t="s">
        <v>17</v>
      </c>
      <c r="E683">
        <v>3</v>
      </c>
      <c r="F683" s="1">
        <v>46137</v>
      </c>
      <c r="G683" s="1">
        <v>46159</v>
      </c>
      <c r="H683">
        <v>1</v>
      </c>
      <c r="I683" s="3">
        <v>57181.04</v>
      </c>
      <c r="J683" t="str">
        <f>VLOOKUP(H683,Diagnosis!$A:$B,2,FALSE)</f>
        <v>Diabetes</v>
      </c>
      <c r="K683" t="str">
        <f>VLOOKUP(H683,Outcome!A$2:$B$7,2,FALSE)</f>
        <v>Recovered</v>
      </c>
      <c r="L683">
        <f t="shared" si="20"/>
        <v>22</v>
      </c>
      <c r="M683" t="str">
        <f>IF(Labs!E683&gt;120,"High","Normal")</f>
        <v>High</v>
      </c>
      <c r="N683" t="str">
        <f t="shared" si="21"/>
        <v>low risk</v>
      </c>
    </row>
    <row r="684" spans="1:14" x14ac:dyDescent="0.3">
      <c r="A684">
        <v>683</v>
      </c>
      <c r="B684" t="s">
        <v>468</v>
      </c>
      <c r="C684">
        <v>81</v>
      </c>
      <c r="D684" t="s">
        <v>17</v>
      </c>
      <c r="E684">
        <v>2</v>
      </c>
      <c r="F684" s="1">
        <v>44831</v>
      </c>
      <c r="G684" s="1">
        <v>44861</v>
      </c>
      <c r="H684">
        <v>1</v>
      </c>
      <c r="I684" s="3">
        <v>113004.46</v>
      </c>
      <c r="J684" t="str">
        <f>VLOOKUP(H684,Diagnosis!$A:$B,2,FALSE)</f>
        <v>Diabetes</v>
      </c>
      <c r="K684" t="str">
        <f>VLOOKUP(H684,Outcome!A$2:$B$7,2,FALSE)</f>
        <v>Recovered</v>
      </c>
      <c r="L684">
        <f t="shared" si="20"/>
        <v>30</v>
      </c>
      <c r="M684" t="str">
        <f>IF(Labs!E684&gt;120,"High","Normal")</f>
        <v>High</v>
      </c>
      <c r="N684" t="str">
        <f t="shared" si="21"/>
        <v>High Risk</v>
      </c>
    </row>
    <row r="685" spans="1:14" x14ac:dyDescent="0.3">
      <c r="A685">
        <v>684</v>
      </c>
      <c r="B685" t="s">
        <v>469</v>
      </c>
      <c r="C685">
        <v>59</v>
      </c>
      <c r="D685" t="s">
        <v>10</v>
      </c>
      <c r="E685">
        <v>8</v>
      </c>
      <c r="F685" s="1">
        <v>45675</v>
      </c>
      <c r="G685" s="1">
        <v>45700</v>
      </c>
      <c r="H685">
        <v>1</v>
      </c>
      <c r="I685" s="3">
        <v>159179.76999999999</v>
      </c>
      <c r="J685" t="str">
        <f>VLOOKUP(H685,Diagnosis!$A:$B,2,FALSE)</f>
        <v>Diabetes</v>
      </c>
      <c r="K685" t="str">
        <f>VLOOKUP(H685,Outcome!A$2:$B$7,2,FALSE)</f>
        <v>Recovered</v>
      </c>
      <c r="L685">
        <f t="shared" si="20"/>
        <v>25</v>
      </c>
      <c r="M685" t="str">
        <f>IF(Labs!E685&gt;120,"High","Normal")</f>
        <v>High</v>
      </c>
      <c r="N685" t="str">
        <f t="shared" si="21"/>
        <v>low risk</v>
      </c>
    </row>
    <row r="686" spans="1:14" x14ac:dyDescent="0.3">
      <c r="A686">
        <v>685</v>
      </c>
      <c r="B686" t="s">
        <v>470</v>
      </c>
      <c r="C686">
        <v>76</v>
      </c>
      <c r="D686" t="s">
        <v>10</v>
      </c>
      <c r="E686">
        <v>8</v>
      </c>
      <c r="F686" s="1">
        <v>45401</v>
      </c>
      <c r="G686" s="1">
        <v>45415</v>
      </c>
      <c r="H686">
        <v>1</v>
      </c>
      <c r="I686" s="3">
        <v>109018.12</v>
      </c>
      <c r="J686" t="str">
        <f>VLOOKUP(H686,Diagnosis!$A:$B,2,FALSE)</f>
        <v>Diabetes</v>
      </c>
      <c r="K686" t="str">
        <f>VLOOKUP(H686,Outcome!A$2:$B$7,2,FALSE)</f>
        <v>Recovered</v>
      </c>
      <c r="L686">
        <f t="shared" si="20"/>
        <v>14</v>
      </c>
      <c r="M686" t="str">
        <f>IF(Labs!E686&gt;120,"High","Normal")</f>
        <v>High</v>
      </c>
      <c r="N686" t="str">
        <f t="shared" si="21"/>
        <v>High Risk</v>
      </c>
    </row>
    <row r="687" spans="1:14" x14ac:dyDescent="0.3">
      <c r="A687">
        <v>686</v>
      </c>
      <c r="B687" t="s">
        <v>247</v>
      </c>
      <c r="C687">
        <v>36</v>
      </c>
      <c r="D687" t="s">
        <v>17</v>
      </c>
      <c r="E687">
        <v>1</v>
      </c>
      <c r="F687" s="1">
        <v>44940</v>
      </c>
      <c r="G687" s="1">
        <v>44944</v>
      </c>
      <c r="H687">
        <v>1</v>
      </c>
      <c r="I687" s="3">
        <v>64451.02</v>
      </c>
      <c r="J687" t="str">
        <f>VLOOKUP(H687,Diagnosis!$A:$B,2,FALSE)</f>
        <v>Diabetes</v>
      </c>
      <c r="K687" t="str">
        <f>VLOOKUP(H687,Outcome!A$2:$B$7,2,FALSE)</f>
        <v>Recovered</v>
      </c>
      <c r="L687">
        <f t="shared" si="20"/>
        <v>4</v>
      </c>
      <c r="M687" t="str">
        <f>IF(Labs!E687&gt;120,"High","Normal")</f>
        <v>High</v>
      </c>
      <c r="N687" t="str">
        <f t="shared" si="21"/>
        <v>low risk</v>
      </c>
    </row>
    <row r="688" spans="1:14" x14ac:dyDescent="0.3">
      <c r="A688">
        <v>687</v>
      </c>
      <c r="B688" t="s">
        <v>423</v>
      </c>
      <c r="C688">
        <v>86</v>
      </c>
      <c r="D688" t="s">
        <v>10</v>
      </c>
      <c r="E688">
        <v>6</v>
      </c>
      <c r="F688" s="1">
        <v>44741</v>
      </c>
      <c r="G688" s="1">
        <v>44742</v>
      </c>
      <c r="H688">
        <v>1</v>
      </c>
      <c r="I688" s="3">
        <v>178887.99</v>
      </c>
      <c r="J688" t="str">
        <f>VLOOKUP(H688,Diagnosis!$A:$B,2,FALSE)</f>
        <v>Diabetes</v>
      </c>
      <c r="K688" t="str">
        <f>VLOOKUP(H688,Outcome!A$2:$B$7,2,FALSE)</f>
        <v>Recovered</v>
      </c>
      <c r="L688">
        <f t="shared" si="20"/>
        <v>1</v>
      </c>
      <c r="M688" t="str">
        <f>IF(Labs!E688&gt;120,"High","Normal")</f>
        <v>High</v>
      </c>
      <c r="N688" t="str">
        <f t="shared" si="21"/>
        <v>High Risk</v>
      </c>
    </row>
    <row r="689" spans="1:14" x14ac:dyDescent="0.3">
      <c r="A689">
        <v>688</v>
      </c>
      <c r="B689" t="s">
        <v>79</v>
      </c>
      <c r="C689">
        <v>79</v>
      </c>
      <c r="D689" t="s">
        <v>17</v>
      </c>
      <c r="E689">
        <v>8</v>
      </c>
      <c r="F689" s="1">
        <v>46096</v>
      </c>
      <c r="G689" s="1">
        <v>46114</v>
      </c>
      <c r="H689">
        <v>2</v>
      </c>
      <c r="I689" s="3">
        <v>8861.61</v>
      </c>
      <c r="J689" t="str">
        <f>VLOOKUP(H689,Diagnosis!$A:$B,2,FALSE)</f>
        <v>Hypertension</v>
      </c>
      <c r="K689" t="str">
        <f>VLOOKUP(H689,Outcome!A$2:$B$7,2,FALSE)</f>
        <v>Improved</v>
      </c>
      <c r="L689">
        <f t="shared" si="20"/>
        <v>18</v>
      </c>
      <c r="M689" t="str">
        <f>IF(Labs!E689&gt;120,"High","Normal")</f>
        <v>High</v>
      </c>
      <c r="N689" t="str">
        <f t="shared" si="21"/>
        <v>High Risk</v>
      </c>
    </row>
    <row r="690" spans="1:14" x14ac:dyDescent="0.3">
      <c r="A690">
        <v>689</v>
      </c>
      <c r="B690" t="s">
        <v>425</v>
      </c>
      <c r="C690">
        <v>48</v>
      </c>
      <c r="D690" t="s">
        <v>10</v>
      </c>
      <c r="E690">
        <v>2</v>
      </c>
      <c r="F690" s="1">
        <v>46115</v>
      </c>
      <c r="G690" s="1">
        <v>46128</v>
      </c>
      <c r="H690">
        <v>4</v>
      </c>
      <c r="I690" s="3">
        <v>14024.34</v>
      </c>
      <c r="J690" t="str">
        <f>VLOOKUP(H690,Diagnosis!$A:$B,2,FALSE)</f>
        <v>Pneumonia</v>
      </c>
      <c r="K690" t="str">
        <f>VLOOKUP(H690,Outcome!A$2:$B$7,2,FALSE)</f>
        <v>Referred</v>
      </c>
      <c r="L690">
        <f t="shared" si="20"/>
        <v>13</v>
      </c>
      <c r="M690" t="str">
        <f>IF(Labs!E690&gt;120,"High","Normal")</f>
        <v>High</v>
      </c>
      <c r="N690" t="str">
        <f t="shared" si="21"/>
        <v>High Risk</v>
      </c>
    </row>
    <row r="691" spans="1:14" x14ac:dyDescent="0.3">
      <c r="A691">
        <v>690</v>
      </c>
      <c r="B691" t="s">
        <v>459</v>
      </c>
      <c r="C691">
        <v>16</v>
      </c>
      <c r="D691" t="s">
        <v>10</v>
      </c>
      <c r="E691">
        <v>6</v>
      </c>
      <c r="F691" s="1">
        <v>45641</v>
      </c>
      <c r="G691" s="1">
        <v>45654</v>
      </c>
      <c r="H691">
        <v>2</v>
      </c>
      <c r="I691" s="3">
        <v>126009.74</v>
      </c>
      <c r="J691" t="str">
        <f>VLOOKUP(H691,Diagnosis!$A:$B,2,FALSE)</f>
        <v>Hypertension</v>
      </c>
      <c r="K691" t="str">
        <f>VLOOKUP(H691,Outcome!A$2:$B$7,2,FALSE)</f>
        <v>Improved</v>
      </c>
      <c r="L691">
        <f t="shared" si="20"/>
        <v>13</v>
      </c>
      <c r="M691" t="str">
        <f>IF(Labs!E691&gt;120,"High","Normal")</f>
        <v>High</v>
      </c>
      <c r="N691" t="str">
        <f t="shared" si="21"/>
        <v>High Risk</v>
      </c>
    </row>
    <row r="692" spans="1:14" x14ac:dyDescent="0.3">
      <c r="A692">
        <v>691</v>
      </c>
      <c r="B692" t="s">
        <v>471</v>
      </c>
      <c r="C692">
        <v>14</v>
      </c>
      <c r="D692" t="s">
        <v>17</v>
      </c>
      <c r="E692">
        <v>8</v>
      </c>
      <c r="F692" s="1">
        <v>46044</v>
      </c>
      <c r="G692" s="1">
        <v>46066</v>
      </c>
      <c r="H692">
        <v>2</v>
      </c>
      <c r="I692" s="3">
        <v>142402.81</v>
      </c>
      <c r="J692" t="str">
        <f>VLOOKUP(H692,Diagnosis!$A:$B,2,FALSE)</f>
        <v>Hypertension</v>
      </c>
      <c r="K692" t="str">
        <f>VLOOKUP(H692,Outcome!A$2:$B$7,2,FALSE)</f>
        <v>Improved</v>
      </c>
      <c r="L692">
        <f t="shared" si="20"/>
        <v>22</v>
      </c>
      <c r="M692" t="str">
        <f>IF(Labs!E692&gt;120,"High","Normal")</f>
        <v>High</v>
      </c>
      <c r="N692" t="str">
        <f t="shared" si="21"/>
        <v>High Risk</v>
      </c>
    </row>
    <row r="693" spans="1:14" x14ac:dyDescent="0.3">
      <c r="A693">
        <v>692</v>
      </c>
      <c r="B693" t="s">
        <v>262</v>
      </c>
      <c r="C693">
        <v>78</v>
      </c>
      <c r="D693" t="s">
        <v>10</v>
      </c>
      <c r="E693">
        <v>5</v>
      </c>
      <c r="F693" s="1">
        <v>45638</v>
      </c>
      <c r="G693" s="1">
        <v>45656</v>
      </c>
      <c r="H693">
        <v>6</v>
      </c>
      <c r="I693" s="3">
        <v>65308.97</v>
      </c>
      <c r="J693" t="str">
        <f>VLOOKUP(H693,Diagnosis!$A:$B,2,FALSE)</f>
        <v>Kidney Disease</v>
      </c>
      <c r="K693" t="str">
        <f>VLOOKUP(H693,Outcome!A$2:$B$7,2,FALSE)</f>
        <v>Deceased</v>
      </c>
      <c r="L693">
        <f t="shared" si="20"/>
        <v>18</v>
      </c>
      <c r="M693" t="str">
        <f>IF(Labs!E693&gt;120,"High","Normal")</f>
        <v>High</v>
      </c>
      <c r="N693" t="str">
        <f t="shared" si="21"/>
        <v>High Risk</v>
      </c>
    </row>
    <row r="694" spans="1:14" x14ac:dyDescent="0.3">
      <c r="A694">
        <v>693</v>
      </c>
      <c r="B694" t="s">
        <v>472</v>
      </c>
      <c r="C694">
        <v>73</v>
      </c>
      <c r="D694" t="s">
        <v>10</v>
      </c>
      <c r="E694">
        <v>9</v>
      </c>
      <c r="F694" s="1">
        <v>46055</v>
      </c>
      <c r="G694" s="1">
        <v>46075</v>
      </c>
      <c r="H694">
        <v>2</v>
      </c>
      <c r="I694" s="3">
        <v>145916.51</v>
      </c>
      <c r="J694" t="str">
        <f>VLOOKUP(H694,Diagnosis!$A:$B,2,FALSE)</f>
        <v>Hypertension</v>
      </c>
      <c r="K694" t="str">
        <f>VLOOKUP(H694,Outcome!A$2:$B$7,2,FALSE)</f>
        <v>Improved</v>
      </c>
      <c r="L694">
        <f t="shared" si="20"/>
        <v>20</v>
      </c>
      <c r="M694" t="str">
        <f>IF(Labs!E694&gt;120,"High","Normal")</f>
        <v>High</v>
      </c>
      <c r="N694" t="str">
        <f t="shared" si="21"/>
        <v>High Risk</v>
      </c>
    </row>
    <row r="695" spans="1:14" x14ac:dyDescent="0.3">
      <c r="A695">
        <v>694</v>
      </c>
      <c r="B695" t="s">
        <v>454</v>
      </c>
      <c r="C695">
        <v>91</v>
      </c>
      <c r="D695" t="s">
        <v>10</v>
      </c>
      <c r="E695">
        <v>4</v>
      </c>
      <c r="F695" s="1">
        <v>44565</v>
      </c>
      <c r="G695" s="1">
        <v>44568</v>
      </c>
      <c r="H695">
        <v>1</v>
      </c>
      <c r="I695" s="3">
        <v>113519.28</v>
      </c>
      <c r="J695" t="str">
        <f>VLOOKUP(H695,Diagnosis!$A:$B,2,FALSE)</f>
        <v>Diabetes</v>
      </c>
      <c r="K695" t="str">
        <f>VLOOKUP(H695,Outcome!A$2:$B$7,2,FALSE)</f>
        <v>Recovered</v>
      </c>
      <c r="L695">
        <f t="shared" si="20"/>
        <v>3</v>
      </c>
      <c r="M695" t="str">
        <f>IF(Labs!E695&gt;120,"High","Normal")</f>
        <v>High</v>
      </c>
      <c r="N695" t="str">
        <f t="shared" si="21"/>
        <v>High Risk</v>
      </c>
    </row>
    <row r="696" spans="1:14" x14ac:dyDescent="0.3">
      <c r="A696">
        <v>695</v>
      </c>
      <c r="B696" t="s">
        <v>473</v>
      </c>
      <c r="C696">
        <v>79</v>
      </c>
      <c r="D696" t="s">
        <v>10</v>
      </c>
      <c r="E696">
        <v>7</v>
      </c>
      <c r="F696" s="1">
        <v>44655</v>
      </c>
      <c r="G696" s="1">
        <v>44665</v>
      </c>
      <c r="H696">
        <v>1</v>
      </c>
      <c r="I696" s="3">
        <v>145572.72</v>
      </c>
      <c r="J696" t="str">
        <f>VLOOKUP(H696,Diagnosis!$A:$B,2,FALSE)</f>
        <v>Diabetes</v>
      </c>
      <c r="K696" t="str">
        <f>VLOOKUP(H696,Outcome!A$2:$B$7,2,FALSE)</f>
        <v>Recovered</v>
      </c>
      <c r="L696">
        <f t="shared" si="20"/>
        <v>10</v>
      </c>
      <c r="M696" t="str">
        <f>IF(Labs!E696&gt;120,"High","Normal")</f>
        <v>High</v>
      </c>
      <c r="N696" t="str">
        <f t="shared" si="21"/>
        <v>High Risk</v>
      </c>
    </row>
    <row r="697" spans="1:14" x14ac:dyDescent="0.3">
      <c r="A697">
        <v>696</v>
      </c>
      <c r="B697" t="s">
        <v>474</v>
      </c>
      <c r="C697">
        <v>82</v>
      </c>
      <c r="D697" t="s">
        <v>17</v>
      </c>
      <c r="E697">
        <v>5</v>
      </c>
      <c r="F697" s="1">
        <v>45083</v>
      </c>
      <c r="G697" s="1">
        <v>45108</v>
      </c>
      <c r="H697">
        <v>1</v>
      </c>
      <c r="I697" s="3">
        <v>55800.41</v>
      </c>
      <c r="J697" t="str">
        <f>VLOOKUP(H697,Diagnosis!$A:$B,2,FALSE)</f>
        <v>Diabetes</v>
      </c>
      <c r="K697" t="str">
        <f>VLOOKUP(H697,Outcome!A$2:$B$7,2,FALSE)</f>
        <v>Recovered</v>
      </c>
      <c r="L697">
        <f t="shared" si="20"/>
        <v>25</v>
      </c>
      <c r="M697" t="str">
        <f>IF(Labs!E697&gt;120,"High","Normal")</f>
        <v>High</v>
      </c>
      <c r="N697" t="str">
        <f t="shared" si="21"/>
        <v>High Risk</v>
      </c>
    </row>
    <row r="698" spans="1:14" x14ac:dyDescent="0.3">
      <c r="A698">
        <v>697</v>
      </c>
      <c r="B698" t="s">
        <v>129</v>
      </c>
      <c r="C698">
        <v>1</v>
      </c>
      <c r="D698" t="s">
        <v>17</v>
      </c>
      <c r="E698">
        <v>6</v>
      </c>
      <c r="F698" s="1">
        <v>45261</v>
      </c>
      <c r="G698" s="1">
        <v>45273</v>
      </c>
      <c r="H698">
        <v>3</v>
      </c>
      <c r="I698" s="3">
        <v>111838.82</v>
      </c>
      <c r="J698" t="str">
        <f>VLOOKUP(H698,Diagnosis!$A:$B,2,FALSE)</f>
        <v>Asthma</v>
      </c>
      <c r="K698" t="str">
        <f>VLOOKUP(H698,Outcome!A$2:$B$7,2,FALSE)</f>
        <v>Ongoing Treatment</v>
      </c>
      <c r="L698">
        <f t="shared" si="20"/>
        <v>12</v>
      </c>
      <c r="M698" t="str">
        <f>IF(Labs!E698&gt;120,"High","Normal")</f>
        <v>High</v>
      </c>
      <c r="N698" t="str">
        <f t="shared" si="21"/>
        <v>High Risk</v>
      </c>
    </row>
    <row r="699" spans="1:14" x14ac:dyDescent="0.3">
      <c r="A699">
        <v>698</v>
      </c>
      <c r="B699" t="s">
        <v>475</v>
      </c>
      <c r="C699">
        <v>25</v>
      </c>
      <c r="D699" t="s">
        <v>10</v>
      </c>
      <c r="E699">
        <v>6</v>
      </c>
      <c r="F699" s="1">
        <v>45939</v>
      </c>
      <c r="G699" s="1">
        <v>45954</v>
      </c>
      <c r="H699">
        <v>5</v>
      </c>
      <c r="I699" s="3">
        <v>144012.65</v>
      </c>
      <c r="J699" t="str">
        <f>VLOOKUP(H699,Diagnosis!$A:$B,2,FALSE)</f>
        <v>Heart Disease</v>
      </c>
      <c r="K699" t="str">
        <f>VLOOKUP(H699,Outcome!A$2:$B$7,2,FALSE)</f>
        <v>Readmitted</v>
      </c>
      <c r="L699">
        <f t="shared" si="20"/>
        <v>15</v>
      </c>
      <c r="M699" t="str">
        <f>IF(Labs!E699&gt;120,"High","Normal")</f>
        <v>High</v>
      </c>
      <c r="N699" t="str">
        <f t="shared" si="21"/>
        <v>High Risk</v>
      </c>
    </row>
    <row r="700" spans="1:14" x14ac:dyDescent="0.3">
      <c r="A700">
        <v>699</v>
      </c>
      <c r="B700" t="s">
        <v>476</v>
      </c>
      <c r="C700">
        <v>20</v>
      </c>
      <c r="D700" t="s">
        <v>10</v>
      </c>
      <c r="E700">
        <v>9</v>
      </c>
      <c r="F700" s="1">
        <v>45248</v>
      </c>
      <c r="G700" s="1">
        <v>45262</v>
      </c>
      <c r="H700">
        <v>4</v>
      </c>
      <c r="I700" s="3">
        <v>75976.67</v>
      </c>
      <c r="J700" t="str">
        <f>VLOOKUP(H700,Diagnosis!$A:$B,2,FALSE)</f>
        <v>Pneumonia</v>
      </c>
      <c r="K700" t="str">
        <f>VLOOKUP(H700,Outcome!A$2:$B$7,2,FALSE)</f>
        <v>Referred</v>
      </c>
      <c r="L700">
        <f t="shared" si="20"/>
        <v>14</v>
      </c>
      <c r="M700" t="str">
        <f>IF(Labs!E700&gt;120,"High","Normal")</f>
        <v>High</v>
      </c>
      <c r="N700" t="str">
        <f t="shared" si="21"/>
        <v>High Risk</v>
      </c>
    </row>
    <row r="701" spans="1:14" x14ac:dyDescent="0.3">
      <c r="A701">
        <v>700</v>
      </c>
      <c r="B701" t="s">
        <v>219</v>
      </c>
      <c r="C701">
        <v>39</v>
      </c>
      <c r="D701" t="s">
        <v>10</v>
      </c>
      <c r="E701">
        <v>9</v>
      </c>
      <c r="F701" s="1">
        <v>45659</v>
      </c>
      <c r="G701" s="1">
        <v>45659</v>
      </c>
      <c r="H701">
        <v>1</v>
      </c>
      <c r="I701" s="3">
        <v>124175.06</v>
      </c>
      <c r="J701" t="str">
        <f>VLOOKUP(H701,Diagnosis!$A:$B,2,FALSE)</f>
        <v>Diabetes</v>
      </c>
      <c r="K701" t="str">
        <f>VLOOKUP(H701,Outcome!A$2:$B$7,2,FALSE)</f>
        <v>Recovered</v>
      </c>
      <c r="L701">
        <f t="shared" si="20"/>
        <v>0</v>
      </c>
      <c r="M701" t="str">
        <f>IF(Labs!E701&gt;120,"High","Normal")</f>
        <v>High</v>
      </c>
      <c r="N701" t="str">
        <f t="shared" si="21"/>
        <v>low risk</v>
      </c>
    </row>
    <row r="702" spans="1:14" x14ac:dyDescent="0.3">
      <c r="A702">
        <v>701</v>
      </c>
      <c r="B702" t="s">
        <v>47</v>
      </c>
      <c r="C702">
        <v>20</v>
      </c>
      <c r="D702" t="s">
        <v>10</v>
      </c>
      <c r="E702">
        <v>1</v>
      </c>
      <c r="F702" s="1">
        <v>45256</v>
      </c>
      <c r="G702" s="1">
        <v>45268</v>
      </c>
      <c r="H702">
        <v>2</v>
      </c>
      <c r="I702" s="3">
        <v>152027.03</v>
      </c>
      <c r="J702" t="str">
        <f>VLOOKUP(H702,Diagnosis!$A:$B,2,FALSE)</f>
        <v>Hypertension</v>
      </c>
      <c r="K702" t="str">
        <f>VLOOKUP(H702,Outcome!A$2:$B$7,2,FALSE)</f>
        <v>Improved</v>
      </c>
      <c r="L702">
        <f t="shared" si="20"/>
        <v>12</v>
      </c>
      <c r="M702" t="str">
        <f>IF(Labs!E702&gt;120,"High","Normal")</f>
        <v>High</v>
      </c>
      <c r="N702" t="str">
        <f t="shared" si="21"/>
        <v>High Risk</v>
      </c>
    </row>
    <row r="703" spans="1:14" x14ac:dyDescent="0.3">
      <c r="A703">
        <v>702</v>
      </c>
      <c r="B703" t="s">
        <v>161</v>
      </c>
      <c r="C703">
        <v>50</v>
      </c>
      <c r="D703" t="s">
        <v>17</v>
      </c>
      <c r="E703">
        <v>10</v>
      </c>
      <c r="F703" s="1">
        <v>44801</v>
      </c>
      <c r="G703" s="1">
        <v>44828</v>
      </c>
      <c r="H703">
        <v>4</v>
      </c>
      <c r="I703" s="3">
        <v>57219.95</v>
      </c>
      <c r="J703" t="str">
        <f>VLOOKUP(H703,Diagnosis!$A:$B,2,FALSE)</f>
        <v>Pneumonia</v>
      </c>
      <c r="K703" t="str">
        <f>VLOOKUP(H703,Outcome!A$2:$B$7,2,FALSE)</f>
        <v>Referred</v>
      </c>
      <c r="L703">
        <f t="shared" si="20"/>
        <v>27</v>
      </c>
      <c r="M703" t="str">
        <f>IF(Labs!E703&gt;120,"High","Normal")</f>
        <v>High</v>
      </c>
      <c r="N703" t="str">
        <f t="shared" si="21"/>
        <v>High Risk</v>
      </c>
    </row>
    <row r="704" spans="1:14" x14ac:dyDescent="0.3">
      <c r="A704">
        <v>703</v>
      </c>
      <c r="B704" t="s">
        <v>119</v>
      </c>
      <c r="C704">
        <v>35</v>
      </c>
      <c r="D704" t="s">
        <v>10</v>
      </c>
      <c r="E704">
        <v>2</v>
      </c>
      <c r="F704" s="1">
        <v>45579</v>
      </c>
      <c r="G704" s="1">
        <v>45607</v>
      </c>
      <c r="H704">
        <v>1</v>
      </c>
      <c r="I704" s="3">
        <v>82713.37</v>
      </c>
      <c r="J704" t="str">
        <f>VLOOKUP(H704,Diagnosis!$A:$B,2,FALSE)</f>
        <v>Diabetes</v>
      </c>
      <c r="K704" t="str">
        <f>VLOOKUP(H704,Outcome!A$2:$B$7,2,FALSE)</f>
        <v>Recovered</v>
      </c>
      <c r="L704">
        <f t="shared" si="20"/>
        <v>28</v>
      </c>
      <c r="M704" t="str">
        <f>IF(Labs!E704&gt;120,"High","Normal")</f>
        <v>High</v>
      </c>
      <c r="N704" t="str">
        <f t="shared" si="21"/>
        <v>low risk</v>
      </c>
    </row>
    <row r="705" spans="1:14" x14ac:dyDescent="0.3">
      <c r="A705">
        <v>704</v>
      </c>
      <c r="B705" t="s">
        <v>477</v>
      </c>
      <c r="C705">
        <v>68</v>
      </c>
      <c r="D705" t="s">
        <v>10</v>
      </c>
      <c r="E705">
        <v>3</v>
      </c>
      <c r="F705" s="1">
        <v>44791</v>
      </c>
      <c r="G705" s="1">
        <v>44802</v>
      </c>
      <c r="H705">
        <v>4</v>
      </c>
      <c r="I705" s="3">
        <v>140557.79</v>
      </c>
      <c r="J705" t="str">
        <f>VLOOKUP(H705,Diagnosis!$A:$B,2,FALSE)</f>
        <v>Pneumonia</v>
      </c>
      <c r="K705" t="str">
        <f>VLOOKUP(H705,Outcome!A$2:$B$7,2,FALSE)</f>
        <v>Referred</v>
      </c>
      <c r="L705">
        <f t="shared" si="20"/>
        <v>11</v>
      </c>
      <c r="M705" t="str">
        <f>IF(Labs!E705&gt;120,"High","Normal")</f>
        <v>High</v>
      </c>
      <c r="N705" t="str">
        <f t="shared" si="21"/>
        <v>High Risk</v>
      </c>
    </row>
    <row r="706" spans="1:14" x14ac:dyDescent="0.3">
      <c r="A706">
        <v>705</v>
      </c>
      <c r="B706" t="s">
        <v>290</v>
      </c>
      <c r="C706">
        <v>65</v>
      </c>
      <c r="D706" t="s">
        <v>17</v>
      </c>
      <c r="E706">
        <v>8</v>
      </c>
      <c r="F706" s="1">
        <v>45586</v>
      </c>
      <c r="G706" s="1">
        <v>45590</v>
      </c>
      <c r="H706">
        <v>1</v>
      </c>
      <c r="I706" s="3">
        <v>166445.53</v>
      </c>
      <c r="J706" t="str">
        <f>VLOOKUP(H706,Diagnosis!$A:$B,2,FALSE)</f>
        <v>Diabetes</v>
      </c>
      <c r="K706" t="str">
        <f>VLOOKUP(H706,Outcome!A$2:$B$7,2,FALSE)</f>
        <v>Recovered</v>
      </c>
      <c r="L706">
        <f t="shared" si="20"/>
        <v>4</v>
      </c>
      <c r="M706" t="str">
        <f>IF(Labs!E706&gt;120,"High","Normal")</f>
        <v>High</v>
      </c>
      <c r="N706" t="str">
        <f t="shared" si="21"/>
        <v>low risk</v>
      </c>
    </row>
    <row r="707" spans="1:14" x14ac:dyDescent="0.3">
      <c r="A707">
        <v>706</v>
      </c>
      <c r="B707" t="s">
        <v>138</v>
      </c>
      <c r="C707">
        <v>42</v>
      </c>
      <c r="D707" t="s">
        <v>17</v>
      </c>
      <c r="E707">
        <v>2</v>
      </c>
      <c r="F707" s="1">
        <v>46245</v>
      </c>
      <c r="G707" s="1">
        <v>46275</v>
      </c>
      <c r="H707">
        <v>2</v>
      </c>
      <c r="I707" s="3">
        <v>178707.86</v>
      </c>
      <c r="J707" t="str">
        <f>VLOOKUP(H707,Diagnosis!$A:$B,2,FALSE)</f>
        <v>Hypertension</v>
      </c>
      <c r="K707" t="str">
        <f>VLOOKUP(H707,Outcome!A$2:$B$7,2,FALSE)</f>
        <v>Improved</v>
      </c>
      <c r="L707">
        <f t="shared" ref="L707:L770" si="22">DATEDIF(F707,G707,"d")</f>
        <v>30</v>
      </c>
      <c r="M707" t="str">
        <f>IF(Labs!E707&gt;120,"High","Normal")</f>
        <v>High</v>
      </c>
      <c r="N707" t="str">
        <f t="shared" si="21"/>
        <v>High Risk</v>
      </c>
    </row>
    <row r="708" spans="1:14" x14ac:dyDescent="0.3">
      <c r="A708">
        <v>707</v>
      </c>
      <c r="B708" t="s">
        <v>478</v>
      </c>
      <c r="C708">
        <v>59</v>
      </c>
      <c r="D708" t="s">
        <v>10</v>
      </c>
      <c r="E708">
        <v>9</v>
      </c>
      <c r="F708" s="1">
        <v>44799</v>
      </c>
      <c r="G708" s="1">
        <v>44799</v>
      </c>
      <c r="H708">
        <v>1</v>
      </c>
      <c r="I708" s="3">
        <v>10315.32</v>
      </c>
      <c r="J708" t="str">
        <f>VLOOKUP(H708,Diagnosis!$A:$B,2,FALSE)</f>
        <v>Diabetes</v>
      </c>
      <c r="K708" t="str">
        <f>VLOOKUP(H708,Outcome!A$2:$B$7,2,FALSE)</f>
        <v>Recovered</v>
      </c>
      <c r="L708">
        <f t="shared" si="22"/>
        <v>0</v>
      </c>
      <c r="M708" t="str">
        <f>IF(Labs!E708&gt;120,"High","Normal")</f>
        <v>High</v>
      </c>
      <c r="N708" t="str">
        <f t="shared" ref="N708:N771" si="23">IF(OR(C708&gt;65,H708&lt;&gt;1),"High Risk","low risk")</f>
        <v>low risk</v>
      </c>
    </row>
    <row r="709" spans="1:14" x14ac:dyDescent="0.3">
      <c r="A709">
        <v>708</v>
      </c>
      <c r="B709" t="s">
        <v>479</v>
      </c>
      <c r="C709">
        <v>43</v>
      </c>
      <c r="D709" t="s">
        <v>10</v>
      </c>
      <c r="E709">
        <v>1</v>
      </c>
      <c r="F709" s="1">
        <v>44773</v>
      </c>
      <c r="G709" s="1">
        <v>44789</v>
      </c>
      <c r="H709">
        <v>3</v>
      </c>
      <c r="I709" s="3">
        <v>134835.96</v>
      </c>
      <c r="J709" t="str">
        <f>VLOOKUP(H709,Diagnosis!$A:$B,2,FALSE)</f>
        <v>Asthma</v>
      </c>
      <c r="K709" t="str">
        <f>VLOOKUP(H709,Outcome!A$2:$B$7,2,FALSE)</f>
        <v>Ongoing Treatment</v>
      </c>
      <c r="L709">
        <f t="shared" si="22"/>
        <v>16</v>
      </c>
      <c r="M709" t="str">
        <f>IF(Labs!E709&gt;120,"High","Normal")</f>
        <v>High</v>
      </c>
      <c r="N709" t="str">
        <f t="shared" si="23"/>
        <v>High Risk</v>
      </c>
    </row>
    <row r="710" spans="1:14" x14ac:dyDescent="0.3">
      <c r="A710">
        <v>709</v>
      </c>
      <c r="B710" t="s">
        <v>480</v>
      </c>
      <c r="C710">
        <v>40</v>
      </c>
      <c r="D710" t="s">
        <v>17</v>
      </c>
      <c r="E710">
        <v>6</v>
      </c>
      <c r="F710" s="1">
        <v>44972</v>
      </c>
      <c r="G710" s="1">
        <v>44978</v>
      </c>
      <c r="H710">
        <v>1</v>
      </c>
      <c r="I710" s="3">
        <v>96978.96</v>
      </c>
      <c r="J710" t="str">
        <f>VLOOKUP(H710,Diagnosis!$A:$B,2,FALSE)</f>
        <v>Diabetes</v>
      </c>
      <c r="K710" t="str">
        <f>VLOOKUP(H710,Outcome!A$2:$B$7,2,FALSE)</f>
        <v>Recovered</v>
      </c>
      <c r="L710">
        <f t="shared" si="22"/>
        <v>6</v>
      </c>
      <c r="M710" t="str">
        <f>IF(Labs!E710&gt;120,"High","Normal")</f>
        <v>High</v>
      </c>
      <c r="N710" t="str">
        <f t="shared" si="23"/>
        <v>low risk</v>
      </c>
    </row>
    <row r="711" spans="1:14" x14ac:dyDescent="0.3">
      <c r="A711">
        <v>710</v>
      </c>
      <c r="B711" t="s">
        <v>164</v>
      </c>
      <c r="C711">
        <v>35</v>
      </c>
      <c r="D711" t="s">
        <v>17</v>
      </c>
      <c r="E711">
        <v>3</v>
      </c>
      <c r="F711" s="1">
        <v>45122</v>
      </c>
      <c r="G711" s="1">
        <v>45125</v>
      </c>
      <c r="H711">
        <v>1</v>
      </c>
      <c r="I711" s="3">
        <v>113072.73</v>
      </c>
      <c r="J711" t="str">
        <f>VLOOKUP(H711,Diagnosis!$A:$B,2,FALSE)</f>
        <v>Diabetes</v>
      </c>
      <c r="K711" t="str">
        <f>VLOOKUP(H711,Outcome!A$2:$B$7,2,FALSE)</f>
        <v>Recovered</v>
      </c>
      <c r="L711">
        <f t="shared" si="22"/>
        <v>3</v>
      </c>
      <c r="M711" t="str">
        <f>IF(Labs!E711&gt;120,"High","Normal")</f>
        <v>High</v>
      </c>
      <c r="N711" t="str">
        <f t="shared" si="23"/>
        <v>low risk</v>
      </c>
    </row>
    <row r="712" spans="1:14" x14ac:dyDescent="0.3">
      <c r="A712">
        <v>711</v>
      </c>
      <c r="B712" t="s">
        <v>152</v>
      </c>
      <c r="C712">
        <v>27</v>
      </c>
      <c r="D712" t="s">
        <v>10</v>
      </c>
      <c r="E712">
        <v>9</v>
      </c>
      <c r="F712" s="1">
        <v>45214</v>
      </c>
      <c r="G712" s="1">
        <v>45222</v>
      </c>
      <c r="H712">
        <v>1</v>
      </c>
      <c r="I712" s="3">
        <v>127522.78</v>
      </c>
      <c r="J712" t="str">
        <f>VLOOKUP(H712,Diagnosis!$A:$B,2,FALSE)</f>
        <v>Diabetes</v>
      </c>
      <c r="K712" t="str">
        <f>VLOOKUP(H712,Outcome!A$2:$B$7,2,FALSE)</f>
        <v>Recovered</v>
      </c>
      <c r="L712">
        <f t="shared" si="22"/>
        <v>8</v>
      </c>
      <c r="M712" t="str">
        <f>IF(Labs!E712&gt;120,"High","Normal")</f>
        <v>High</v>
      </c>
      <c r="N712" t="str">
        <f t="shared" si="23"/>
        <v>low risk</v>
      </c>
    </row>
    <row r="713" spans="1:14" x14ac:dyDescent="0.3">
      <c r="A713">
        <v>712</v>
      </c>
      <c r="B713" t="s">
        <v>225</v>
      </c>
      <c r="C713">
        <v>32</v>
      </c>
      <c r="D713" t="s">
        <v>17</v>
      </c>
      <c r="E713">
        <v>2</v>
      </c>
      <c r="F713" s="1">
        <v>45199</v>
      </c>
      <c r="G713" s="1">
        <v>45218</v>
      </c>
      <c r="H713">
        <v>5</v>
      </c>
      <c r="I713" s="3">
        <v>98452.44</v>
      </c>
      <c r="J713" t="str">
        <f>VLOOKUP(H713,Diagnosis!$A:$B,2,FALSE)</f>
        <v>Heart Disease</v>
      </c>
      <c r="K713" t="str">
        <f>VLOOKUP(H713,Outcome!A$2:$B$7,2,FALSE)</f>
        <v>Readmitted</v>
      </c>
      <c r="L713">
        <f t="shared" si="22"/>
        <v>19</v>
      </c>
      <c r="M713" t="str">
        <f>IF(Labs!E713&gt;120,"High","Normal")</f>
        <v>High</v>
      </c>
      <c r="N713" t="str">
        <f t="shared" si="23"/>
        <v>High Risk</v>
      </c>
    </row>
    <row r="714" spans="1:14" x14ac:dyDescent="0.3">
      <c r="A714">
        <v>713</v>
      </c>
      <c r="B714" t="s">
        <v>481</v>
      </c>
      <c r="C714">
        <v>4</v>
      </c>
      <c r="D714" t="s">
        <v>10</v>
      </c>
      <c r="E714">
        <v>1</v>
      </c>
      <c r="F714" s="1">
        <v>44778</v>
      </c>
      <c r="G714" s="1">
        <v>44790</v>
      </c>
      <c r="H714">
        <v>1</v>
      </c>
      <c r="I714" s="3">
        <v>78197.67</v>
      </c>
      <c r="J714" t="str">
        <f>VLOOKUP(H714,Diagnosis!$A:$B,2,FALSE)</f>
        <v>Diabetes</v>
      </c>
      <c r="K714" t="str">
        <f>VLOOKUP(H714,Outcome!A$2:$B$7,2,FALSE)</f>
        <v>Recovered</v>
      </c>
      <c r="L714">
        <f t="shared" si="22"/>
        <v>12</v>
      </c>
      <c r="M714" t="str">
        <f>IF(Labs!E714&gt;120,"High","Normal")</f>
        <v>High</v>
      </c>
      <c r="N714" t="str">
        <f t="shared" si="23"/>
        <v>low risk</v>
      </c>
    </row>
    <row r="715" spans="1:14" x14ac:dyDescent="0.3">
      <c r="A715">
        <v>714</v>
      </c>
      <c r="B715" t="s">
        <v>63</v>
      </c>
      <c r="C715">
        <v>76</v>
      </c>
      <c r="D715" t="s">
        <v>10</v>
      </c>
      <c r="E715">
        <v>10</v>
      </c>
      <c r="F715" s="1">
        <v>45290</v>
      </c>
      <c r="G715" s="1">
        <v>45299</v>
      </c>
      <c r="H715">
        <v>1</v>
      </c>
      <c r="I715" s="3">
        <v>37671.120000000003</v>
      </c>
      <c r="J715" t="str">
        <f>VLOOKUP(H715,Diagnosis!$A:$B,2,FALSE)</f>
        <v>Diabetes</v>
      </c>
      <c r="K715" t="str">
        <f>VLOOKUP(H715,Outcome!A$2:$B$7,2,FALSE)</f>
        <v>Recovered</v>
      </c>
      <c r="L715">
        <f t="shared" si="22"/>
        <v>9</v>
      </c>
      <c r="M715" t="str">
        <f>IF(Labs!E715&gt;120,"High","Normal")</f>
        <v>High</v>
      </c>
      <c r="N715" t="str">
        <f t="shared" si="23"/>
        <v>High Risk</v>
      </c>
    </row>
    <row r="716" spans="1:14" x14ac:dyDescent="0.3">
      <c r="A716">
        <v>715</v>
      </c>
      <c r="B716" t="s">
        <v>11</v>
      </c>
      <c r="C716">
        <v>60</v>
      </c>
      <c r="D716" t="s">
        <v>17</v>
      </c>
      <c r="E716">
        <v>2</v>
      </c>
      <c r="F716" s="1">
        <v>46226</v>
      </c>
      <c r="G716" s="1">
        <v>46251</v>
      </c>
      <c r="H716">
        <v>5</v>
      </c>
      <c r="I716" s="3">
        <v>85618.97</v>
      </c>
      <c r="J716" t="str">
        <f>VLOOKUP(H716,Diagnosis!$A:$B,2,FALSE)</f>
        <v>Heart Disease</v>
      </c>
      <c r="K716" t="str">
        <f>VLOOKUP(H716,Outcome!A$2:$B$7,2,FALSE)</f>
        <v>Readmitted</v>
      </c>
      <c r="L716">
        <f t="shared" si="22"/>
        <v>25</v>
      </c>
      <c r="M716" t="str">
        <f>IF(Labs!E716&gt;120,"High","Normal")</f>
        <v>High</v>
      </c>
      <c r="N716" t="str">
        <f t="shared" si="23"/>
        <v>High Risk</v>
      </c>
    </row>
    <row r="717" spans="1:14" x14ac:dyDescent="0.3">
      <c r="A717">
        <v>716</v>
      </c>
      <c r="B717" t="s">
        <v>40</v>
      </c>
      <c r="C717">
        <v>88</v>
      </c>
      <c r="D717" t="s">
        <v>10</v>
      </c>
      <c r="E717">
        <v>8</v>
      </c>
      <c r="F717" s="1">
        <v>45036</v>
      </c>
      <c r="G717" s="1">
        <v>45066</v>
      </c>
      <c r="H717">
        <v>1</v>
      </c>
      <c r="I717" s="3">
        <v>155344.59</v>
      </c>
      <c r="J717" t="str">
        <f>VLOOKUP(H717,Diagnosis!$A:$B,2,FALSE)</f>
        <v>Diabetes</v>
      </c>
      <c r="K717" t="str">
        <f>VLOOKUP(H717,Outcome!A$2:$B$7,2,FALSE)</f>
        <v>Recovered</v>
      </c>
      <c r="L717">
        <f t="shared" si="22"/>
        <v>30</v>
      </c>
      <c r="M717" t="str">
        <f>IF(Labs!E717&gt;120,"High","Normal")</f>
        <v>High</v>
      </c>
      <c r="N717" t="str">
        <f t="shared" si="23"/>
        <v>High Risk</v>
      </c>
    </row>
    <row r="718" spans="1:14" x14ac:dyDescent="0.3">
      <c r="A718">
        <v>717</v>
      </c>
      <c r="B718" t="s">
        <v>422</v>
      </c>
      <c r="C718">
        <v>47</v>
      </c>
      <c r="D718" t="s">
        <v>10</v>
      </c>
      <c r="E718">
        <v>3</v>
      </c>
      <c r="F718" s="1">
        <v>45994</v>
      </c>
      <c r="G718" s="1">
        <v>46023</v>
      </c>
      <c r="H718">
        <v>3</v>
      </c>
      <c r="I718" s="3">
        <v>142508.22</v>
      </c>
      <c r="J718" t="str">
        <f>VLOOKUP(H718,Diagnosis!$A:$B,2,FALSE)</f>
        <v>Asthma</v>
      </c>
      <c r="K718" t="str">
        <f>VLOOKUP(H718,Outcome!A$2:$B$7,2,FALSE)</f>
        <v>Ongoing Treatment</v>
      </c>
      <c r="L718">
        <f t="shared" si="22"/>
        <v>29</v>
      </c>
      <c r="M718" t="str">
        <f>IF(Labs!E718&gt;120,"High","Normal")</f>
        <v>High</v>
      </c>
      <c r="N718" t="str">
        <f t="shared" si="23"/>
        <v>High Risk</v>
      </c>
    </row>
    <row r="719" spans="1:14" x14ac:dyDescent="0.3">
      <c r="A719">
        <v>718</v>
      </c>
      <c r="B719" t="s">
        <v>482</v>
      </c>
      <c r="C719">
        <v>63</v>
      </c>
      <c r="D719" t="s">
        <v>17</v>
      </c>
      <c r="E719">
        <v>2</v>
      </c>
      <c r="F719" s="1">
        <v>45535</v>
      </c>
      <c r="G719" s="1">
        <v>45538</v>
      </c>
      <c r="H719">
        <v>2</v>
      </c>
      <c r="I719" s="3">
        <v>84370.4</v>
      </c>
      <c r="J719" t="str">
        <f>VLOOKUP(H719,Diagnosis!$A:$B,2,FALSE)</f>
        <v>Hypertension</v>
      </c>
      <c r="K719" t="str">
        <f>VLOOKUP(H719,Outcome!A$2:$B$7,2,FALSE)</f>
        <v>Improved</v>
      </c>
      <c r="L719">
        <f t="shared" si="22"/>
        <v>3</v>
      </c>
      <c r="M719" t="str">
        <f>IF(Labs!E719&gt;120,"High","Normal")</f>
        <v>High</v>
      </c>
      <c r="N719" t="str">
        <f t="shared" si="23"/>
        <v>High Risk</v>
      </c>
    </row>
    <row r="720" spans="1:14" x14ac:dyDescent="0.3">
      <c r="A720">
        <v>719</v>
      </c>
      <c r="B720" t="s">
        <v>79</v>
      </c>
      <c r="C720">
        <v>45</v>
      </c>
      <c r="D720" t="s">
        <v>17</v>
      </c>
      <c r="E720">
        <v>9</v>
      </c>
      <c r="F720" s="1">
        <v>44772</v>
      </c>
      <c r="G720" s="1">
        <v>44784</v>
      </c>
      <c r="H720">
        <v>4</v>
      </c>
      <c r="I720" s="3">
        <v>143924.5</v>
      </c>
      <c r="J720" t="str">
        <f>VLOOKUP(H720,Diagnosis!$A:$B,2,FALSE)</f>
        <v>Pneumonia</v>
      </c>
      <c r="K720" t="str">
        <f>VLOOKUP(H720,Outcome!A$2:$B$7,2,FALSE)</f>
        <v>Referred</v>
      </c>
      <c r="L720">
        <f t="shared" si="22"/>
        <v>12</v>
      </c>
      <c r="M720" t="str">
        <f>IF(Labs!E720&gt;120,"High","Normal")</f>
        <v>High</v>
      </c>
      <c r="N720" t="str">
        <f t="shared" si="23"/>
        <v>High Risk</v>
      </c>
    </row>
    <row r="721" spans="1:14" x14ac:dyDescent="0.3">
      <c r="A721">
        <v>720</v>
      </c>
      <c r="B721" t="s">
        <v>483</v>
      </c>
      <c r="C721">
        <v>84</v>
      </c>
      <c r="D721" t="s">
        <v>17</v>
      </c>
      <c r="E721">
        <v>5</v>
      </c>
      <c r="F721" s="1">
        <v>45653</v>
      </c>
      <c r="G721" s="1">
        <v>45667</v>
      </c>
      <c r="H721">
        <v>2</v>
      </c>
      <c r="I721" s="3">
        <v>75885.94</v>
      </c>
      <c r="J721" t="str">
        <f>VLOOKUP(H721,Diagnosis!$A:$B,2,FALSE)</f>
        <v>Hypertension</v>
      </c>
      <c r="K721" t="str">
        <f>VLOOKUP(H721,Outcome!A$2:$B$7,2,FALSE)</f>
        <v>Improved</v>
      </c>
      <c r="L721">
        <f t="shared" si="22"/>
        <v>14</v>
      </c>
      <c r="M721" t="str">
        <f>IF(Labs!E721&gt;120,"High","Normal")</f>
        <v>High</v>
      </c>
      <c r="N721" t="str">
        <f t="shared" si="23"/>
        <v>High Risk</v>
      </c>
    </row>
    <row r="722" spans="1:14" x14ac:dyDescent="0.3">
      <c r="A722">
        <v>721</v>
      </c>
      <c r="B722" t="s">
        <v>454</v>
      </c>
      <c r="C722">
        <v>71</v>
      </c>
      <c r="D722" t="s">
        <v>17</v>
      </c>
      <c r="E722">
        <v>8</v>
      </c>
      <c r="F722" s="1">
        <v>45348</v>
      </c>
      <c r="G722" s="1">
        <v>45350</v>
      </c>
      <c r="H722">
        <v>1</v>
      </c>
      <c r="I722" s="3">
        <v>146970.04</v>
      </c>
      <c r="J722" t="str">
        <f>VLOOKUP(H722,Diagnosis!$A:$B,2,FALSE)</f>
        <v>Diabetes</v>
      </c>
      <c r="K722" t="str">
        <f>VLOOKUP(H722,Outcome!A$2:$B$7,2,FALSE)</f>
        <v>Recovered</v>
      </c>
      <c r="L722">
        <f t="shared" si="22"/>
        <v>2</v>
      </c>
      <c r="M722" t="str">
        <f>IF(Labs!E722&gt;120,"High","Normal")</f>
        <v>High</v>
      </c>
      <c r="N722" t="str">
        <f t="shared" si="23"/>
        <v>High Risk</v>
      </c>
    </row>
    <row r="723" spans="1:14" x14ac:dyDescent="0.3">
      <c r="A723">
        <v>722</v>
      </c>
      <c r="B723" t="s">
        <v>484</v>
      </c>
      <c r="C723">
        <v>56</v>
      </c>
      <c r="D723" t="s">
        <v>10</v>
      </c>
      <c r="E723">
        <v>9</v>
      </c>
      <c r="F723" s="1">
        <v>45983</v>
      </c>
      <c r="G723" s="1">
        <v>45990</v>
      </c>
      <c r="H723">
        <v>1</v>
      </c>
      <c r="I723" s="3">
        <v>121354.92</v>
      </c>
      <c r="J723" t="str">
        <f>VLOOKUP(H723,Diagnosis!$A:$B,2,FALSE)</f>
        <v>Diabetes</v>
      </c>
      <c r="K723" t="str">
        <f>VLOOKUP(H723,Outcome!A$2:$B$7,2,FALSE)</f>
        <v>Recovered</v>
      </c>
      <c r="L723">
        <f t="shared" si="22"/>
        <v>7</v>
      </c>
      <c r="M723" t="str">
        <f>IF(Labs!E723&gt;120,"High","Normal")</f>
        <v>High</v>
      </c>
      <c r="N723" t="str">
        <f t="shared" si="23"/>
        <v>low risk</v>
      </c>
    </row>
    <row r="724" spans="1:14" x14ac:dyDescent="0.3">
      <c r="A724">
        <v>723</v>
      </c>
      <c r="B724" t="s">
        <v>485</v>
      </c>
      <c r="C724">
        <v>15</v>
      </c>
      <c r="D724" t="s">
        <v>10</v>
      </c>
      <c r="E724">
        <v>6</v>
      </c>
      <c r="F724" s="1">
        <v>45698</v>
      </c>
      <c r="G724" s="1">
        <v>45701</v>
      </c>
      <c r="H724">
        <v>4</v>
      </c>
      <c r="I724" s="3">
        <v>33770.89</v>
      </c>
      <c r="J724" t="str">
        <f>VLOOKUP(H724,Diagnosis!$A:$B,2,FALSE)</f>
        <v>Pneumonia</v>
      </c>
      <c r="K724" t="str">
        <f>VLOOKUP(H724,Outcome!A$2:$B$7,2,FALSE)</f>
        <v>Referred</v>
      </c>
      <c r="L724">
        <f t="shared" si="22"/>
        <v>3</v>
      </c>
      <c r="M724" t="str">
        <f>IF(Labs!E724&gt;120,"High","Normal")</f>
        <v>High</v>
      </c>
      <c r="N724" t="str">
        <f t="shared" si="23"/>
        <v>High Risk</v>
      </c>
    </row>
    <row r="725" spans="1:14" x14ac:dyDescent="0.3">
      <c r="A725">
        <v>724</v>
      </c>
      <c r="B725" t="s">
        <v>117</v>
      </c>
      <c r="C725">
        <v>77</v>
      </c>
      <c r="D725" t="s">
        <v>17</v>
      </c>
      <c r="E725">
        <v>10</v>
      </c>
      <c r="F725" s="1">
        <v>46141</v>
      </c>
      <c r="G725" s="1">
        <v>46167</v>
      </c>
      <c r="H725">
        <v>2</v>
      </c>
      <c r="I725" s="3">
        <v>90237.39</v>
      </c>
      <c r="J725" t="str">
        <f>VLOOKUP(H725,Diagnosis!$A:$B,2,FALSE)</f>
        <v>Hypertension</v>
      </c>
      <c r="K725" t="str">
        <f>VLOOKUP(H725,Outcome!A$2:$B$7,2,FALSE)</f>
        <v>Improved</v>
      </c>
      <c r="L725">
        <f t="shared" si="22"/>
        <v>26</v>
      </c>
      <c r="M725" t="str">
        <f>IF(Labs!E725&gt;120,"High","Normal")</f>
        <v>High</v>
      </c>
      <c r="N725" t="str">
        <f t="shared" si="23"/>
        <v>High Risk</v>
      </c>
    </row>
    <row r="726" spans="1:14" x14ac:dyDescent="0.3">
      <c r="A726">
        <v>725</v>
      </c>
      <c r="B726" t="s">
        <v>186</v>
      </c>
      <c r="C726">
        <v>28</v>
      </c>
      <c r="D726" t="s">
        <v>17</v>
      </c>
      <c r="E726">
        <v>10</v>
      </c>
      <c r="F726" s="1">
        <v>46108</v>
      </c>
      <c r="G726" s="1">
        <v>46128</v>
      </c>
      <c r="H726">
        <v>4</v>
      </c>
      <c r="I726" s="3">
        <v>136881.29</v>
      </c>
      <c r="J726" t="str">
        <f>VLOOKUP(H726,Diagnosis!$A:$B,2,FALSE)</f>
        <v>Pneumonia</v>
      </c>
      <c r="K726" t="str">
        <f>VLOOKUP(H726,Outcome!A$2:$B$7,2,FALSE)</f>
        <v>Referred</v>
      </c>
      <c r="L726">
        <f t="shared" si="22"/>
        <v>20</v>
      </c>
      <c r="M726" t="str">
        <f>IF(Labs!E726&gt;120,"High","Normal")</f>
        <v>High</v>
      </c>
      <c r="N726" t="str">
        <f t="shared" si="23"/>
        <v>High Risk</v>
      </c>
    </row>
    <row r="727" spans="1:14" x14ac:dyDescent="0.3">
      <c r="A727">
        <v>726</v>
      </c>
      <c r="B727" t="s">
        <v>112</v>
      </c>
      <c r="C727">
        <v>69</v>
      </c>
      <c r="D727" t="s">
        <v>10</v>
      </c>
      <c r="E727">
        <v>7</v>
      </c>
      <c r="F727" s="1">
        <v>45822</v>
      </c>
      <c r="G727" s="1">
        <v>45840</v>
      </c>
      <c r="H727">
        <v>2</v>
      </c>
      <c r="I727" s="3">
        <v>39004.949999999997</v>
      </c>
      <c r="J727" t="str">
        <f>VLOOKUP(H727,Diagnosis!$A:$B,2,FALSE)</f>
        <v>Hypertension</v>
      </c>
      <c r="K727" t="str">
        <f>VLOOKUP(H727,Outcome!A$2:$B$7,2,FALSE)</f>
        <v>Improved</v>
      </c>
      <c r="L727">
        <f t="shared" si="22"/>
        <v>18</v>
      </c>
      <c r="M727" t="str">
        <f>IF(Labs!E727&gt;120,"High","Normal")</f>
        <v>High</v>
      </c>
      <c r="N727" t="str">
        <f t="shared" si="23"/>
        <v>High Risk</v>
      </c>
    </row>
    <row r="728" spans="1:14" x14ac:dyDescent="0.3">
      <c r="A728">
        <v>727</v>
      </c>
      <c r="B728" t="s">
        <v>486</v>
      </c>
      <c r="C728">
        <v>73</v>
      </c>
      <c r="D728" t="s">
        <v>10</v>
      </c>
      <c r="E728">
        <v>7</v>
      </c>
      <c r="F728" s="1">
        <v>46032</v>
      </c>
      <c r="G728" s="1">
        <v>46061</v>
      </c>
      <c r="H728">
        <v>1</v>
      </c>
      <c r="I728" s="3">
        <v>18348.509999999998</v>
      </c>
      <c r="J728" t="str">
        <f>VLOOKUP(H728,Diagnosis!$A:$B,2,FALSE)</f>
        <v>Diabetes</v>
      </c>
      <c r="K728" t="str">
        <f>VLOOKUP(H728,Outcome!A$2:$B$7,2,FALSE)</f>
        <v>Recovered</v>
      </c>
      <c r="L728">
        <f t="shared" si="22"/>
        <v>29</v>
      </c>
      <c r="M728" t="str">
        <f>IF(Labs!E728&gt;120,"High","Normal")</f>
        <v>High</v>
      </c>
      <c r="N728" t="str">
        <f t="shared" si="23"/>
        <v>High Risk</v>
      </c>
    </row>
    <row r="729" spans="1:14" x14ac:dyDescent="0.3">
      <c r="A729">
        <v>728</v>
      </c>
      <c r="B729" t="s">
        <v>487</v>
      </c>
      <c r="C729">
        <v>66</v>
      </c>
      <c r="D729" t="s">
        <v>10</v>
      </c>
      <c r="E729">
        <v>3</v>
      </c>
      <c r="F729" s="1">
        <v>45164</v>
      </c>
      <c r="G729" s="1">
        <v>45165</v>
      </c>
      <c r="H729">
        <v>2</v>
      </c>
      <c r="I729" s="3">
        <v>99927.11</v>
      </c>
      <c r="J729" t="str">
        <f>VLOOKUP(H729,Diagnosis!$A:$B,2,FALSE)</f>
        <v>Hypertension</v>
      </c>
      <c r="K729" t="str">
        <f>VLOOKUP(H729,Outcome!A$2:$B$7,2,FALSE)</f>
        <v>Improved</v>
      </c>
      <c r="L729">
        <f t="shared" si="22"/>
        <v>1</v>
      </c>
      <c r="M729" t="str">
        <f>IF(Labs!E729&gt;120,"High","Normal")</f>
        <v>High</v>
      </c>
      <c r="N729" t="str">
        <f t="shared" si="23"/>
        <v>High Risk</v>
      </c>
    </row>
    <row r="730" spans="1:14" x14ac:dyDescent="0.3">
      <c r="A730">
        <v>729</v>
      </c>
      <c r="B730" t="s">
        <v>350</v>
      </c>
      <c r="C730">
        <v>91</v>
      </c>
      <c r="D730" t="s">
        <v>10</v>
      </c>
      <c r="E730">
        <v>2</v>
      </c>
      <c r="F730" s="1">
        <v>45139</v>
      </c>
      <c r="G730" s="1">
        <v>45166</v>
      </c>
      <c r="H730">
        <v>1</v>
      </c>
      <c r="I730" s="3">
        <v>79129.5</v>
      </c>
      <c r="J730" t="str">
        <f>VLOOKUP(H730,Diagnosis!$A:$B,2,FALSE)</f>
        <v>Diabetes</v>
      </c>
      <c r="K730" t="str">
        <f>VLOOKUP(H730,Outcome!A$2:$B$7,2,FALSE)</f>
        <v>Recovered</v>
      </c>
      <c r="L730">
        <f t="shared" si="22"/>
        <v>27</v>
      </c>
      <c r="M730" t="str">
        <f>IF(Labs!E730&gt;120,"High","Normal")</f>
        <v>High</v>
      </c>
      <c r="N730" t="str">
        <f t="shared" si="23"/>
        <v>High Risk</v>
      </c>
    </row>
    <row r="731" spans="1:14" x14ac:dyDescent="0.3">
      <c r="A731">
        <v>730</v>
      </c>
      <c r="B731" t="s">
        <v>296</v>
      </c>
      <c r="C731">
        <v>81</v>
      </c>
      <c r="D731" t="s">
        <v>10</v>
      </c>
      <c r="E731">
        <v>7</v>
      </c>
      <c r="F731" s="1">
        <v>45393</v>
      </c>
      <c r="G731" s="1">
        <v>45405</v>
      </c>
      <c r="H731">
        <v>2</v>
      </c>
      <c r="I731" s="3">
        <v>39990.85</v>
      </c>
      <c r="J731" t="str">
        <f>VLOOKUP(H731,Diagnosis!$A:$B,2,FALSE)</f>
        <v>Hypertension</v>
      </c>
      <c r="K731" t="str">
        <f>VLOOKUP(H731,Outcome!A$2:$B$7,2,FALSE)</f>
        <v>Improved</v>
      </c>
      <c r="L731">
        <f t="shared" si="22"/>
        <v>12</v>
      </c>
      <c r="M731" t="str">
        <f>IF(Labs!E731&gt;120,"High","Normal")</f>
        <v>High</v>
      </c>
      <c r="N731" t="str">
        <f t="shared" si="23"/>
        <v>High Risk</v>
      </c>
    </row>
    <row r="732" spans="1:14" x14ac:dyDescent="0.3">
      <c r="A732">
        <v>731</v>
      </c>
      <c r="B732" t="s">
        <v>488</v>
      </c>
      <c r="C732">
        <v>18</v>
      </c>
      <c r="D732" t="s">
        <v>17</v>
      </c>
      <c r="E732">
        <v>9</v>
      </c>
      <c r="F732" s="1">
        <v>45349</v>
      </c>
      <c r="G732" s="1">
        <v>45375</v>
      </c>
      <c r="H732">
        <v>5</v>
      </c>
      <c r="I732" s="3">
        <v>151593.38</v>
      </c>
      <c r="J732" t="str">
        <f>VLOOKUP(H732,Diagnosis!$A:$B,2,FALSE)</f>
        <v>Heart Disease</v>
      </c>
      <c r="K732" t="str">
        <f>VLOOKUP(H732,Outcome!A$2:$B$7,2,FALSE)</f>
        <v>Readmitted</v>
      </c>
      <c r="L732">
        <f t="shared" si="22"/>
        <v>26</v>
      </c>
      <c r="M732" t="str">
        <f>IF(Labs!E732&gt;120,"High","Normal")</f>
        <v>High</v>
      </c>
      <c r="N732" t="str">
        <f t="shared" si="23"/>
        <v>High Risk</v>
      </c>
    </row>
    <row r="733" spans="1:14" x14ac:dyDescent="0.3">
      <c r="A733">
        <v>732</v>
      </c>
      <c r="B733" t="s">
        <v>382</v>
      </c>
      <c r="C733">
        <v>86</v>
      </c>
      <c r="D733" t="s">
        <v>17</v>
      </c>
      <c r="E733">
        <v>3</v>
      </c>
      <c r="F733" s="1">
        <v>44585</v>
      </c>
      <c r="G733" s="1">
        <v>44587</v>
      </c>
      <c r="H733">
        <v>2</v>
      </c>
      <c r="I733" s="3">
        <v>28059.27</v>
      </c>
      <c r="J733" t="str">
        <f>VLOOKUP(H733,Diagnosis!$A:$B,2,FALSE)</f>
        <v>Hypertension</v>
      </c>
      <c r="K733" t="str">
        <f>VLOOKUP(H733,Outcome!A$2:$B$7,2,FALSE)</f>
        <v>Improved</v>
      </c>
      <c r="L733">
        <f t="shared" si="22"/>
        <v>2</v>
      </c>
      <c r="M733" t="str">
        <f>IF(Labs!E733&gt;120,"High","Normal")</f>
        <v>High</v>
      </c>
      <c r="N733" t="str">
        <f t="shared" si="23"/>
        <v>High Risk</v>
      </c>
    </row>
    <row r="734" spans="1:14" x14ac:dyDescent="0.3">
      <c r="A734">
        <v>733</v>
      </c>
      <c r="B734" t="s">
        <v>489</v>
      </c>
      <c r="C734">
        <v>18</v>
      </c>
      <c r="D734" t="s">
        <v>17</v>
      </c>
      <c r="E734">
        <v>3</v>
      </c>
      <c r="F734" s="1">
        <v>45877</v>
      </c>
      <c r="G734" s="1">
        <v>45902</v>
      </c>
      <c r="H734">
        <v>2</v>
      </c>
      <c r="I734" s="3">
        <v>83445.09</v>
      </c>
      <c r="J734" t="str">
        <f>VLOOKUP(H734,Diagnosis!$A:$B,2,FALSE)</f>
        <v>Hypertension</v>
      </c>
      <c r="K734" t="str">
        <f>VLOOKUP(H734,Outcome!A$2:$B$7,2,FALSE)</f>
        <v>Improved</v>
      </c>
      <c r="L734">
        <f t="shared" si="22"/>
        <v>25</v>
      </c>
      <c r="M734" t="str">
        <f>IF(Labs!E734&gt;120,"High","Normal")</f>
        <v>High</v>
      </c>
      <c r="N734" t="str">
        <f t="shared" si="23"/>
        <v>High Risk</v>
      </c>
    </row>
    <row r="735" spans="1:14" x14ac:dyDescent="0.3">
      <c r="A735">
        <v>734</v>
      </c>
      <c r="B735" t="s">
        <v>490</v>
      </c>
      <c r="C735">
        <v>80</v>
      </c>
      <c r="D735" t="s">
        <v>17</v>
      </c>
      <c r="E735">
        <v>8</v>
      </c>
      <c r="F735" s="1">
        <v>45605</v>
      </c>
      <c r="G735" s="1">
        <v>45618</v>
      </c>
      <c r="H735">
        <v>2</v>
      </c>
      <c r="I735" s="3">
        <v>82383.12</v>
      </c>
      <c r="J735" t="str">
        <f>VLOOKUP(H735,Diagnosis!$A:$B,2,FALSE)</f>
        <v>Hypertension</v>
      </c>
      <c r="K735" t="str">
        <f>VLOOKUP(H735,Outcome!A$2:$B$7,2,FALSE)</f>
        <v>Improved</v>
      </c>
      <c r="L735">
        <f t="shared" si="22"/>
        <v>13</v>
      </c>
      <c r="M735" t="str">
        <f>IF(Labs!E735&gt;120,"High","Normal")</f>
        <v>High</v>
      </c>
      <c r="N735" t="str">
        <f t="shared" si="23"/>
        <v>High Risk</v>
      </c>
    </row>
    <row r="736" spans="1:14" x14ac:dyDescent="0.3">
      <c r="A736">
        <v>735</v>
      </c>
      <c r="B736" t="s">
        <v>76</v>
      </c>
      <c r="C736">
        <v>24</v>
      </c>
      <c r="D736" t="s">
        <v>10</v>
      </c>
      <c r="E736">
        <v>10</v>
      </c>
      <c r="F736" s="1">
        <v>44577</v>
      </c>
      <c r="G736" s="1">
        <v>44595</v>
      </c>
      <c r="H736">
        <v>2</v>
      </c>
      <c r="I736" s="3">
        <v>132237.12</v>
      </c>
      <c r="J736" t="str">
        <f>VLOOKUP(H736,Diagnosis!$A:$B,2,FALSE)</f>
        <v>Hypertension</v>
      </c>
      <c r="K736" t="str">
        <f>VLOOKUP(H736,Outcome!A$2:$B$7,2,FALSE)</f>
        <v>Improved</v>
      </c>
      <c r="L736">
        <f t="shared" si="22"/>
        <v>18</v>
      </c>
      <c r="M736" t="str">
        <f>IF(Labs!E736&gt;120,"High","Normal")</f>
        <v>High</v>
      </c>
      <c r="N736" t="str">
        <f t="shared" si="23"/>
        <v>High Risk</v>
      </c>
    </row>
    <row r="737" spans="1:14" x14ac:dyDescent="0.3">
      <c r="A737">
        <v>736</v>
      </c>
      <c r="B737" t="s">
        <v>111</v>
      </c>
      <c r="C737">
        <v>53</v>
      </c>
      <c r="D737" t="s">
        <v>10</v>
      </c>
      <c r="E737">
        <v>1</v>
      </c>
      <c r="F737" s="1">
        <v>44639</v>
      </c>
      <c r="G737" s="1">
        <v>44657</v>
      </c>
      <c r="H737">
        <v>2</v>
      </c>
      <c r="I737" s="3">
        <v>67922.7</v>
      </c>
      <c r="J737" t="str">
        <f>VLOOKUP(H737,Diagnosis!$A:$B,2,FALSE)</f>
        <v>Hypertension</v>
      </c>
      <c r="K737" t="str">
        <f>VLOOKUP(H737,Outcome!A$2:$B$7,2,FALSE)</f>
        <v>Improved</v>
      </c>
      <c r="L737">
        <f t="shared" si="22"/>
        <v>18</v>
      </c>
      <c r="M737" t="str">
        <f>IF(Labs!E737&gt;120,"High","Normal")</f>
        <v>High</v>
      </c>
      <c r="N737" t="str">
        <f t="shared" si="23"/>
        <v>High Risk</v>
      </c>
    </row>
    <row r="738" spans="1:14" x14ac:dyDescent="0.3">
      <c r="A738">
        <v>737</v>
      </c>
      <c r="B738" t="s">
        <v>491</v>
      </c>
      <c r="C738">
        <v>89</v>
      </c>
      <c r="D738" t="s">
        <v>17</v>
      </c>
      <c r="E738">
        <v>3</v>
      </c>
      <c r="F738" s="1">
        <v>46057</v>
      </c>
      <c r="G738" s="1">
        <v>46080</v>
      </c>
      <c r="H738">
        <v>2</v>
      </c>
      <c r="I738" s="3">
        <v>155034.74</v>
      </c>
      <c r="J738" t="str">
        <f>VLOOKUP(H738,Diagnosis!$A:$B,2,FALSE)</f>
        <v>Hypertension</v>
      </c>
      <c r="K738" t="str">
        <f>VLOOKUP(H738,Outcome!A$2:$B$7,2,FALSE)</f>
        <v>Improved</v>
      </c>
      <c r="L738">
        <f t="shared" si="22"/>
        <v>23</v>
      </c>
      <c r="M738" t="str">
        <f>IF(Labs!E738&gt;120,"High","Normal")</f>
        <v>High</v>
      </c>
      <c r="N738" t="str">
        <f t="shared" si="23"/>
        <v>High Risk</v>
      </c>
    </row>
    <row r="739" spans="1:14" x14ac:dyDescent="0.3">
      <c r="A739">
        <v>738</v>
      </c>
      <c r="B739" t="s">
        <v>314</v>
      </c>
      <c r="C739">
        <v>67</v>
      </c>
      <c r="D739" t="s">
        <v>17</v>
      </c>
      <c r="E739">
        <v>9</v>
      </c>
      <c r="F739" s="1">
        <v>45811</v>
      </c>
      <c r="G739" s="1">
        <v>45813</v>
      </c>
      <c r="H739">
        <v>1</v>
      </c>
      <c r="I739" s="3">
        <v>114442.66</v>
      </c>
      <c r="J739" t="str">
        <f>VLOOKUP(H739,Diagnosis!$A:$B,2,FALSE)</f>
        <v>Diabetes</v>
      </c>
      <c r="K739" t="str">
        <f>VLOOKUP(H739,Outcome!A$2:$B$7,2,FALSE)</f>
        <v>Recovered</v>
      </c>
      <c r="L739">
        <f t="shared" si="22"/>
        <v>2</v>
      </c>
      <c r="M739" t="str">
        <f>IF(Labs!E739&gt;120,"High","Normal")</f>
        <v>High</v>
      </c>
      <c r="N739" t="str">
        <f t="shared" si="23"/>
        <v>High Risk</v>
      </c>
    </row>
    <row r="740" spans="1:14" x14ac:dyDescent="0.3">
      <c r="A740">
        <v>739</v>
      </c>
      <c r="B740" t="s">
        <v>492</v>
      </c>
      <c r="C740">
        <v>75</v>
      </c>
      <c r="D740" t="s">
        <v>10</v>
      </c>
      <c r="E740">
        <v>10</v>
      </c>
      <c r="F740" s="1">
        <v>44670</v>
      </c>
      <c r="G740" s="1">
        <v>44698</v>
      </c>
      <c r="H740">
        <v>1</v>
      </c>
      <c r="I740" s="3">
        <v>140688.57</v>
      </c>
      <c r="J740" t="str">
        <f>VLOOKUP(H740,Diagnosis!$A:$B,2,FALSE)</f>
        <v>Diabetes</v>
      </c>
      <c r="K740" t="str">
        <f>VLOOKUP(H740,Outcome!A$2:$B$7,2,FALSE)</f>
        <v>Recovered</v>
      </c>
      <c r="L740">
        <f t="shared" si="22"/>
        <v>28</v>
      </c>
      <c r="M740" t="str">
        <f>IF(Labs!E740&gt;120,"High","Normal")</f>
        <v>High</v>
      </c>
      <c r="N740" t="str">
        <f t="shared" si="23"/>
        <v>High Risk</v>
      </c>
    </row>
    <row r="741" spans="1:14" x14ac:dyDescent="0.3">
      <c r="A741">
        <v>740</v>
      </c>
      <c r="B741" t="s">
        <v>83</v>
      </c>
      <c r="C741">
        <v>66</v>
      </c>
      <c r="D741" t="s">
        <v>10</v>
      </c>
      <c r="E741">
        <v>10</v>
      </c>
      <c r="F741" s="1">
        <v>46064</v>
      </c>
      <c r="G741" s="1">
        <v>46074</v>
      </c>
      <c r="H741">
        <v>2</v>
      </c>
      <c r="I741" s="3">
        <v>173003.18</v>
      </c>
      <c r="J741" t="str">
        <f>VLOOKUP(H741,Diagnosis!$A:$B,2,FALSE)</f>
        <v>Hypertension</v>
      </c>
      <c r="K741" t="str">
        <f>VLOOKUP(H741,Outcome!A$2:$B$7,2,FALSE)</f>
        <v>Improved</v>
      </c>
      <c r="L741">
        <f t="shared" si="22"/>
        <v>10</v>
      </c>
      <c r="M741" t="str">
        <f>IF(Labs!E741&gt;120,"High","Normal")</f>
        <v>High</v>
      </c>
      <c r="N741" t="str">
        <f t="shared" si="23"/>
        <v>High Risk</v>
      </c>
    </row>
    <row r="742" spans="1:14" x14ac:dyDescent="0.3">
      <c r="A742">
        <v>741</v>
      </c>
      <c r="B742" t="s">
        <v>287</v>
      </c>
      <c r="C742">
        <v>22</v>
      </c>
      <c r="D742" t="s">
        <v>17</v>
      </c>
      <c r="E742">
        <v>10</v>
      </c>
      <c r="F742" s="1">
        <v>46096</v>
      </c>
      <c r="G742" s="1">
        <v>46105</v>
      </c>
      <c r="H742">
        <v>3</v>
      </c>
      <c r="I742" s="3">
        <v>102557.86</v>
      </c>
      <c r="J742" t="str">
        <f>VLOOKUP(H742,Diagnosis!$A:$B,2,FALSE)</f>
        <v>Asthma</v>
      </c>
      <c r="K742" t="str">
        <f>VLOOKUP(H742,Outcome!A$2:$B$7,2,FALSE)</f>
        <v>Ongoing Treatment</v>
      </c>
      <c r="L742">
        <f t="shared" si="22"/>
        <v>9</v>
      </c>
      <c r="M742" t="str">
        <f>IF(Labs!E742&gt;120,"High","Normal")</f>
        <v>High</v>
      </c>
      <c r="N742" t="str">
        <f t="shared" si="23"/>
        <v>High Risk</v>
      </c>
    </row>
    <row r="743" spans="1:14" x14ac:dyDescent="0.3">
      <c r="A743">
        <v>742</v>
      </c>
      <c r="B743" t="s">
        <v>493</v>
      </c>
      <c r="C743">
        <v>75</v>
      </c>
      <c r="D743" t="s">
        <v>17</v>
      </c>
      <c r="E743">
        <v>10</v>
      </c>
      <c r="F743" s="1">
        <v>44667</v>
      </c>
      <c r="G743" s="1">
        <v>44688</v>
      </c>
      <c r="H743">
        <v>6</v>
      </c>
      <c r="I743" s="3">
        <v>146079</v>
      </c>
      <c r="J743" t="str">
        <f>VLOOKUP(H743,Diagnosis!$A:$B,2,FALSE)</f>
        <v>Kidney Disease</v>
      </c>
      <c r="K743" t="str">
        <f>VLOOKUP(H743,Outcome!A$2:$B$7,2,FALSE)</f>
        <v>Deceased</v>
      </c>
      <c r="L743">
        <f t="shared" si="22"/>
        <v>21</v>
      </c>
      <c r="M743" t="str">
        <f>IF(Labs!E743&gt;120,"High","Normal")</f>
        <v>High</v>
      </c>
      <c r="N743" t="str">
        <f t="shared" si="23"/>
        <v>High Risk</v>
      </c>
    </row>
    <row r="744" spans="1:14" x14ac:dyDescent="0.3">
      <c r="A744">
        <v>743</v>
      </c>
      <c r="B744" t="s">
        <v>494</v>
      </c>
      <c r="C744">
        <v>37</v>
      </c>
      <c r="D744" t="s">
        <v>10</v>
      </c>
      <c r="E744">
        <v>2</v>
      </c>
      <c r="F744" s="1">
        <v>44821</v>
      </c>
      <c r="G744" s="1">
        <v>44837</v>
      </c>
      <c r="H744">
        <v>1</v>
      </c>
      <c r="I744" s="3">
        <v>141617.9</v>
      </c>
      <c r="J744" t="str">
        <f>VLOOKUP(H744,Diagnosis!$A:$B,2,FALSE)</f>
        <v>Diabetes</v>
      </c>
      <c r="K744" t="str">
        <f>VLOOKUP(H744,Outcome!A$2:$B$7,2,FALSE)</f>
        <v>Recovered</v>
      </c>
      <c r="L744">
        <f t="shared" si="22"/>
        <v>16</v>
      </c>
      <c r="M744" t="str">
        <f>IF(Labs!E744&gt;120,"High","Normal")</f>
        <v>High</v>
      </c>
      <c r="N744" t="str">
        <f t="shared" si="23"/>
        <v>low risk</v>
      </c>
    </row>
    <row r="745" spans="1:14" x14ac:dyDescent="0.3">
      <c r="A745">
        <v>744</v>
      </c>
      <c r="B745" t="s">
        <v>495</v>
      </c>
      <c r="C745">
        <v>79</v>
      </c>
      <c r="D745" t="s">
        <v>10</v>
      </c>
      <c r="E745">
        <v>5</v>
      </c>
      <c r="F745" s="1">
        <v>45088</v>
      </c>
      <c r="G745" s="1">
        <v>45088</v>
      </c>
      <c r="H745">
        <v>3</v>
      </c>
      <c r="I745" s="3">
        <v>109678.32</v>
      </c>
      <c r="J745" t="str">
        <f>VLOOKUP(H745,Diagnosis!$A:$B,2,FALSE)</f>
        <v>Asthma</v>
      </c>
      <c r="K745" t="str">
        <f>VLOOKUP(H745,Outcome!A$2:$B$7,2,FALSE)</f>
        <v>Ongoing Treatment</v>
      </c>
      <c r="L745">
        <f t="shared" si="22"/>
        <v>0</v>
      </c>
      <c r="M745" t="str">
        <f>IF(Labs!E745&gt;120,"High","Normal")</f>
        <v>High</v>
      </c>
      <c r="N745" t="str">
        <f t="shared" si="23"/>
        <v>High Risk</v>
      </c>
    </row>
    <row r="746" spans="1:14" x14ac:dyDescent="0.3">
      <c r="A746">
        <v>745</v>
      </c>
      <c r="B746" t="s">
        <v>121</v>
      </c>
      <c r="C746">
        <v>85</v>
      </c>
      <c r="D746" t="s">
        <v>10</v>
      </c>
      <c r="E746">
        <v>6</v>
      </c>
      <c r="F746" s="1">
        <v>46216</v>
      </c>
      <c r="G746" s="1">
        <v>46221</v>
      </c>
      <c r="H746">
        <v>1</v>
      </c>
      <c r="I746" s="3">
        <v>126887.54</v>
      </c>
      <c r="J746" t="str">
        <f>VLOOKUP(H746,Diagnosis!$A:$B,2,FALSE)</f>
        <v>Diabetes</v>
      </c>
      <c r="K746" t="str">
        <f>VLOOKUP(H746,Outcome!A$2:$B$7,2,FALSE)</f>
        <v>Recovered</v>
      </c>
      <c r="L746">
        <f t="shared" si="22"/>
        <v>5</v>
      </c>
      <c r="M746" t="str">
        <f>IF(Labs!E746&gt;120,"High","Normal")</f>
        <v>High</v>
      </c>
      <c r="N746" t="str">
        <f t="shared" si="23"/>
        <v>High Risk</v>
      </c>
    </row>
    <row r="747" spans="1:14" x14ac:dyDescent="0.3">
      <c r="A747">
        <v>746</v>
      </c>
      <c r="B747" t="s">
        <v>281</v>
      </c>
      <c r="C747">
        <v>68</v>
      </c>
      <c r="D747" t="s">
        <v>17</v>
      </c>
      <c r="E747">
        <v>6</v>
      </c>
      <c r="F747" s="1">
        <v>44734</v>
      </c>
      <c r="G747" s="1">
        <v>44764</v>
      </c>
      <c r="H747">
        <v>1</v>
      </c>
      <c r="I747" s="3">
        <v>168274.68</v>
      </c>
      <c r="J747" t="str">
        <f>VLOOKUP(H747,Diagnosis!$A:$B,2,FALSE)</f>
        <v>Diabetes</v>
      </c>
      <c r="K747" t="str">
        <f>VLOOKUP(H747,Outcome!A$2:$B$7,2,FALSE)</f>
        <v>Recovered</v>
      </c>
      <c r="L747">
        <f t="shared" si="22"/>
        <v>30</v>
      </c>
      <c r="M747" t="str">
        <f>IF(Labs!E747&gt;120,"High","Normal")</f>
        <v>High</v>
      </c>
      <c r="N747" t="str">
        <f t="shared" si="23"/>
        <v>High Risk</v>
      </c>
    </row>
    <row r="748" spans="1:14" x14ac:dyDescent="0.3">
      <c r="A748">
        <v>747</v>
      </c>
      <c r="B748" t="s">
        <v>387</v>
      </c>
      <c r="C748">
        <v>53</v>
      </c>
      <c r="D748" t="s">
        <v>10</v>
      </c>
      <c r="E748">
        <v>4</v>
      </c>
      <c r="F748" s="1">
        <v>45915</v>
      </c>
      <c r="G748" s="1">
        <v>45929</v>
      </c>
      <c r="H748">
        <v>3</v>
      </c>
      <c r="I748" s="3">
        <v>32192.78</v>
      </c>
      <c r="J748" t="str">
        <f>VLOOKUP(H748,Diagnosis!$A:$B,2,FALSE)</f>
        <v>Asthma</v>
      </c>
      <c r="K748" t="str">
        <f>VLOOKUP(H748,Outcome!A$2:$B$7,2,FALSE)</f>
        <v>Ongoing Treatment</v>
      </c>
      <c r="L748">
        <f t="shared" si="22"/>
        <v>14</v>
      </c>
      <c r="M748" t="str">
        <f>IF(Labs!E748&gt;120,"High","Normal")</f>
        <v>High</v>
      </c>
      <c r="N748" t="str">
        <f t="shared" si="23"/>
        <v>High Risk</v>
      </c>
    </row>
    <row r="749" spans="1:14" x14ac:dyDescent="0.3">
      <c r="A749">
        <v>748</v>
      </c>
      <c r="B749" t="s">
        <v>123</v>
      </c>
      <c r="C749">
        <v>7</v>
      </c>
      <c r="D749" t="s">
        <v>10</v>
      </c>
      <c r="E749">
        <v>2</v>
      </c>
      <c r="F749" s="1">
        <v>44669</v>
      </c>
      <c r="G749" s="1">
        <v>44674</v>
      </c>
      <c r="H749">
        <v>2</v>
      </c>
      <c r="I749" s="3">
        <v>87031.17</v>
      </c>
      <c r="J749" t="str">
        <f>VLOOKUP(H749,Diagnosis!$A:$B,2,FALSE)</f>
        <v>Hypertension</v>
      </c>
      <c r="K749" t="str">
        <f>VLOOKUP(H749,Outcome!A$2:$B$7,2,FALSE)</f>
        <v>Improved</v>
      </c>
      <c r="L749">
        <f t="shared" si="22"/>
        <v>5</v>
      </c>
      <c r="M749" t="str">
        <f>IF(Labs!E749&gt;120,"High","Normal")</f>
        <v>High</v>
      </c>
      <c r="N749" t="str">
        <f t="shared" si="23"/>
        <v>High Risk</v>
      </c>
    </row>
    <row r="750" spans="1:14" x14ac:dyDescent="0.3">
      <c r="A750">
        <v>749</v>
      </c>
      <c r="B750" t="s">
        <v>496</v>
      </c>
      <c r="C750">
        <v>30</v>
      </c>
      <c r="D750" t="s">
        <v>10</v>
      </c>
      <c r="E750">
        <v>7</v>
      </c>
      <c r="F750" s="1">
        <v>45533</v>
      </c>
      <c r="G750" s="1">
        <v>45541</v>
      </c>
      <c r="H750">
        <v>1</v>
      </c>
      <c r="I750" s="3">
        <v>156974.29999999999</v>
      </c>
      <c r="J750" t="str">
        <f>VLOOKUP(H750,Diagnosis!$A:$B,2,FALSE)</f>
        <v>Diabetes</v>
      </c>
      <c r="K750" t="str">
        <f>VLOOKUP(H750,Outcome!A$2:$B$7,2,FALSE)</f>
        <v>Recovered</v>
      </c>
      <c r="L750">
        <f t="shared" si="22"/>
        <v>8</v>
      </c>
      <c r="M750" t="str">
        <f>IF(Labs!E750&gt;120,"High","Normal")</f>
        <v>High</v>
      </c>
      <c r="N750" t="str">
        <f t="shared" si="23"/>
        <v>low risk</v>
      </c>
    </row>
    <row r="751" spans="1:14" x14ac:dyDescent="0.3">
      <c r="A751">
        <v>750</v>
      </c>
      <c r="B751" t="s">
        <v>497</v>
      </c>
      <c r="C751">
        <v>58</v>
      </c>
      <c r="D751" t="s">
        <v>10</v>
      </c>
      <c r="E751">
        <v>6</v>
      </c>
      <c r="F751" s="1">
        <v>45647</v>
      </c>
      <c r="G751" s="1">
        <v>45668</v>
      </c>
      <c r="H751">
        <v>6</v>
      </c>
      <c r="I751" s="3">
        <v>19782.169999999998</v>
      </c>
      <c r="J751" t="str">
        <f>VLOOKUP(H751,Diagnosis!$A:$B,2,FALSE)</f>
        <v>Kidney Disease</v>
      </c>
      <c r="K751" t="str">
        <f>VLOOKUP(H751,Outcome!A$2:$B$7,2,FALSE)</f>
        <v>Deceased</v>
      </c>
      <c r="L751">
        <f t="shared" si="22"/>
        <v>21</v>
      </c>
      <c r="M751" t="str">
        <f>IF(Labs!E751&gt;120,"High","Normal")</f>
        <v>High</v>
      </c>
      <c r="N751" t="str">
        <f t="shared" si="23"/>
        <v>High Risk</v>
      </c>
    </row>
    <row r="752" spans="1:14" x14ac:dyDescent="0.3">
      <c r="A752">
        <v>751</v>
      </c>
      <c r="B752" t="s">
        <v>283</v>
      </c>
      <c r="C752">
        <v>56</v>
      </c>
      <c r="D752" t="s">
        <v>10</v>
      </c>
      <c r="E752">
        <v>6</v>
      </c>
      <c r="F752" s="1">
        <v>45115</v>
      </c>
      <c r="G752" s="1">
        <v>45123</v>
      </c>
      <c r="H752">
        <v>4</v>
      </c>
      <c r="I752" s="3">
        <v>47823.55</v>
      </c>
      <c r="J752" t="str">
        <f>VLOOKUP(H752,Diagnosis!$A:$B,2,FALSE)</f>
        <v>Pneumonia</v>
      </c>
      <c r="K752" t="str">
        <f>VLOOKUP(H752,Outcome!A$2:$B$7,2,FALSE)</f>
        <v>Referred</v>
      </c>
      <c r="L752">
        <f t="shared" si="22"/>
        <v>8</v>
      </c>
      <c r="M752" t="str">
        <f>IF(Labs!E752&gt;120,"High","Normal")</f>
        <v>High</v>
      </c>
      <c r="N752" t="str">
        <f t="shared" si="23"/>
        <v>High Risk</v>
      </c>
    </row>
    <row r="753" spans="1:14" x14ac:dyDescent="0.3">
      <c r="A753">
        <v>752</v>
      </c>
      <c r="B753" t="s">
        <v>296</v>
      </c>
      <c r="C753">
        <v>60</v>
      </c>
      <c r="D753" t="s">
        <v>17</v>
      </c>
      <c r="E753">
        <v>10</v>
      </c>
      <c r="F753" s="1">
        <v>46139</v>
      </c>
      <c r="G753" s="1">
        <v>46145</v>
      </c>
      <c r="H753">
        <v>2</v>
      </c>
      <c r="I753" s="3">
        <v>122794.97</v>
      </c>
      <c r="J753" t="str">
        <f>VLOOKUP(H753,Diagnosis!$A:$B,2,FALSE)</f>
        <v>Hypertension</v>
      </c>
      <c r="K753" t="str">
        <f>VLOOKUP(H753,Outcome!A$2:$B$7,2,FALSE)</f>
        <v>Improved</v>
      </c>
      <c r="L753">
        <f t="shared" si="22"/>
        <v>6</v>
      </c>
      <c r="M753" t="str">
        <f>IF(Labs!E753&gt;120,"High","Normal")</f>
        <v>High</v>
      </c>
      <c r="N753" t="str">
        <f t="shared" si="23"/>
        <v>High Risk</v>
      </c>
    </row>
    <row r="754" spans="1:14" x14ac:dyDescent="0.3">
      <c r="A754">
        <v>753</v>
      </c>
      <c r="B754" t="s">
        <v>322</v>
      </c>
      <c r="C754">
        <v>71</v>
      </c>
      <c r="D754" t="s">
        <v>17</v>
      </c>
      <c r="E754">
        <v>1</v>
      </c>
      <c r="F754" s="1">
        <v>46265</v>
      </c>
      <c r="G754" s="1">
        <v>46267</v>
      </c>
      <c r="H754">
        <v>1</v>
      </c>
      <c r="I754" s="3">
        <v>19841.53</v>
      </c>
      <c r="J754" t="str">
        <f>VLOOKUP(H754,Diagnosis!$A:$B,2,FALSE)</f>
        <v>Diabetes</v>
      </c>
      <c r="K754" t="str">
        <f>VLOOKUP(H754,Outcome!A$2:$B$7,2,FALSE)</f>
        <v>Recovered</v>
      </c>
      <c r="L754">
        <f t="shared" si="22"/>
        <v>2</v>
      </c>
      <c r="M754" t="str">
        <f>IF(Labs!E754&gt;120,"High","Normal")</f>
        <v>High</v>
      </c>
      <c r="N754" t="str">
        <f t="shared" si="23"/>
        <v>High Risk</v>
      </c>
    </row>
    <row r="755" spans="1:14" x14ac:dyDescent="0.3">
      <c r="A755">
        <v>754</v>
      </c>
      <c r="B755" t="s">
        <v>411</v>
      </c>
      <c r="C755">
        <v>45</v>
      </c>
      <c r="D755" t="s">
        <v>17</v>
      </c>
      <c r="E755">
        <v>5</v>
      </c>
      <c r="F755" s="1">
        <v>45077</v>
      </c>
      <c r="G755" s="1">
        <v>45083</v>
      </c>
      <c r="H755">
        <v>1</v>
      </c>
      <c r="I755" s="3">
        <v>112443.01</v>
      </c>
      <c r="J755" t="str">
        <f>VLOOKUP(H755,Diagnosis!$A:$B,2,FALSE)</f>
        <v>Diabetes</v>
      </c>
      <c r="K755" t="str">
        <f>VLOOKUP(H755,Outcome!A$2:$B$7,2,FALSE)</f>
        <v>Recovered</v>
      </c>
      <c r="L755">
        <f t="shared" si="22"/>
        <v>6</v>
      </c>
      <c r="M755" t="str">
        <f>IF(Labs!E755&gt;120,"High","Normal")</f>
        <v>High</v>
      </c>
      <c r="N755" t="str">
        <f t="shared" si="23"/>
        <v>low risk</v>
      </c>
    </row>
    <row r="756" spans="1:14" x14ac:dyDescent="0.3">
      <c r="A756">
        <v>755</v>
      </c>
      <c r="B756" t="s">
        <v>345</v>
      </c>
      <c r="C756">
        <v>85</v>
      </c>
      <c r="D756" t="s">
        <v>17</v>
      </c>
      <c r="E756">
        <v>10</v>
      </c>
      <c r="F756" s="1">
        <v>45868</v>
      </c>
      <c r="G756" s="1">
        <v>45871</v>
      </c>
      <c r="H756">
        <v>3</v>
      </c>
      <c r="I756" s="3">
        <v>23795.94</v>
      </c>
      <c r="J756" t="str">
        <f>VLOOKUP(H756,Diagnosis!$A:$B,2,FALSE)</f>
        <v>Asthma</v>
      </c>
      <c r="K756" t="str">
        <f>VLOOKUP(H756,Outcome!A$2:$B$7,2,FALSE)</f>
        <v>Ongoing Treatment</v>
      </c>
      <c r="L756">
        <f t="shared" si="22"/>
        <v>3</v>
      </c>
      <c r="M756" t="str">
        <f>IF(Labs!E756&gt;120,"High","Normal")</f>
        <v>High</v>
      </c>
      <c r="N756" t="str">
        <f t="shared" si="23"/>
        <v>High Risk</v>
      </c>
    </row>
    <row r="757" spans="1:14" x14ac:dyDescent="0.3">
      <c r="A757">
        <v>756</v>
      </c>
      <c r="B757" t="s">
        <v>200</v>
      </c>
      <c r="C757">
        <v>49</v>
      </c>
      <c r="D757" t="s">
        <v>17</v>
      </c>
      <c r="E757">
        <v>2</v>
      </c>
      <c r="F757" s="1">
        <v>45986</v>
      </c>
      <c r="G757" s="1">
        <v>45991</v>
      </c>
      <c r="H757">
        <v>1</v>
      </c>
      <c r="I757" s="3">
        <v>85384.61</v>
      </c>
      <c r="J757" t="str">
        <f>VLOOKUP(H757,Diagnosis!$A:$B,2,FALSE)</f>
        <v>Diabetes</v>
      </c>
      <c r="K757" t="str">
        <f>VLOOKUP(H757,Outcome!A$2:$B$7,2,FALSE)</f>
        <v>Recovered</v>
      </c>
      <c r="L757">
        <f t="shared" si="22"/>
        <v>5</v>
      </c>
      <c r="M757" t="str">
        <f>IF(Labs!E757&gt;120,"High","Normal")</f>
        <v>High</v>
      </c>
      <c r="N757" t="str">
        <f t="shared" si="23"/>
        <v>low risk</v>
      </c>
    </row>
    <row r="758" spans="1:14" x14ac:dyDescent="0.3">
      <c r="A758">
        <v>757</v>
      </c>
      <c r="B758" t="s">
        <v>180</v>
      </c>
      <c r="C758">
        <v>36</v>
      </c>
      <c r="D758" t="s">
        <v>10</v>
      </c>
      <c r="E758">
        <v>6</v>
      </c>
      <c r="F758" s="1">
        <v>45089</v>
      </c>
      <c r="G758" s="1">
        <v>45094</v>
      </c>
      <c r="H758">
        <v>4</v>
      </c>
      <c r="I758" s="3">
        <v>51718.53</v>
      </c>
      <c r="J758" t="str">
        <f>VLOOKUP(H758,Diagnosis!$A:$B,2,FALSE)</f>
        <v>Pneumonia</v>
      </c>
      <c r="K758" t="str">
        <f>VLOOKUP(H758,Outcome!A$2:$B$7,2,FALSE)</f>
        <v>Referred</v>
      </c>
      <c r="L758">
        <f t="shared" si="22"/>
        <v>5</v>
      </c>
      <c r="M758" t="str">
        <f>IF(Labs!E758&gt;120,"High","Normal")</f>
        <v>High</v>
      </c>
      <c r="N758" t="str">
        <f t="shared" si="23"/>
        <v>High Risk</v>
      </c>
    </row>
    <row r="759" spans="1:14" x14ac:dyDescent="0.3">
      <c r="A759">
        <v>758</v>
      </c>
      <c r="B759" t="s">
        <v>373</v>
      </c>
      <c r="C759">
        <v>50</v>
      </c>
      <c r="D759" t="s">
        <v>10</v>
      </c>
      <c r="E759">
        <v>1</v>
      </c>
      <c r="F759" s="1">
        <v>45090</v>
      </c>
      <c r="G759" s="1">
        <v>45120</v>
      </c>
      <c r="H759">
        <v>4</v>
      </c>
      <c r="I759" s="3">
        <v>34082.480000000003</v>
      </c>
      <c r="J759" t="str">
        <f>VLOOKUP(H759,Diagnosis!$A:$B,2,FALSE)</f>
        <v>Pneumonia</v>
      </c>
      <c r="K759" t="str">
        <f>VLOOKUP(H759,Outcome!A$2:$B$7,2,FALSE)</f>
        <v>Referred</v>
      </c>
      <c r="L759">
        <f t="shared" si="22"/>
        <v>30</v>
      </c>
      <c r="M759" t="str">
        <f>IF(Labs!E759&gt;120,"High","Normal")</f>
        <v>High</v>
      </c>
      <c r="N759" t="str">
        <f t="shared" si="23"/>
        <v>High Risk</v>
      </c>
    </row>
    <row r="760" spans="1:14" x14ac:dyDescent="0.3">
      <c r="A760">
        <v>759</v>
      </c>
      <c r="B760" t="s">
        <v>498</v>
      </c>
      <c r="C760">
        <v>26</v>
      </c>
      <c r="D760" t="s">
        <v>10</v>
      </c>
      <c r="E760">
        <v>3</v>
      </c>
      <c r="F760" s="1">
        <v>45883</v>
      </c>
      <c r="G760" s="1">
        <v>45898</v>
      </c>
      <c r="H760">
        <v>1</v>
      </c>
      <c r="I760" s="3">
        <v>98462.21</v>
      </c>
      <c r="J760" t="str">
        <f>VLOOKUP(H760,Diagnosis!$A:$B,2,FALSE)</f>
        <v>Diabetes</v>
      </c>
      <c r="K760" t="str">
        <f>VLOOKUP(H760,Outcome!A$2:$B$7,2,FALSE)</f>
        <v>Recovered</v>
      </c>
      <c r="L760">
        <f t="shared" si="22"/>
        <v>15</v>
      </c>
      <c r="M760" t="str">
        <f>IF(Labs!E760&gt;120,"High","Normal")</f>
        <v>High</v>
      </c>
      <c r="N760" t="str">
        <f t="shared" si="23"/>
        <v>low risk</v>
      </c>
    </row>
    <row r="761" spans="1:14" x14ac:dyDescent="0.3">
      <c r="A761">
        <v>760</v>
      </c>
      <c r="B761" t="s">
        <v>499</v>
      </c>
      <c r="C761">
        <v>79</v>
      </c>
      <c r="D761" t="s">
        <v>17</v>
      </c>
      <c r="E761">
        <v>8</v>
      </c>
      <c r="F761" s="1">
        <v>46027</v>
      </c>
      <c r="G761" s="1">
        <v>46035</v>
      </c>
      <c r="H761">
        <v>1</v>
      </c>
      <c r="I761" s="3">
        <v>15443.21</v>
      </c>
      <c r="J761" t="str">
        <f>VLOOKUP(H761,Diagnosis!$A:$B,2,FALSE)</f>
        <v>Diabetes</v>
      </c>
      <c r="K761" t="str">
        <f>VLOOKUP(H761,Outcome!A$2:$B$7,2,FALSE)</f>
        <v>Recovered</v>
      </c>
      <c r="L761">
        <f t="shared" si="22"/>
        <v>8</v>
      </c>
      <c r="M761" t="str">
        <f>IF(Labs!E761&gt;120,"High","Normal")</f>
        <v>High</v>
      </c>
      <c r="N761" t="str">
        <f t="shared" si="23"/>
        <v>High Risk</v>
      </c>
    </row>
    <row r="762" spans="1:14" x14ac:dyDescent="0.3">
      <c r="A762">
        <v>761</v>
      </c>
      <c r="B762" t="s">
        <v>198</v>
      </c>
      <c r="C762">
        <v>58</v>
      </c>
      <c r="D762" t="s">
        <v>17</v>
      </c>
      <c r="E762">
        <v>8</v>
      </c>
      <c r="F762" s="1">
        <v>44866</v>
      </c>
      <c r="G762" s="1">
        <v>44886</v>
      </c>
      <c r="H762">
        <v>2</v>
      </c>
      <c r="I762" s="3">
        <v>168088.64</v>
      </c>
      <c r="J762" t="str">
        <f>VLOOKUP(H762,Diagnosis!$A:$B,2,FALSE)</f>
        <v>Hypertension</v>
      </c>
      <c r="K762" t="str">
        <f>VLOOKUP(H762,Outcome!A$2:$B$7,2,FALSE)</f>
        <v>Improved</v>
      </c>
      <c r="L762">
        <f t="shared" si="22"/>
        <v>20</v>
      </c>
      <c r="M762" t="str">
        <f>IF(Labs!E762&gt;120,"High","Normal")</f>
        <v>High</v>
      </c>
      <c r="N762" t="str">
        <f t="shared" si="23"/>
        <v>High Risk</v>
      </c>
    </row>
    <row r="763" spans="1:14" x14ac:dyDescent="0.3">
      <c r="A763">
        <v>762</v>
      </c>
      <c r="B763" t="s">
        <v>500</v>
      </c>
      <c r="C763">
        <v>20</v>
      </c>
      <c r="D763" t="s">
        <v>10</v>
      </c>
      <c r="E763">
        <v>7</v>
      </c>
      <c r="F763" s="1">
        <v>45738</v>
      </c>
      <c r="G763" s="1">
        <v>45738</v>
      </c>
      <c r="H763">
        <v>2</v>
      </c>
      <c r="I763" s="3">
        <v>169334.22</v>
      </c>
      <c r="J763" t="str">
        <f>VLOOKUP(H763,Diagnosis!$A:$B,2,FALSE)</f>
        <v>Hypertension</v>
      </c>
      <c r="K763" t="str">
        <f>VLOOKUP(H763,Outcome!A$2:$B$7,2,FALSE)</f>
        <v>Improved</v>
      </c>
      <c r="L763">
        <f t="shared" si="22"/>
        <v>0</v>
      </c>
      <c r="M763" t="str">
        <f>IF(Labs!E763&gt;120,"High","Normal")</f>
        <v>High</v>
      </c>
      <c r="N763" t="str">
        <f t="shared" si="23"/>
        <v>High Risk</v>
      </c>
    </row>
    <row r="764" spans="1:14" x14ac:dyDescent="0.3">
      <c r="A764">
        <v>763</v>
      </c>
      <c r="B764" t="s">
        <v>389</v>
      </c>
      <c r="C764">
        <v>56</v>
      </c>
      <c r="D764" t="s">
        <v>10</v>
      </c>
      <c r="E764">
        <v>2</v>
      </c>
      <c r="F764" s="1">
        <v>45668</v>
      </c>
      <c r="G764" s="1">
        <v>45675</v>
      </c>
      <c r="H764">
        <v>1</v>
      </c>
      <c r="I764" s="3">
        <v>171862.57</v>
      </c>
      <c r="J764" t="str">
        <f>VLOOKUP(H764,Diagnosis!$A:$B,2,FALSE)</f>
        <v>Diabetes</v>
      </c>
      <c r="K764" t="str">
        <f>VLOOKUP(H764,Outcome!A$2:$B$7,2,FALSE)</f>
        <v>Recovered</v>
      </c>
      <c r="L764">
        <f t="shared" si="22"/>
        <v>7</v>
      </c>
      <c r="M764" t="str">
        <f>IF(Labs!E764&gt;120,"High","Normal")</f>
        <v>High</v>
      </c>
      <c r="N764" t="str">
        <f t="shared" si="23"/>
        <v>low risk</v>
      </c>
    </row>
    <row r="765" spans="1:14" x14ac:dyDescent="0.3">
      <c r="A765">
        <v>764</v>
      </c>
      <c r="B765" t="s">
        <v>274</v>
      </c>
      <c r="C765">
        <v>73</v>
      </c>
      <c r="D765" t="s">
        <v>10</v>
      </c>
      <c r="E765">
        <v>6</v>
      </c>
      <c r="F765" s="1">
        <v>45958</v>
      </c>
      <c r="G765" s="1">
        <v>45967</v>
      </c>
      <c r="H765">
        <v>2</v>
      </c>
      <c r="I765" s="3">
        <v>114728.37</v>
      </c>
      <c r="J765" t="str">
        <f>VLOOKUP(H765,Diagnosis!$A:$B,2,FALSE)</f>
        <v>Hypertension</v>
      </c>
      <c r="K765" t="str">
        <f>VLOOKUP(H765,Outcome!A$2:$B$7,2,FALSE)</f>
        <v>Improved</v>
      </c>
      <c r="L765">
        <f t="shared" si="22"/>
        <v>9</v>
      </c>
      <c r="M765" t="str">
        <f>IF(Labs!E765&gt;120,"High","Normal")</f>
        <v>High</v>
      </c>
      <c r="N765" t="str">
        <f t="shared" si="23"/>
        <v>High Risk</v>
      </c>
    </row>
    <row r="766" spans="1:14" x14ac:dyDescent="0.3">
      <c r="A766">
        <v>765</v>
      </c>
      <c r="B766" t="s">
        <v>261</v>
      </c>
      <c r="C766">
        <v>69</v>
      </c>
      <c r="D766" t="s">
        <v>10</v>
      </c>
      <c r="E766">
        <v>2</v>
      </c>
      <c r="F766" s="1">
        <v>46284</v>
      </c>
      <c r="G766" s="1">
        <v>46298</v>
      </c>
      <c r="H766">
        <v>3</v>
      </c>
      <c r="I766" s="3">
        <v>53967.66</v>
      </c>
      <c r="J766" t="str">
        <f>VLOOKUP(H766,Diagnosis!$A:$B,2,FALSE)</f>
        <v>Asthma</v>
      </c>
      <c r="K766" t="str">
        <f>VLOOKUP(H766,Outcome!A$2:$B$7,2,FALSE)</f>
        <v>Ongoing Treatment</v>
      </c>
      <c r="L766">
        <f t="shared" si="22"/>
        <v>14</v>
      </c>
      <c r="M766" t="str">
        <f>IF(Labs!E766&gt;120,"High","Normal")</f>
        <v>High</v>
      </c>
      <c r="N766" t="str">
        <f t="shared" si="23"/>
        <v>High Risk</v>
      </c>
    </row>
    <row r="767" spans="1:14" x14ac:dyDescent="0.3">
      <c r="A767">
        <v>766</v>
      </c>
      <c r="B767" t="s">
        <v>501</v>
      </c>
      <c r="C767">
        <v>71</v>
      </c>
      <c r="D767" t="s">
        <v>17</v>
      </c>
      <c r="E767">
        <v>7</v>
      </c>
      <c r="F767" s="1">
        <v>45915</v>
      </c>
      <c r="G767" s="1">
        <v>45921</v>
      </c>
      <c r="H767">
        <v>1</v>
      </c>
      <c r="I767" s="3">
        <v>71743.59</v>
      </c>
      <c r="J767" t="str">
        <f>VLOOKUP(H767,Diagnosis!$A:$B,2,FALSE)</f>
        <v>Diabetes</v>
      </c>
      <c r="K767" t="str">
        <f>VLOOKUP(H767,Outcome!A$2:$B$7,2,FALSE)</f>
        <v>Recovered</v>
      </c>
      <c r="L767">
        <f t="shared" si="22"/>
        <v>6</v>
      </c>
      <c r="M767" t="str">
        <f>IF(Labs!E767&gt;120,"High","Normal")</f>
        <v>High</v>
      </c>
      <c r="N767" t="str">
        <f t="shared" si="23"/>
        <v>High Risk</v>
      </c>
    </row>
    <row r="768" spans="1:14" x14ac:dyDescent="0.3">
      <c r="A768">
        <v>767</v>
      </c>
      <c r="B768" t="s">
        <v>133</v>
      </c>
      <c r="C768">
        <v>63</v>
      </c>
      <c r="D768" t="s">
        <v>17</v>
      </c>
      <c r="E768">
        <v>8</v>
      </c>
      <c r="F768" s="1">
        <v>46067</v>
      </c>
      <c r="G768" s="1">
        <v>46073</v>
      </c>
      <c r="H768">
        <v>1</v>
      </c>
      <c r="I768" s="3">
        <v>36773.96</v>
      </c>
      <c r="J768" t="str">
        <f>VLOOKUP(H768,Diagnosis!$A:$B,2,FALSE)</f>
        <v>Diabetes</v>
      </c>
      <c r="K768" t="str">
        <f>VLOOKUP(H768,Outcome!A$2:$B$7,2,FALSE)</f>
        <v>Recovered</v>
      </c>
      <c r="L768">
        <f t="shared" si="22"/>
        <v>6</v>
      </c>
      <c r="M768" t="str">
        <f>IF(Labs!E768&gt;120,"High","Normal")</f>
        <v>High</v>
      </c>
      <c r="N768" t="str">
        <f t="shared" si="23"/>
        <v>low risk</v>
      </c>
    </row>
    <row r="769" spans="1:14" x14ac:dyDescent="0.3">
      <c r="A769">
        <v>768</v>
      </c>
      <c r="B769" t="s">
        <v>33</v>
      </c>
      <c r="C769">
        <v>63</v>
      </c>
      <c r="D769" t="s">
        <v>10</v>
      </c>
      <c r="E769">
        <v>2</v>
      </c>
      <c r="F769" s="1">
        <v>46185</v>
      </c>
      <c r="G769" s="1">
        <v>46202</v>
      </c>
      <c r="H769">
        <v>2</v>
      </c>
      <c r="I769" s="3">
        <v>91193.94</v>
      </c>
      <c r="J769" t="str">
        <f>VLOOKUP(H769,Diagnosis!$A:$B,2,FALSE)</f>
        <v>Hypertension</v>
      </c>
      <c r="K769" t="str">
        <f>VLOOKUP(H769,Outcome!A$2:$B$7,2,FALSE)</f>
        <v>Improved</v>
      </c>
      <c r="L769">
        <f t="shared" si="22"/>
        <v>17</v>
      </c>
      <c r="M769" t="str">
        <f>IF(Labs!E769&gt;120,"High","Normal")</f>
        <v>High</v>
      </c>
      <c r="N769" t="str">
        <f t="shared" si="23"/>
        <v>High Risk</v>
      </c>
    </row>
    <row r="770" spans="1:14" x14ac:dyDescent="0.3">
      <c r="A770">
        <v>769</v>
      </c>
      <c r="B770" t="s">
        <v>502</v>
      </c>
      <c r="C770">
        <v>5</v>
      </c>
      <c r="D770" t="s">
        <v>10</v>
      </c>
      <c r="E770">
        <v>1</v>
      </c>
      <c r="F770" s="1">
        <v>45253</v>
      </c>
      <c r="G770" s="1">
        <v>45278</v>
      </c>
      <c r="H770">
        <v>3</v>
      </c>
      <c r="I770" s="3">
        <v>74477.64</v>
      </c>
      <c r="J770" t="str">
        <f>VLOOKUP(H770,Diagnosis!$A:$B,2,FALSE)</f>
        <v>Asthma</v>
      </c>
      <c r="K770" t="str">
        <f>VLOOKUP(H770,Outcome!A$2:$B$7,2,FALSE)</f>
        <v>Ongoing Treatment</v>
      </c>
      <c r="L770">
        <f t="shared" si="22"/>
        <v>25</v>
      </c>
      <c r="M770" t="str">
        <f>IF(Labs!E770&gt;120,"High","Normal")</f>
        <v>High</v>
      </c>
      <c r="N770" t="str">
        <f t="shared" si="23"/>
        <v>High Risk</v>
      </c>
    </row>
    <row r="771" spans="1:14" x14ac:dyDescent="0.3">
      <c r="A771">
        <v>770</v>
      </c>
      <c r="B771" t="s">
        <v>434</v>
      </c>
      <c r="C771">
        <v>59</v>
      </c>
      <c r="D771" t="s">
        <v>17</v>
      </c>
      <c r="E771">
        <v>10</v>
      </c>
      <c r="F771" s="1">
        <v>45039</v>
      </c>
      <c r="G771" s="1">
        <v>45068</v>
      </c>
      <c r="H771">
        <v>1</v>
      </c>
      <c r="I771" s="3">
        <v>133044.1</v>
      </c>
      <c r="J771" t="str">
        <f>VLOOKUP(H771,Diagnosis!$A:$B,2,FALSE)</f>
        <v>Diabetes</v>
      </c>
      <c r="K771" t="str">
        <f>VLOOKUP(H771,Outcome!A$2:$B$7,2,FALSE)</f>
        <v>Recovered</v>
      </c>
      <c r="L771">
        <f t="shared" ref="L771:L834" si="24">DATEDIF(F771,G771,"d")</f>
        <v>29</v>
      </c>
      <c r="M771" t="str">
        <f>IF(Labs!E771&gt;120,"High","Normal")</f>
        <v>High</v>
      </c>
      <c r="N771" t="str">
        <f t="shared" si="23"/>
        <v>low risk</v>
      </c>
    </row>
    <row r="772" spans="1:14" x14ac:dyDescent="0.3">
      <c r="A772">
        <v>771</v>
      </c>
      <c r="B772" t="s">
        <v>503</v>
      </c>
      <c r="C772">
        <v>61</v>
      </c>
      <c r="D772" t="s">
        <v>17</v>
      </c>
      <c r="E772">
        <v>4</v>
      </c>
      <c r="F772" s="1">
        <v>45998</v>
      </c>
      <c r="G772" s="1">
        <v>46018</v>
      </c>
      <c r="H772">
        <v>1</v>
      </c>
      <c r="I772" s="3">
        <v>33074.199999999997</v>
      </c>
      <c r="J772" t="str">
        <f>VLOOKUP(H772,Diagnosis!$A:$B,2,FALSE)</f>
        <v>Diabetes</v>
      </c>
      <c r="K772" t="str">
        <f>VLOOKUP(H772,Outcome!A$2:$B$7,2,FALSE)</f>
        <v>Recovered</v>
      </c>
      <c r="L772">
        <f t="shared" si="24"/>
        <v>20</v>
      </c>
      <c r="M772" t="str">
        <f>IF(Labs!E772&gt;120,"High","Normal")</f>
        <v>High</v>
      </c>
      <c r="N772" t="str">
        <f t="shared" ref="N772:N835" si="25">IF(OR(C772&gt;65,H772&lt;&gt;1),"High Risk","low risk")</f>
        <v>low risk</v>
      </c>
    </row>
    <row r="773" spans="1:14" x14ac:dyDescent="0.3">
      <c r="A773">
        <v>772</v>
      </c>
      <c r="B773" t="s">
        <v>504</v>
      </c>
      <c r="C773">
        <v>13</v>
      </c>
      <c r="D773" t="s">
        <v>10</v>
      </c>
      <c r="E773">
        <v>10</v>
      </c>
      <c r="F773" s="1">
        <v>44911</v>
      </c>
      <c r="G773" s="1">
        <v>44937</v>
      </c>
      <c r="H773">
        <v>2</v>
      </c>
      <c r="I773" s="3">
        <v>147659.53</v>
      </c>
      <c r="J773" t="str">
        <f>VLOOKUP(H773,Diagnosis!$A:$B,2,FALSE)</f>
        <v>Hypertension</v>
      </c>
      <c r="K773" t="str">
        <f>VLOOKUP(H773,Outcome!A$2:$B$7,2,FALSE)</f>
        <v>Improved</v>
      </c>
      <c r="L773">
        <f t="shared" si="24"/>
        <v>26</v>
      </c>
      <c r="M773" t="str">
        <f>IF(Labs!E773&gt;120,"High","Normal")</f>
        <v>High</v>
      </c>
      <c r="N773" t="str">
        <f t="shared" si="25"/>
        <v>High Risk</v>
      </c>
    </row>
    <row r="774" spans="1:14" x14ac:dyDescent="0.3">
      <c r="A774">
        <v>773</v>
      </c>
      <c r="B774" t="s">
        <v>294</v>
      </c>
      <c r="C774">
        <v>64</v>
      </c>
      <c r="D774" t="s">
        <v>17</v>
      </c>
      <c r="E774">
        <v>2</v>
      </c>
      <c r="F774" s="1">
        <v>46209</v>
      </c>
      <c r="G774" s="1">
        <v>46215</v>
      </c>
      <c r="H774">
        <v>2</v>
      </c>
      <c r="I774" s="3">
        <v>146544.98000000001</v>
      </c>
      <c r="J774" t="str">
        <f>VLOOKUP(H774,Diagnosis!$A:$B,2,FALSE)</f>
        <v>Hypertension</v>
      </c>
      <c r="K774" t="str">
        <f>VLOOKUP(H774,Outcome!A$2:$B$7,2,FALSE)</f>
        <v>Improved</v>
      </c>
      <c r="L774">
        <f t="shared" si="24"/>
        <v>6</v>
      </c>
      <c r="M774" t="str">
        <f>IF(Labs!E774&gt;120,"High","Normal")</f>
        <v>High</v>
      </c>
      <c r="N774" t="str">
        <f t="shared" si="25"/>
        <v>High Risk</v>
      </c>
    </row>
    <row r="775" spans="1:14" x14ac:dyDescent="0.3">
      <c r="A775">
        <v>774</v>
      </c>
      <c r="B775" t="s">
        <v>266</v>
      </c>
      <c r="C775">
        <v>16</v>
      </c>
      <c r="D775" t="s">
        <v>17</v>
      </c>
      <c r="E775">
        <v>6</v>
      </c>
      <c r="F775" s="1">
        <v>46275</v>
      </c>
      <c r="G775" s="1">
        <v>46305</v>
      </c>
      <c r="H775">
        <v>4</v>
      </c>
      <c r="I775" s="3">
        <v>138150.45000000001</v>
      </c>
      <c r="J775" t="str">
        <f>VLOOKUP(H775,Diagnosis!$A:$B,2,FALSE)</f>
        <v>Pneumonia</v>
      </c>
      <c r="K775" t="str">
        <f>VLOOKUP(H775,Outcome!A$2:$B$7,2,FALSE)</f>
        <v>Referred</v>
      </c>
      <c r="L775">
        <f t="shared" si="24"/>
        <v>30</v>
      </c>
      <c r="M775" t="str">
        <f>IF(Labs!E775&gt;120,"High","Normal")</f>
        <v>High</v>
      </c>
      <c r="N775" t="str">
        <f t="shared" si="25"/>
        <v>High Risk</v>
      </c>
    </row>
    <row r="776" spans="1:14" x14ac:dyDescent="0.3">
      <c r="A776">
        <v>775</v>
      </c>
      <c r="B776" t="s">
        <v>505</v>
      </c>
      <c r="C776">
        <v>43</v>
      </c>
      <c r="D776" t="s">
        <v>17</v>
      </c>
      <c r="E776">
        <v>2</v>
      </c>
      <c r="F776" s="1">
        <v>45122</v>
      </c>
      <c r="G776" s="1">
        <v>45126</v>
      </c>
      <c r="H776">
        <v>3</v>
      </c>
      <c r="I776" s="3">
        <v>32329.03</v>
      </c>
      <c r="J776" t="str">
        <f>VLOOKUP(H776,Diagnosis!$A:$B,2,FALSE)</f>
        <v>Asthma</v>
      </c>
      <c r="K776" t="str">
        <f>VLOOKUP(H776,Outcome!A$2:$B$7,2,FALSE)</f>
        <v>Ongoing Treatment</v>
      </c>
      <c r="L776">
        <f t="shared" si="24"/>
        <v>4</v>
      </c>
      <c r="M776" t="str">
        <f>IF(Labs!E776&gt;120,"High","Normal")</f>
        <v>High</v>
      </c>
      <c r="N776" t="str">
        <f t="shared" si="25"/>
        <v>High Risk</v>
      </c>
    </row>
    <row r="777" spans="1:14" x14ac:dyDescent="0.3">
      <c r="A777">
        <v>776</v>
      </c>
      <c r="B777" t="s">
        <v>399</v>
      </c>
      <c r="C777">
        <v>22</v>
      </c>
      <c r="D777" t="s">
        <v>10</v>
      </c>
      <c r="E777">
        <v>4</v>
      </c>
      <c r="F777" s="1">
        <v>45753</v>
      </c>
      <c r="G777" s="1">
        <v>45754</v>
      </c>
      <c r="H777">
        <v>1</v>
      </c>
      <c r="I777" s="3">
        <v>142911.78</v>
      </c>
      <c r="J777" t="str">
        <f>VLOOKUP(H777,Diagnosis!$A:$B,2,FALSE)</f>
        <v>Diabetes</v>
      </c>
      <c r="K777" t="str">
        <f>VLOOKUP(H777,Outcome!A$2:$B$7,2,FALSE)</f>
        <v>Recovered</v>
      </c>
      <c r="L777">
        <f t="shared" si="24"/>
        <v>1</v>
      </c>
      <c r="M777" t="str">
        <f>IF(Labs!E777&gt;120,"High","Normal")</f>
        <v>High</v>
      </c>
      <c r="N777" t="str">
        <f t="shared" si="25"/>
        <v>low risk</v>
      </c>
    </row>
    <row r="778" spans="1:14" x14ac:dyDescent="0.3">
      <c r="A778">
        <v>777</v>
      </c>
      <c r="B778" t="s">
        <v>265</v>
      </c>
      <c r="C778">
        <v>21</v>
      </c>
      <c r="D778" t="s">
        <v>17</v>
      </c>
      <c r="E778">
        <v>8</v>
      </c>
      <c r="F778" s="1">
        <v>44727</v>
      </c>
      <c r="G778" s="1">
        <v>44727</v>
      </c>
      <c r="H778">
        <v>1</v>
      </c>
      <c r="I778" s="3">
        <v>166889.31</v>
      </c>
      <c r="J778" t="str">
        <f>VLOOKUP(H778,Diagnosis!$A:$B,2,FALSE)</f>
        <v>Diabetes</v>
      </c>
      <c r="K778" t="str">
        <f>VLOOKUP(H778,Outcome!A$2:$B$7,2,FALSE)</f>
        <v>Recovered</v>
      </c>
      <c r="L778">
        <f t="shared" si="24"/>
        <v>0</v>
      </c>
      <c r="M778" t="str">
        <f>IF(Labs!E778&gt;120,"High","Normal")</f>
        <v>High</v>
      </c>
      <c r="N778" t="str">
        <f t="shared" si="25"/>
        <v>low risk</v>
      </c>
    </row>
    <row r="779" spans="1:14" x14ac:dyDescent="0.3">
      <c r="A779">
        <v>778</v>
      </c>
      <c r="B779" t="s">
        <v>506</v>
      </c>
      <c r="C779">
        <v>54</v>
      </c>
      <c r="D779" t="s">
        <v>10</v>
      </c>
      <c r="E779">
        <v>3</v>
      </c>
      <c r="F779" s="1">
        <v>44984</v>
      </c>
      <c r="G779" s="1">
        <v>44988</v>
      </c>
      <c r="H779">
        <v>2</v>
      </c>
      <c r="I779" s="3">
        <v>95347.92</v>
      </c>
      <c r="J779" t="str">
        <f>VLOOKUP(H779,Diagnosis!$A:$B,2,FALSE)</f>
        <v>Hypertension</v>
      </c>
      <c r="K779" t="str">
        <f>VLOOKUP(H779,Outcome!A$2:$B$7,2,FALSE)</f>
        <v>Improved</v>
      </c>
      <c r="L779">
        <f t="shared" si="24"/>
        <v>4</v>
      </c>
      <c r="M779" t="str">
        <f>IF(Labs!E779&gt;120,"High","Normal")</f>
        <v>High</v>
      </c>
      <c r="N779" t="str">
        <f t="shared" si="25"/>
        <v>High Risk</v>
      </c>
    </row>
    <row r="780" spans="1:14" x14ac:dyDescent="0.3">
      <c r="A780">
        <v>779</v>
      </c>
      <c r="B780" t="s">
        <v>507</v>
      </c>
      <c r="C780">
        <v>23</v>
      </c>
      <c r="D780" t="s">
        <v>17</v>
      </c>
      <c r="E780">
        <v>10</v>
      </c>
      <c r="F780" s="1">
        <v>44930</v>
      </c>
      <c r="G780" s="1">
        <v>44952</v>
      </c>
      <c r="H780">
        <v>2</v>
      </c>
      <c r="I780" s="3">
        <v>171177.91</v>
      </c>
      <c r="J780" t="str">
        <f>VLOOKUP(H780,Diagnosis!$A:$B,2,FALSE)</f>
        <v>Hypertension</v>
      </c>
      <c r="K780" t="str">
        <f>VLOOKUP(H780,Outcome!A$2:$B$7,2,FALSE)</f>
        <v>Improved</v>
      </c>
      <c r="L780">
        <f t="shared" si="24"/>
        <v>22</v>
      </c>
      <c r="M780" t="str">
        <f>IF(Labs!E780&gt;120,"High","Normal")</f>
        <v>High</v>
      </c>
      <c r="N780" t="str">
        <f t="shared" si="25"/>
        <v>High Risk</v>
      </c>
    </row>
    <row r="781" spans="1:14" x14ac:dyDescent="0.3">
      <c r="A781">
        <v>780</v>
      </c>
      <c r="B781" t="s">
        <v>419</v>
      </c>
      <c r="C781">
        <v>54</v>
      </c>
      <c r="D781" t="s">
        <v>17</v>
      </c>
      <c r="E781">
        <v>9</v>
      </c>
      <c r="F781" s="1">
        <v>45044</v>
      </c>
      <c r="G781" s="1">
        <v>45050</v>
      </c>
      <c r="H781">
        <v>1</v>
      </c>
      <c r="I781" s="3">
        <v>96610.33</v>
      </c>
      <c r="J781" t="str">
        <f>VLOOKUP(H781,Diagnosis!$A:$B,2,FALSE)</f>
        <v>Diabetes</v>
      </c>
      <c r="K781" t="str">
        <f>VLOOKUP(H781,Outcome!A$2:$B$7,2,FALSE)</f>
        <v>Recovered</v>
      </c>
      <c r="L781">
        <f t="shared" si="24"/>
        <v>6</v>
      </c>
      <c r="M781" t="str">
        <f>IF(Labs!E781&gt;120,"High","Normal")</f>
        <v>High</v>
      </c>
      <c r="N781" t="str">
        <f t="shared" si="25"/>
        <v>low risk</v>
      </c>
    </row>
    <row r="782" spans="1:14" x14ac:dyDescent="0.3">
      <c r="A782">
        <v>781</v>
      </c>
      <c r="B782" t="s">
        <v>442</v>
      </c>
      <c r="C782">
        <v>47</v>
      </c>
      <c r="D782" t="s">
        <v>17</v>
      </c>
      <c r="E782">
        <v>8</v>
      </c>
      <c r="F782" s="1">
        <v>46139</v>
      </c>
      <c r="G782" s="1">
        <v>46159</v>
      </c>
      <c r="H782">
        <v>3</v>
      </c>
      <c r="I782" s="3">
        <v>51565.72</v>
      </c>
      <c r="J782" t="str">
        <f>VLOOKUP(H782,Diagnosis!$A:$B,2,FALSE)</f>
        <v>Asthma</v>
      </c>
      <c r="K782" t="str">
        <f>VLOOKUP(H782,Outcome!A$2:$B$7,2,FALSE)</f>
        <v>Ongoing Treatment</v>
      </c>
      <c r="L782">
        <f t="shared" si="24"/>
        <v>20</v>
      </c>
      <c r="M782" t="str">
        <f>IF(Labs!E782&gt;120,"High","Normal")</f>
        <v>High</v>
      </c>
      <c r="N782" t="str">
        <f t="shared" si="25"/>
        <v>High Risk</v>
      </c>
    </row>
    <row r="783" spans="1:14" x14ac:dyDescent="0.3">
      <c r="A783">
        <v>782</v>
      </c>
      <c r="B783" t="s">
        <v>508</v>
      </c>
      <c r="C783">
        <v>20</v>
      </c>
      <c r="D783" t="s">
        <v>10</v>
      </c>
      <c r="E783">
        <v>8</v>
      </c>
      <c r="F783" s="1">
        <v>44923</v>
      </c>
      <c r="G783" s="1">
        <v>44928</v>
      </c>
      <c r="H783">
        <v>3</v>
      </c>
      <c r="I783" s="3">
        <v>10153.02</v>
      </c>
      <c r="J783" t="str">
        <f>VLOOKUP(H783,Diagnosis!$A:$B,2,FALSE)</f>
        <v>Asthma</v>
      </c>
      <c r="K783" t="str">
        <f>VLOOKUP(H783,Outcome!A$2:$B$7,2,FALSE)</f>
        <v>Ongoing Treatment</v>
      </c>
      <c r="L783">
        <f t="shared" si="24"/>
        <v>5</v>
      </c>
      <c r="M783" t="str">
        <f>IF(Labs!E783&gt;120,"High","Normal")</f>
        <v>High</v>
      </c>
      <c r="N783" t="str">
        <f t="shared" si="25"/>
        <v>High Risk</v>
      </c>
    </row>
    <row r="784" spans="1:14" x14ac:dyDescent="0.3">
      <c r="A784">
        <v>783</v>
      </c>
      <c r="B784" t="s">
        <v>162</v>
      </c>
      <c r="C784">
        <v>27</v>
      </c>
      <c r="D784" t="s">
        <v>10</v>
      </c>
      <c r="E784">
        <v>5</v>
      </c>
      <c r="F784" s="1">
        <v>45246</v>
      </c>
      <c r="G784" s="1">
        <v>45265</v>
      </c>
      <c r="H784">
        <v>4</v>
      </c>
      <c r="I784" s="3">
        <v>137117.42000000001</v>
      </c>
      <c r="J784" t="str">
        <f>VLOOKUP(H784,Diagnosis!$A:$B,2,FALSE)</f>
        <v>Pneumonia</v>
      </c>
      <c r="K784" t="str">
        <f>VLOOKUP(H784,Outcome!A$2:$B$7,2,FALSE)</f>
        <v>Referred</v>
      </c>
      <c r="L784">
        <f t="shared" si="24"/>
        <v>19</v>
      </c>
      <c r="M784" t="str">
        <f>IF(Labs!E784&gt;120,"High","Normal")</f>
        <v>High</v>
      </c>
      <c r="N784" t="str">
        <f t="shared" si="25"/>
        <v>High Risk</v>
      </c>
    </row>
    <row r="785" spans="1:14" x14ac:dyDescent="0.3">
      <c r="A785">
        <v>784</v>
      </c>
      <c r="B785" t="s">
        <v>509</v>
      </c>
      <c r="C785">
        <v>95</v>
      </c>
      <c r="D785" t="s">
        <v>17</v>
      </c>
      <c r="E785">
        <v>9</v>
      </c>
      <c r="F785" s="1">
        <v>44922</v>
      </c>
      <c r="G785" s="1">
        <v>44927</v>
      </c>
      <c r="H785">
        <v>4</v>
      </c>
      <c r="I785" s="3">
        <v>88598.399999999994</v>
      </c>
      <c r="J785" t="str">
        <f>VLOOKUP(H785,Diagnosis!$A:$B,2,FALSE)</f>
        <v>Pneumonia</v>
      </c>
      <c r="K785" t="str">
        <f>VLOOKUP(H785,Outcome!A$2:$B$7,2,FALSE)</f>
        <v>Referred</v>
      </c>
      <c r="L785">
        <f t="shared" si="24"/>
        <v>5</v>
      </c>
      <c r="M785" t="str">
        <f>IF(Labs!E785&gt;120,"High","Normal")</f>
        <v>High</v>
      </c>
      <c r="N785" t="str">
        <f t="shared" si="25"/>
        <v>High Risk</v>
      </c>
    </row>
    <row r="786" spans="1:14" x14ac:dyDescent="0.3">
      <c r="A786">
        <v>785</v>
      </c>
      <c r="B786" t="s">
        <v>510</v>
      </c>
      <c r="C786">
        <v>31</v>
      </c>
      <c r="D786" t="s">
        <v>10</v>
      </c>
      <c r="E786">
        <v>10</v>
      </c>
      <c r="F786" s="1">
        <v>45749</v>
      </c>
      <c r="G786" s="1">
        <v>45759</v>
      </c>
      <c r="H786">
        <v>2</v>
      </c>
      <c r="I786" s="3">
        <v>135107.9</v>
      </c>
      <c r="J786" t="str">
        <f>VLOOKUP(H786,Diagnosis!$A:$B,2,FALSE)</f>
        <v>Hypertension</v>
      </c>
      <c r="K786" t="str">
        <f>VLOOKUP(H786,Outcome!A$2:$B$7,2,FALSE)</f>
        <v>Improved</v>
      </c>
      <c r="L786">
        <f t="shared" si="24"/>
        <v>10</v>
      </c>
      <c r="M786" t="str">
        <f>IF(Labs!E786&gt;120,"High","Normal")</f>
        <v>High</v>
      </c>
      <c r="N786" t="str">
        <f t="shared" si="25"/>
        <v>High Risk</v>
      </c>
    </row>
    <row r="787" spans="1:14" x14ac:dyDescent="0.3">
      <c r="A787">
        <v>786</v>
      </c>
      <c r="B787" t="s">
        <v>227</v>
      </c>
      <c r="C787">
        <v>15</v>
      </c>
      <c r="D787" t="s">
        <v>10</v>
      </c>
      <c r="E787">
        <v>4</v>
      </c>
      <c r="F787" s="1">
        <v>44762</v>
      </c>
      <c r="G787" s="1">
        <v>44769</v>
      </c>
      <c r="H787">
        <v>3</v>
      </c>
      <c r="I787" s="3">
        <v>156904.82</v>
      </c>
      <c r="J787" t="str">
        <f>VLOOKUP(H787,Diagnosis!$A:$B,2,FALSE)</f>
        <v>Asthma</v>
      </c>
      <c r="K787" t="str">
        <f>VLOOKUP(H787,Outcome!A$2:$B$7,2,FALSE)</f>
        <v>Ongoing Treatment</v>
      </c>
      <c r="L787">
        <f t="shared" si="24"/>
        <v>7</v>
      </c>
      <c r="M787" t="str">
        <f>IF(Labs!E787&gt;120,"High","Normal")</f>
        <v>High</v>
      </c>
      <c r="N787" t="str">
        <f t="shared" si="25"/>
        <v>High Risk</v>
      </c>
    </row>
    <row r="788" spans="1:14" x14ac:dyDescent="0.3">
      <c r="A788">
        <v>787</v>
      </c>
      <c r="B788" t="s">
        <v>421</v>
      </c>
      <c r="C788">
        <v>10</v>
      </c>
      <c r="D788" t="s">
        <v>10</v>
      </c>
      <c r="E788">
        <v>10</v>
      </c>
      <c r="F788" s="1">
        <v>45554</v>
      </c>
      <c r="G788" s="1">
        <v>45555</v>
      </c>
      <c r="H788">
        <v>5</v>
      </c>
      <c r="I788" s="3">
        <v>28227.08</v>
      </c>
      <c r="J788" t="str">
        <f>VLOOKUP(H788,Diagnosis!$A:$B,2,FALSE)</f>
        <v>Heart Disease</v>
      </c>
      <c r="K788" t="str">
        <f>VLOOKUP(H788,Outcome!A$2:$B$7,2,FALSE)</f>
        <v>Readmitted</v>
      </c>
      <c r="L788">
        <f t="shared" si="24"/>
        <v>1</v>
      </c>
      <c r="M788" t="str">
        <f>IF(Labs!E788&gt;120,"High","Normal")</f>
        <v>High</v>
      </c>
      <c r="N788" t="str">
        <f t="shared" si="25"/>
        <v>High Risk</v>
      </c>
    </row>
    <row r="789" spans="1:14" x14ac:dyDescent="0.3">
      <c r="A789">
        <v>788</v>
      </c>
      <c r="B789" t="s">
        <v>157</v>
      </c>
      <c r="C789">
        <v>23</v>
      </c>
      <c r="D789" t="s">
        <v>10</v>
      </c>
      <c r="E789">
        <v>6</v>
      </c>
      <c r="F789" s="1">
        <v>44841</v>
      </c>
      <c r="G789" s="1">
        <v>44855</v>
      </c>
      <c r="H789">
        <v>3</v>
      </c>
      <c r="I789" s="3">
        <v>114683.75</v>
      </c>
      <c r="J789" t="str">
        <f>VLOOKUP(H789,Diagnosis!$A:$B,2,FALSE)</f>
        <v>Asthma</v>
      </c>
      <c r="K789" t="str">
        <f>VLOOKUP(H789,Outcome!A$2:$B$7,2,FALSE)</f>
        <v>Ongoing Treatment</v>
      </c>
      <c r="L789">
        <f t="shared" si="24"/>
        <v>14</v>
      </c>
      <c r="M789" t="str">
        <f>IF(Labs!E789&gt;120,"High","Normal")</f>
        <v>High</v>
      </c>
      <c r="N789" t="str">
        <f t="shared" si="25"/>
        <v>High Risk</v>
      </c>
    </row>
    <row r="790" spans="1:14" x14ac:dyDescent="0.3">
      <c r="A790">
        <v>789</v>
      </c>
      <c r="B790" t="s">
        <v>390</v>
      </c>
      <c r="C790">
        <v>43</v>
      </c>
      <c r="D790" t="s">
        <v>17</v>
      </c>
      <c r="E790">
        <v>1</v>
      </c>
      <c r="F790" s="1">
        <v>45979</v>
      </c>
      <c r="G790" s="1">
        <v>45997</v>
      </c>
      <c r="H790">
        <v>1</v>
      </c>
      <c r="I790" s="3">
        <v>26729.02</v>
      </c>
      <c r="J790" t="str">
        <f>VLOOKUP(H790,Diagnosis!$A:$B,2,FALSE)</f>
        <v>Diabetes</v>
      </c>
      <c r="K790" t="str">
        <f>VLOOKUP(H790,Outcome!A$2:$B$7,2,FALSE)</f>
        <v>Recovered</v>
      </c>
      <c r="L790">
        <f t="shared" si="24"/>
        <v>18</v>
      </c>
      <c r="M790" t="str">
        <f>IF(Labs!E790&gt;120,"High","Normal")</f>
        <v>High</v>
      </c>
      <c r="N790" t="str">
        <f t="shared" si="25"/>
        <v>low risk</v>
      </c>
    </row>
    <row r="791" spans="1:14" x14ac:dyDescent="0.3">
      <c r="A791">
        <v>790</v>
      </c>
      <c r="B791" t="s">
        <v>404</v>
      </c>
      <c r="C791">
        <v>54</v>
      </c>
      <c r="D791" t="s">
        <v>17</v>
      </c>
      <c r="E791">
        <v>6</v>
      </c>
      <c r="F791" s="1">
        <v>45012</v>
      </c>
      <c r="G791" s="1">
        <v>45040</v>
      </c>
      <c r="H791">
        <v>1</v>
      </c>
      <c r="I791" s="3">
        <v>30329.89</v>
      </c>
      <c r="J791" t="str">
        <f>VLOOKUP(H791,Diagnosis!$A:$B,2,FALSE)</f>
        <v>Diabetes</v>
      </c>
      <c r="K791" t="str">
        <f>VLOOKUP(H791,Outcome!A$2:$B$7,2,FALSE)</f>
        <v>Recovered</v>
      </c>
      <c r="L791">
        <f t="shared" si="24"/>
        <v>28</v>
      </c>
      <c r="M791" t="str">
        <f>IF(Labs!E791&gt;120,"High","Normal")</f>
        <v>High</v>
      </c>
      <c r="N791" t="str">
        <f t="shared" si="25"/>
        <v>low risk</v>
      </c>
    </row>
    <row r="792" spans="1:14" x14ac:dyDescent="0.3">
      <c r="A792">
        <v>791</v>
      </c>
      <c r="B792" t="s">
        <v>386</v>
      </c>
      <c r="C792">
        <v>74</v>
      </c>
      <c r="D792" t="s">
        <v>17</v>
      </c>
      <c r="E792">
        <v>2</v>
      </c>
      <c r="F792" s="1">
        <v>45405</v>
      </c>
      <c r="G792" s="1">
        <v>45432</v>
      </c>
      <c r="H792">
        <v>2</v>
      </c>
      <c r="I792" s="3">
        <v>155540.32999999999</v>
      </c>
      <c r="J792" t="str">
        <f>VLOOKUP(H792,Diagnosis!$A:$B,2,FALSE)</f>
        <v>Hypertension</v>
      </c>
      <c r="K792" t="str">
        <f>VLOOKUP(H792,Outcome!A$2:$B$7,2,FALSE)</f>
        <v>Improved</v>
      </c>
      <c r="L792">
        <f t="shared" si="24"/>
        <v>27</v>
      </c>
      <c r="M792" t="str">
        <f>IF(Labs!E792&gt;120,"High","Normal")</f>
        <v>High</v>
      </c>
      <c r="N792" t="str">
        <f t="shared" si="25"/>
        <v>High Risk</v>
      </c>
    </row>
    <row r="793" spans="1:14" x14ac:dyDescent="0.3">
      <c r="A793">
        <v>792</v>
      </c>
      <c r="B793" t="s">
        <v>511</v>
      </c>
      <c r="C793">
        <v>61</v>
      </c>
      <c r="D793" t="s">
        <v>10</v>
      </c>
      <c r="E793">
        <v>5</v>
      </c>
      <c r="F793" s="1">
        <v>44591</v>
      </c>
      <c r="G793" s="1">
        <v>44614</v>
      </c>
      <c r="H793">
        <v>2</v>
      </c>
      <c r="I793" s="3">
        <v>157386.23000000001</v>
      </c>
      <c r="J793" t="str">
        <f>VLOOKUP(H793,Diagnosis!$A:$B,2,FALSE)</f>
        <v>Hypertension</v>
      </c>
      <c r="K793" t="str">
        <f>VLOOKUP(H793,Outcome!A$2:$B$7,2,FALSE)</f>
        <v>Improved</v>
      </c>
      <c r="L793">
        <f t="shared" si="24"/>
        <v>23</v>
      </c>
      <c r="M793" t="str">
        <f>IF(Labs!E793&gt;120,"High","Normal")</f>
        <v>High</v>
      </c>
      <c r="N793" t="str">
        <f t="shared" si="25"/>
        <v>High Risk</v>
      </c>
    </row>
    <row r="794" spans="1:14" x14ac:dyDescent="0.3">
      <c r="A794">
        <v>793</v>
      </c>
      <c r="B794" t="s">
        <v>512</v>
      </c>
      <c r="C794">
        <v>56</v>
      </c>
      <c r="D794" t="s">
        <v>17</v>
      </c>
      <c r="E794">
        <v>10</v>
      </c>
      <c r="F794" s="1">
        <v>44867</v>
      </c>
      <c r="G794" s="1">
        <v>44896</v>
      </c>
      <c r="H794">
        <v>2</v>
      </c>
      <c r="I794" s="3">
        <v>3401.27</v>
      </c>
      <c r="J794" t="str">
        <f>VLOOKUP(H794,Diagnosis!$A:$B,2,FALSE)</f>
        <v>Hypertension</v>
      </c>
      <c r="K794" t="str">
        <f>VLOOKUP(H794,Outcome!A$2:$B$7,2,FALSE)</f>
        <v>Improved</v>
      </c>
      <c r="L794">
        <f t="shared" si="24"/>
        <v>29</v>
      </c>
      <c r="M794" t="str">
        <f>IF(Labs!E794&gt;120,"High","Normal")</f>
        <v>High</v>
      </c>
      <c r="N794" t="str">
        <f t="shared" si="25"/>
        <v>High Risk</v>
      </c>
    </row>
    <row r="795" spans="1:14" x14ac:dyDescent="0.3">
      <c r="A795">
        <v>794</v>
      </c>
      <c r="B795" t="s">
        <v>388</v>
      </c>
      <c r="C795">
        <v>61</v>
      </c>
      <c r="D795" t="s">
        <v>17</v>
      </c>
      <c r="E795">
        <v>7</v>
      </c>
      <c r="F795" s="1">
        <v>45649</v>
      </c>
      <c r="G795" s="1">
        <v>45661</v>
      </c>
      <c r="H795">
        <v>2</v>
      </c>
      <c r="I795" s="3">
        <v>144148.10999999999</v>
      </c>
      <c r="J795" t="str">
        <f>VLOOKUP(H795,Diagnosis!$A:$B,2,FALSE)</f>
        <v>Hypertension</v>
      </c>
      <c r="K795" t="str">
        <f>VLOOKUP(H795,Outcome!A$2:$B$7,2,FALSE)</f>
        <v>Improved</v>
      </c>
      <c r="L795">
        <f t="shared" si="24"/>
        <v>12</v>
      </c>
      <c r="M795" t="str">
        <f>IF(Labs!E795&gt;120,"High","Normal")</f>
        <v>High</v>
      </c>
      <c r="N795" t="str">
        <f t="shared" si="25"/>
        <v>High Risk</v>
      </c>
    </row>
    <row r="796" spans="1:14" x14ac:dyDescent="0.3">
      <c r="A796">
        <v>795</v>
      </c>
      <c r="B796" t="s">
        <v>411</v>
      </c>
      <c r="C796">
        <v>64</v>
      </c>
      <c r="D796" t="s">
        <v>17</v>
      </c>
      <c r="E796">
        <v>2</v>
      </c>
      <c r="F796" s="1">
        <v>45705</v>
      </c>
      <c r="G796" s="1">
        <v>45729</v>
      </c>
      <c r="H796">
        <v>1</v>
      </c>
      <c r="I796" s="3">
        <v>132392.07</v>
      </c>
      <c r="J796" t="str">
        <f>VLOOKUP(H796,Diagnosis!$A:$B,2,FALSE)</f>
        <v>Diabetes</v>
      </c>
      <c r="K796" t="str">
        <f>VLOOKUP(H796,Outcome!A$2:$B$7,2,FALSE)</f>
        <v>Recovered</v>
      </c>
      <c r="L796">
        <f t="shared" si="24"/>
        <v>24</v>
      </c>
      <c r="M796" t="str">
        <f>IF(Labs!E796&gt;120,"High","Normal")</f>
        <v>High</v>
      </c>
      <c r="N796" t="str">
        <f t="shared" si="25"/>
        <v>low risk</v>
      </c>
    </row>
    <row r="797" spans="1:14" x14ac:dyDescent="0.3">
      <c r="A797">
        <v>796</v>
      </c>
      <c r="B797" t="s">
        <v>145</v>
      </c>
      <c r="C797">
        <v>46</v>
      </c>
      <c r="D797" t="s">
        <v>10</v>
      </c>
      <c r="E797">
        <v>4</v>
      </c>
      <c r="F797" s="1">
        <v>45888</v>
      </c>
      <c r="G797" s="1">
        <v>45890</v>
      </c>
      <c r="H797">
        <v>1</v>
      </c>
      <c r="I797" s="3">
        <v>121253.82</v>
      </c>
      <c r="J797" t="str">
        <f>VLOOKUP(H797,Diagnosis!$A:$B,2,FALSE)</f>
        <v>Diabetes</v>
      </c>
      <c r="K797" t="str">
        <f>VLOOKUP(H797,Outcome!A$2:$B$7,2,FALSE)</f>
        <v>Recovered</v>
      </c>
      <c r="L797">
        <f t="shared" si="24"/>
        <v>2</v>
      </c>
      <c r="M797" t="str">
        <f>IF(Labs!E797&gt;120,"High","Normal")</f>
        <v>High</v>
      </c>
      <c r="N797" t="str">
        <f t="shared" si="25"/>
        <v>low risk</v>
      </c>
    </row>
    <row r="798" spans="1:14" x14ac:dyDescent="0.3">
      <c r="A798">
        <v>797</v>
      </c>
      <c r="B798" t="s">
        <v>282</v>
      </c>
      <c r="C798">
        <v>74</v>
      </c>
      <c r="D798" t="s">
        <v>17</v>
      </c>
      <c r="E798">
        <v>8</v>
      </c>
      <c r="F798" s="1">
        <v>45511</v>
      </c>
      <c r="G798" s="1">
        <v>45535</v>
      </c>
      <c r="H798">
        <v>1</v>
      </c>
      <c r="I798" s="3">
        <v>127306.44</v>
      </c>
      <c r="J798" t="str">
        <f>VLOOKUP(H798,Diagnosis!$A:$B,2,FALSE)</f>
        <v>Diabetes</v>
      </c>
      <c r="K798" t="str">
        <f>VLOOKUP(H798,Outcome!A$2:$B$7,2,FALSE)</f>
        <v>Recovered</v>
      </c>
      <c r="L798">
        <f t="shared" si="24"/>
        <v>24</v>
      </c>
      <c r="M798" t="str">
        <f>IF(Labs!E798&gt;120,"High","Normal")</f>
        <v>High</v>
      </c>
      <c r="N798" t="str">
        <f t="shared" si="25"/>
        <v>High Risk</v>
      </c>
    </row>
    <row r="799" spans="1:14" x14ac:dyDescent="0.3">
      <c r="A799">
        <v>798</v>
      </c>
      <c r="B799" t="s">
        <v>513</v>
      </c>
      <c r="C799">
        <v>81</v>
      </c>
      <c r="D799" t="s">
        <v>10</v>
      </c>
      <c r="E799">
        <v>1</v>
      </c>
      <c r="F799" s="1">
        <v>45846</v>
      </c>
      <c r="G799" s="1">
        <v>45848</v>
      </c>
      <c r="H799">
        <v>2</v>
      </c>
      <c r="I799" s="3">
        <v>125108.24</v>
      </c>
      <c r="J799" t="str">
        <f>VLOOKUP(H799,Diagnosis!$A:$B,2,FALSE)</f>
        <v>Hypertension</v>
      </c>
      <c r="K799" t="str">
        <f>VLOOKUP(H799,Outcome!A$2:$B$7,2,FALSE)</f>
        <v>Improved</v>
      </c>
      <c r="L799">
        <f t="shared" si="24"/>
        <v>2</v>
      </c>
      <c r="M799" t="str">
        <f>IF(Labs!E799&gt;120,"High","Normal")</f>
        <v>High</v>
      </c>
      <c r="N799" t="str">
        <f t="shared" si="25"/>
        <v>High Risk</v>
      </c>
    </row>
    <row r="800" spans="1:14" x14ac:dyDescent="0.3">
      <c r="A800">
        <v>799</v>
      </c>
      <c r="B800" t="s">
        <v>304</v>
      </c>
      <c r="C800">
        <v>38</v>
      </c>
      <c r="D800" t="s">
        <v>10</v>
      </c>
      <c r="E800">
        <v>5</v>
      </c>
      <c r="F800" s="1">
        <v>45991</v>
      </c>
      <c r="G800" s="1">
        <v>46021</v>
      </c>
      <c r="H800">
        <v>2</v>
      </c>
      <c r="I800" s="3">
        <v>104603.21</v>
      </c>
      <c r="J800" t="str">
        <f>VLOOKUP(H800,Diagnosis!$A:$B,2,FALSE)</f>
        <v>Hypertension</v>
      </c>
      <c r="K800" t="str">
        <f>VLOOKUP(H800,Outcome!A$2:$B$7,2,FALSE)</f>
        <v>Improved</v>
      </c>
      <c r="L800">
        <f t="shared" si="24"/>
        <v>30</v>
      </c>
      <c r="M800" t="str">
        <f>IF(Labs!E800&gt;120,"High","Normal")</f>
        <v>High</v>
      </c>
      <c r="N800" t="str">
        <f t="shared" si="25"/>
        <v>High Risk</v>
      </c>
    </row>
    <row r="801" spans="1:14" x14ac:dyDescent="0.3">
      <c r="A801">
        <v>800</v>
      </c>
      <c r="B801" t="s">
        <v>237</v>
      </c>
      <c r="C801">
        <v>80</v>
      </c>
      <c r="D801" t="s">
        <v>10</v>
      </c>
      <c r="E801">
        <v>1</v>
      </c>
      <c r="F801" s="1">
        <v>45616</v>
      </c>
      <c r="G801" s="1">
        <v>45646</v>
      </c>
      <c r="H801">
        <v>5</v>
      </c>
      <c r="I801" s="3">
        <v>67108.320000000007</v>
      </c>
      <c r="J801" t="str">
        <f>VLOOKUP(H801,Diagnosis!$A:$B,2,FALSE)</f>
        <v>Heart Disease</v>
      </c>
      <c r="K801" t="str">
        <f>VLOOKUP(H801,Outcome!A$2:$B$7,2,FALSE)</f>
        <v>Readmitted</v>
      </c>
      <c r="L801">
        <f t="shared" si="24"/>
        <v>30</v>
      </c>
      <c r="M801" t="str">
        <f>IF(Labs!E801&gt;120,"High","Normal")</f>
        <v>High</v>
      </c>
      <c r="N801" t="str">
        <f t="shared" si="25"/>
        <v>High Risk</v>
      </c>
    </row>
    <row r="802" spans="1:14" x14ac:dyDescent="0.3">
      <c r="A802">
        <v>801</v>
      </c>
      <c r="B802" t="s">
        <v>514</v>
      </c>
      <c r="C802">
        <v>50</v>
      </c>
      <c r="D802" t="s">
        <v>10</v>
      </c>
      <c r="E802">
        <v>8</v>
      </c>
      <c r="F802" s="1">
        <v>45829</v>
      </c>
      <c r="G802" s="1">
        <v>45830</v>
      </c>
      <c r="H802">
        <v>2</v>
      </c>
      <c r="I802" s="3">
        <v>33609.96</v>
      </c>
      <c r="J802" t="str">
        <f>VLOOKUP(H802,Diagnosis!$A:$B,2,FALSE)</f>
        <v>Hypertension</v>
      </c>
      <c r="K802" t="str">
        <f>VLOOKUP(H802,Outcome!A$2:$B$7,2,FALSE)</f>
        <v>Improved</v>
      </c>
      <c r="L802">
        <f t="shared" si="24"/>
        <v>1</v>
      </c>
      <c r="M802" t="str">
        <f>IF(Labs!E802&gt;120,"High","Normal")</f>
        <v>High</v>
      </c>
      <c r="N802" t="str">
        <f t="shared" si="25"/>
        <v>High Risk</v>
      </c>
    </row>
    <row r="803" spans="1:14" x14ac:dyDescent="0.3">
      <c r="A803">
        <v>802</v>
      </c>
      <c r="B803" t="s">
        <v>515</v>
      </c>
      <c r="C803">
        <v>72</v>
      </c>
      <c r="D803" t="s">
        <v>17</v>
      </c>
      <c r="E803">
        <v>3</v>
      </c>
      <c r="F803" s="1">
        <v>45247</v>
      </c>
      <c r="G803" s="1">
        <v>45254</v>
      </c>
      <c r="H803">
        <v>2</v>
      </c>
      <c r="I803" s="3">
        <v>117704.32000000001</v>
      </c>
      <c r="J803" t="str">
        <f>VLOOKUP(H803,Diagnosis!$A:$B,2,FALSE)</f>
        <v>Hypertension</v>
      </c>
      <c r="K803" t="str">
        <f>VLOOKUP(H803,Outcome!A$2:$B$7,2,FALSE)</f>
        <v>Improved</v>
      </c>
      <c r="L803">
        <f t="shared" si="24"/>
        <v>7</v>
      </c>
      <c r="M803" t="str">
        <f>IF(Labs!E803&gt;120,"High","Normal")</f>
        <v>High</v>
      </c>
      <c r="N803" t="str">
        <f t="shared" si="25"/>
        <v>High Risk</v>
      </c>
    </row>
    <row r="804" spans="1:14" x14ac:dyDescent="0.3">
      <c r="A804">
        <v>803</v>
      </c>
      <c r="B804" t="s">
        <v>465</v>
      </c>
      <c r="C804">
        <v>29</v>
      </c>
      <c r="D804" t="s">
        <v>10</v>
      </c>
      <c r="E804">
        <v>6</v>
      </c>
      <c r="F804" s="1">
        <v>45109</v>
      </c>
      <c r="G804" s="1">
        <v>45125</v>
      </c>
      <c r="H804">
        <v>3</v>
      </c>
      <c r="I804" s="3">
        <v>51693.3</v>
      </c>
      <c r="J804" t="str">
        <f>VLOOKUP(H804,Diagnosis!$A:$B,2,FALSE)</f>
        <v>Asthma</v>
      </c>
      <c r="K804" t="str">
        <f>VLOOKUP(H804,Outcome!A$2:$B$7,2,FALSE)</f>
        <v>Ongoing Treatment</v>
      </c>
      <c r="L804">
        <f t="shared" si="24"/>
        <v>16</v>
      </c>
      <c r="M804" t="str">
        <f>IF(Labs!E804&gt;120,"High","Normal")</f>
        <v>High</v>
      </c>
      <c r="N804" t="str">
        <f t="shared" si="25"/>
        <v>High Risk</v>
      </c>
    </row>
    <row r="805" spans="1:14" x14ac:dyDescent="0.3">
      <c r="A805">
        <v>804</v>
      </c>
      <c r="B805" t="s">
        <v>178</v>
      </c>
      <c r="C805">
        <v>45</v>
      </c>
      <c r="D805" t="s">
        <v>10</v>
      </c>
      <c r="E805">
        <v>8</v>
      </c>
      <c r="F805" s="1">
        <v>45588</v>
      </c>
      <c r="G805" s="1">
        <v>45604</v>
      </c>
      <c r="H805">
        <v>4</v>
      </c>
      <c r="I805" s="3">
        <v>85954.08</v>
      </c>
      <c r="J805" t="str">
        <f>VLOOKUP(H805,Diagnosis!$A:$B,2,FALSE)</f>
        <v>Pneumonia</v>
      </c>
      <c r="K805" t="str">
        <f>VLOOKUP(H805,Outcome!A$2:$B$7,2,FALSE)</f>
        <v>Referred</v>
      </c>
      <c r="L805">
        <f t="shared" si="24"/>
        <v>16</v>
      </c>
      <c r="M805" t="str">
        <f>IF(Labs!E805&gt;120,"High","Normal")</f>
        <v>High</v>
      </c>
      <c r="N805" t="str">
        <f t="shared" si="25"/>
        <v>High Risk</v>
      </c>
    </row>
    <row r="806" spans="1:14" x14ac:dyDescent="0.3">
      <c r="A806">
        <v>805</v>
      </c>
      <c r="B806" t="s">
        <v>516</v>
      </c>
      <c r="C806">
        <v>38</v>
      </c>
      <c r="D806" t="s">
        <v>10</v>
      </c>
      <c r="E806">
        <v>10</v>
      </c>
      <c r="F806" s="1">
        <v>45315</v>
      </c>
      <c r="G806" s="1">
        <v>45340</v>
      </c>
      <c r="H806">
        <v>3</v>
      </c>
      <c r="I806" s="3">
        <v>125547.1</v>
      </c>
      <c r="J806" t="str">
        <f>VLOOKUP(H806,Diagnosis!$A:$B,2,FALSE)</f>
        <v>Asthma</v>
      </c>
      <c r="K806" t="str">
        <f>VLOOKUP(H806,Outcome!A$2:$B$7,2,FALSE)</f>
        <v>Ongoing Treatment</v>
      </c>
      <c r="L806">
        <f t="shared" si="24"/>
        <v>25</v>
      </c>
      <c r="M806" t="str">
        <f>IF(Labs!E806&gt;120,"High","Normal")</f>
        <v>High</v>
      </c>
      <c r="N806" t="str">
        <f t="shared" si="25"/>
        <v>High Risk</v>
      </c>
    </row>
    <row r="807" spans="1:14" x14ac:dyDescent="0.3">
      <c r="A807">
        <v>806</v>
      </c>
      <c r="B807" t="s">
        <v>245</v>
      </c>
      <c r="C807">
        <v>59</v>
      </c>
      <c r="D807" t="s">
        <v>17</v>
      </c>
      <c r="E807">
        <v>2</v>
      </c>
      <c r="F807" s="1">
        <v>45362</v>
      </c>
      <c r="G807" s="1">
        <v>45390</v>
      </c>
      <c r="H807">
        <v>1</v>
      </c>
      <c r="I807" s="3">
        <v>172590.53</v>
      </c>
      <c r="J807" t="str">
        <f>VLOOKUP(H807,Diagnosis!$A:$B,2,FALSE)</f>
        <v>Diabetes</v>
      </c>
      <c r="K807" t="str">
        <f>VLOOKUP(H807,Outcome!A$2:$B$7,2,FALSE)</f>
        <v>Recovered</v>
      </c>
      <c r="L807">
        <f t="shared" si="24"/>
        <v>28</v>
      </c>
      <c r="M807" t="str">
        <f>IF(Labs!E807&gt;120,"High","Normal")</f>
        <v>High</v>
      </c>
      <c r="N807" t="str">
        <f t="shared" si="25"/>
        <v>low risk</v>
      </c>
    </row>
    <row r="808" spans="1:14" x14ac:dyDescent="0.3">
      <c r="A808">
        <v>807</v>
      </c>
      <c r="B808" t="s">
        <v>517</v>
      </c>
      <c r="C808">
        <v>22</v>
      </c>
      <c r="D808" t="s">
        <v>10</v>
      </c>
      <c r="E808">
        <v>2</v>
      </c>
      <c r="F808" s="1">
        <v>45989</v>
      </c>
      <c r="G808" s="1">
        <v>45993</v>
      </c>
      <c r="H808">
        <v>2</v>
      </c>
      <c r="I808" s="3">
        <v>157811.28</v>
      </c>
      <c r="J808" t="str">
        <f>VLOOKUP(H808,Diagnosis!$A:$B,2,FALSE)</f>
        <v>Hypertension</v>
      </c>
      <c r="K808" t="str">
        <f>VLOOKUP(H808,Outcome!A$2:$B$7,2,FALSE)</f>
        <v>Improved</v>
      </c>
      <c r="L808">
        <f t="shared" si="24"/>
        <v>4</v>
      </c>
      <c r="M808" t="str">
        <f>IF(Labs!E808&gt;120,"High","Normal")</f>
        <v>High</v>
      </c>
      <c r="N808" t="str">
        <f t="shared" si="25"/>
        <v>High Risk</v>
      </c>
    </row>
    <row r="809" spans="1:14" x14ac:dyDescent="0.3">
      <c r="A809">
        <v>808</v>
      </c>
      <c r="B809" t="s">
        <v>518</v>
      </c>
      <c r="C809">
        <v>38</v>
      </c>
      <c r="D809" t="s">
        <v>10</v>
      </c>
      <c r="E809">
        <v>9</v>
      </c>
      <c r="F809" s="1">
        <v>44832</v>
      </c>
      <c r="G809" s="1">
        <v>44847</v>
      </c>
      <c r="H809">
        <v>1</v>
      </c>
      <c r="I809" s="3">
        <v>81285.16</v>
      </c>
      <c r="J809" t="str">
        <f>VLOOKUP(H809,Diagnosis!$A:$B,2,FALSE)</f>
        <v>Diabetes</v>
      </c>
      <c r="K809" t="str">
        <f>VLOOKUP(H809,Outcome!A$2:$B$7,2,FALSE)</f>
        <v>Recovered</v>
      </c>
      <c r="L809">
        <f t="shared" si="24"/>
        <v>15</v>
      </c>
      <c r="M809" t="str">
        <f>IF(Labs!E809&gt;120,"High","Normal")</f>
        <v>High</v>
      </c>
      <c r="N809" t="str">
        <f t="shared" si="25"/>
        <v>low risk</v>
      </c>
    </row>
    <row r="810" spans="1:14" x14ac:dyDescent="0.3">
      <c r="A810">
        <v>809</v>
      </c>
      <c r="B810" t="s">
        <v>447</v>
      </c>
      <c r="C810">
        <v>25</v>
      </c>
      <c r="D810" t="s">
        <v>17</v>
      </c>
      <c r="E810">
        <v>1</v>
      </c>
      <c r="F810" s="1">
        <v>46204</v>
      </c>
      <c r="G810" s="1">
        <v>46211</v>
      </c>
      <c r="H810">
        <v>4</v>
      </c>
      <c r="I810" s="3">
        <v>94732.64</v>
      </c>
      <c r="J810" t="str">
        <f>VLOOKUP(H810,Diagnosis!$A:$B,2,FALSE)</f>
        <v>Pneumonia</v>
      </c>
      <c r="K810" t="str">
        <f>VLOOKUP(H810,Outcome!A$2:$B$7,2,FALSE)</f>
        <v>Referred</v>
      </c>
      <c r="L810">
        <f t="shared" si="24"/>
        <v>7</v>
      </c>
      <c r="M810" t="str">
        <f>IF(Labs!E810&gt;120,"High","Normal")</f>
        <v>High</v>
      </c>
      <c r="N810" t="str">
        <f t="shared" si="25"/>
        <v>High Risk</v>
      </c>
    </row>
    <row r="811" spans="1:14" x14ac:dyDescent="0.3">
      <c r="A811">
        <v>810</v>
      </c>
      <c r="B811" t="s">
        <v>272</v>
      </c>
      <c r="C811">
        <v>75</v>
      </c>
      <c r="D811" t="s">
        <v>10</v>
      </c>
      <c r="E811">
        <v>6</v>
      </c>
      <c r="F811" s="1">
        <v>45557</v>
      </c>
      <c r="G811" s="1">
        <v>45575</v>
      </c>
      <c r="H811">
        <v>3</v>
      </c>
      <c r="I811" s="3">
        <v>96604.51</v>
      </c>
      <c r="J811" t="str">
        <f>VLOOKUP(H811,Diagnosis!$A:$B,2,FALSE)</f>
        <v>Asthma</v>
      </c>
      <c r="K811" t="str">
        <f>VLOOKUP(H811,Outcome!A$2:$B$7,2,FALSE)</f>
        <v>Ongoing Treatment</v>
      </c>
      <c r="L811">
        <f t="shared" si="24"/>
        <v>18</v>
      </c>
      <c r="M811" t="str">
        <f>IF(Labs!E811&gt;120,"High","Normal")</f>
        <v>High</v>
      </c>
      <c r="N811" t="str">
        <f t="shared" si="25"/>
        <v>High Risk</v>
      </c>
    </row>
    <row r="812" spans="1:14" x14ac:dyDescent="0.3">
      <c r="A812">
        <v>811</v>
      </c>
      <c r="B812" t="s">
        <v>305</v>
      </c>
      <c r="C812">
        <v>59</v>
      </c>
      <c r="D812" t="s">
        <v>10</v>
      </c>
      <c r="E812">
        <v>10</v>
      </c>
      <c r="F812" s="1">
        <v>44832</v>
      </c>
      <c r="G812" s="1">
        <v>44860</v>
      </c>
      <c r="H812">
        <v>4</v>
      </c>
      <c r="I812" s="3">
        <v>32983.339999999997</v>
      </c>
      <c r="J812" t="str">
        <f>VLOOKUP(H812,Diagnosis!$A:$B,2,FALSE)</f>
        <v>Pneumonia</v>
      </c>
      <c r="K812" t="str">
        <f>VLOOKUP(H812,Outcome!A$2:$B$7,2,FALSE)</f>
        <v>Referred</v>
      </c>
      <c r="L812">
        <f t="shared" si="24"/>
        <v>28</v>
      </c>
      <c r="M812" t="str">
        <f>IF(Labs!E812&gt;120,"High","Normal")</f>
        <v>High</v>
      </c>
      <c r="N812" t="str">
        <f t="shared" si="25"/>
        <v>High Risk</v>
      </c>
    </row>
    <row r="813" spans="1:14" x14ac:dyDescent="0.3">
      <c r="A813">
        <v>812</v>
      </c>
      <c r="B813" t="s">
        <v>519</v>
      </c>
      <c r="C813">
        <v>62</v>
      </c>
      <c r="D813" t="s">
        <v>10</v>
      </c>
      <c r="E813">
        <v>5</v>
      </c>
      <c r="F813" s="1">
        <v>46138</v>
      </c>
      <c r="G813" s="1">
        <v>46165</v>
      </c>
      <c r="H813">
        <v>1</v>
      </c>
      <c r="I813" s="3">
        <v>65178.96</v>
      </c>
      <c r="J813" t="str">
        <f>VLOOKUP(H813,Diagnosis!$A:$B,2,FALSE)</f>
        <v>Diabetes</v>
      </c>
      <c r="K813" t="str">
        <f>VLOOKUP(H813,Outcome!A$2:$B$7,2,FALSE)</f>
        <v>Recovered</v>
      </c>
      <c r="L813">
        <f t="shared" si="24"/>
        <v>27</v>
      </c>
      <c r="M813" t="str">
        <f>IF(Labs!E813&gt;120,"High","Normal")</f>
        <v>High</v>
      </c>
      <c r="N813" t="str">
        <f t="shared" si="25"/>
        <v>low risk</v>
      </c>
    </row>
    <row r="814" spans="1:14" x14ac:dyDescent="0.3">
      <c r="A814">
        <v>813</v>
      </c>
      <c r="B814" t="s">
        <v>520</v>
      </c>
      <c r="C814">
        <v>80</v>
      </c>
      <c r="D814" t="s">
        <v>17</v>
      </c>
      <c r="E814">
        <v>9</v>
      </c>
      <c r="F814" s="1">
        <v>45146</v>
      </c>
      <c r="G814" s="1">
        <v>45151</v>
      </c>
      <c r="H814">
        <v>6</v>
      </c>
      <c r="I814" s="3">
        <v>151481.37</v>
      </c>
      <c r="J814" t="str">
        <f>VLOOKUP(H814,Diagnosis!$A:$B,2,FALSE)</f>
        <v>Kidney Disease</v>
      </c>
      <c r="K814" t="str">
        <f>VLOOKUP(H814,Outcome!A$2:$B$7,2,FALSE)</f>
        <v>Deceased</v>
      </c>
      <c r="L814">
        <f t="shared" si="24"/>
        <v>5</v>
      </c>
      <c r="M814" t="str">
        <f>IF(Labs!E814&gt;120,"High","Normal")</f>
        <v>High</v>
      </c>
      <c r="N814" t="str">
        <f t="shared" si="25"/>
        <v>High Risk</v>
      </c>
    </row>
    <row r="815" spans="1:14" x14ac:dyDescent="0.3">
      <c r="A815">
        <v>814</v>
      </c>
      <c r="B815" t="s">
        <v>303</v>
      </c>
      <c r="C815">
        <v>31</v>
      </c>
      <c r="D815" t="s">
        <v>17</v>
      </c>
      <c r="E815">
        <v>1</v>
      </c>
      <c r="F815" s="1">
        <v>45210</v>
      </c>
      <c r="G815" s="1">
        <v>45228</v>
      </c>
      <c r="H815">
        <v>1</v>
      </c>
      <c r="I815" s="3">
        <v>48722.28</v>
      </c>
      <c r="J815" t="str">
        <f>VLOOKUP(H815,Diagnosis!$A:$B,2,FALSE)</f>
        <v>Diabetes</v>
      </c>
      <c r="K815" t="str">
        <f>VLOOKUP(H815,Outcome!A$2:$B$7,2,FALSE)</f>
        <v>Recovered</v>
      </c>
      <c r="L815">
        <f t="shared" si="24"/>
        <v>18</v>
      </c>
      <c r="M815" t="str">
        <f>IF(Labs!E815&gt;120,"High","Normal")</f>
        <v>High</v>
      </c>
      <c r="N815" t="str">
        <f t="shared" si="25"/>
        <v>low risk</v>
      </c>
    </row>
    <row r="816" spans="1:14" x14ac:dyDescent="0.3">
      <c r="A816">
        <v>815</v>
      </c>
      <c r="B816" t="s">
        <v>90</v>
      </c>
      <c r="C816">
        <v>72</v>
      </c>
      <c r="D816" t="s">
        <v>17</v>
      </c>
      <c r="E816">
        <v>6</v>
      </c>
      <c r="F816" s="1">
        <v>45266</v>
      </c>
      <c r="G816" s="1">
        <v>45270</v>
      </c>
      <c r="H816">
        <v>2</v>
      </c>
      <c r="I816" s="3">
        <v>98326.32</v>
      </c>
      <c r="J816" t="str">
        <f>VLOOKUP(H816,Diagnosis!$A:$B,2,FALSE)</f>
        <v>Hypertension</v>
      </c>
      <c r="K816" t="str">
        <f>VLOOKUP(H816,Outcome!A$2:$B$7,2,FALSE)</f>
        <v>Improved</v>
      </c>
      <c r="L816">
        <f t="shared" si="24"/>
        <v>4</v>
      </c>
      <c r="M816" t="str">
        <f>IF(Labs!E816&gt;120,"High","Normal")</f>
        <v>High</v>
      </c>
      <c r="N816" t="str">
        <f t="shared" si="25"/>
        <v>High Risk</v>
      </c>
    </row>
    <row r="817" spans="1:14" x14ac:dyDescent="0.3">
      <c r="A817">
        <v>816</v>
      </c>
      <c r="B817" t="s">
        <v>19</v>
      </c>
      <c r="C817">
        <v>39</v>
      </c>
      <c r="D817" t="s">
        <v>17</v>
      </c>
      <c r="E817">
        <v>1</v>
      </c>
      <c r="F817" s="1">
        <v>45390</v>
      </c>
      <c r="G817" s="1">
        <v>45419</v>
      </c>
      <c r="H817">
        <v>2</v>
      </c>
      <c r="I817" s="3">
        <v>28305.64</v>
      </c>
      <c r="J817" t="str">
        <f>VLOOKUP(H817,Diagnosis!$A:$B,2,FALSE)</f>
        <v>Hypertension</v>
      </c>
      <c r="K817" t="str">
        <f>VLOOKUP(H817,Outcome!A$2:$B$7,2,FALSE)</f>
        <v>Improved</v>
      </c>
      <c r="L817">
        <f t="shared" si="24"/>
        <v>29</v>
      </c>
      <c r="M817" t="str">
        <f>IF(Labs!E817&gt;120,"High","Normal")</f>
        <v>High</v>
      </c>
      <c r="N817" t="str">
        <f t="shared" si="25"/>
        <v>High Risk</v>
      </c>
    </row>
    <row r="818" spans="1:14" x14ac:dyDescent="0.3">
      <c r="A818">
        <v>817</v>
      </c>
      <c r="B818" t="s">
        <v>521</v>
      </c>
      <c r="C818">
        <v>20</v>
      </c>
      <c r="D818" t="s">
        <v>17</v>
      </c>
      <c r="E818">
        <v>9</v>
      </c>
      <c r="F818" s="1">
        <v>45601</v>
      </c>
      <c r="G818" s="1">
        <v>45611</v>
      </c>
      <c r="H818">
        <v>2</v>
      </c>
      <c r="I818" s="3">
        <v>54961.34</v>
      </c>
      <c r="J818" t="str">
        <f>VLOOKUP(H818,Diagnosis!$A:$B,2,FALSE)</f>
        <v>Hypertension</v>
      </c>
      <c r="K818" t="str">
        <f>VLOOKUP(H818,Outcome!A$2:$B$7,2,FALSE)</f>
        <v>Improved</v>
      </c>
      <c r="L818">
        <f t="shared" si="24"/>
        <v>10</v>
      </c>
      <c r="M818" t="str">
        <f>IF(Labs!E818&gt;120,"High","Normal")</f>
        <v>High</v>
      </c>
      <c r="N818" t="str">
        <f t="shared" si="25"/>
        <v>High Risk</v>
      </c>
    </row>
    <row r="819" spans="1:14" x14ac:dyDescent="0.3">
      <c r="A819">
        <v>818</v>
      </c>
      <c r="B819" t="s">
        <v>225</v>
      </c>
      <c r="C819">
        <v>86</v>
      </c>
      <c r="D819" t="s">
        <v>17</v>
      </c>
      <c r="E819">
        <v>10</v>
      </c>
      <c r="F819" s="1">
        <v>46054</v>
      </c>
      <c r="G819" s="1">
        <v>46083</v>
      </c>
      <c r="H819">
        <v>5</v>
      </c>
      <c r="I819" s="3">
        <v>62616.49</v>
      </c>
      <c r="J819" t="str">
        <f>VLOOKUP(H819,Diagnosis!$A:$B,2,FALSE)</f>
        <v>Heart Disease</v>
      </c>
      <c r="K819" t="str">
        <f>VLOOKUP(H819,Outcome!A$2:$B$7,2,FALSE)</f>
        <v>Readmitted</v>
      </c>
      <c r="L819">
        <f t="shared" si="24"/>
        <v>29</v>
      </c>
      <c r="M819" t="str">
        <f>IF(Labs!E819&gt;120,"High","Normal")</f>
        <v>High</v>
      </c>
      <c r="N819" t="str">
        <f t="shared" si="25"/>
        <v>High Risk</v>
      </c>
    </row>
    <row r="820" spans="1:14" x14ac:dyDescent="0.3">
      <c r="A820">
        <v>819</v>
      </c>
      <c r="B820" t="s">
        <v>522</v>
      </c>
      <c r="C820">
        <v>6</v>
      </c>
      <c r="D820" t="s">
        <v>17</v>
      </c>
      <c r="E820">
        <v>9</v>
      </c>
      <c r="F820" s="1">
        <v>44801</v>
      </c>
      <c r="G820" s="1">
        <v>44810</v>
      </c>
      <c r="H820">
        <v>1</v>
      </c>
      <c r="I820" s="3">
        <v>112110.15</v>
      </c>
      <c r="J820" t="str">
        <f>VLOOKUP(H820,Diagnosis!$A:$B,2,FALSE)</f>
        <v>Diabetes</v>
      </c>
      <c r="K820" t="str">
        <f>VLOOKUP(H820,Outcome!A$2:$B$7,2,FALSE)</f>
        <v>Recovered</v>
      </c>
      <c r="L820">
        <f t="shared" si="24"/>
        <v>9</v>
      </c>
      <c r="M820" t="str">
        <f>IF(Labs!E820&gt;120,"High","Normal")</f>
        <v>High</v>
      </c>
      <c r="N820" t="str">
        <f t="shared" si="25"/>
        <v>low risk</v>
      </c>
    </row>
    <row r="821" spans="1:14" x14ac:dyDescent="0.3">
      <c r="A821">
        <v>820</v>
      </c>
      <c r="B821" t="s">
        <v>523</v>
      </c>
      <c r="C821">
        <v>46</v>
      </c>
      <c r="D821" t="s">
        <v>17</v>
      </c>
      <c r="E821">
        <v>6</v>
      </c>
      <c r="F821" s="1">
        <v>44674</v>
      </c>
      <c r="G821" s="1">
        <v>44693</v>
      </c>
      <c r="H821">
        <v>2</v>
      </c>
      <c r="I821" s="3">
        <v>106059.08</v>
      </c>
      <c r="J821" t="str">
        <f>VLOOKUP(H821,Diagnosis!$A:$B,2,FALSE)</f>
        <v>Hypertension</v>
      </c>
      <c r="K821" t="str">
        <f>VLOOKUP(H821,Outcome!A$2:$B$7,2,FALSE)</f>
        <v>Improved</v>
      </c>
      <c r="L821">
        <f t="shared" si="24"/>
        <v>19</v>
      </c>
      <c r="M821" t="str">
        <f>IF(Labs!E821&gt;120,"High","Normal")</f>
        <v>High</v>
      </c>
      <c r="N821" t="str">
        <f t="shared" si="25"/>
        <v>High Risk</v>
      </c>
    </row>
    <row r="822" spans="1:14" x14ac:dyDescent="0.3">
      <c r="A822">
        <v>821</v>
      </c>
      <c r="B822" t="s">
        <v>524</v>
      </c>
      <c r="C822">
        <v>26</v>
      </c>
      <c r="D822" t="s">
        <v>17</v>
      </c>
      <c r="E822">
        <v>2</v>
      </c>
      <c r="F822" s="1">
        <v>45664</v>
      </c>
      <c r="G822" s="1">
        <v>45691</v>
      </c>
      <c r="H822">
        <v>2</v>
      </c>
      <c r="I822" s="3">
        <v>121701.51</v>
      </c>
      <c r="J822" t="str">
        <f>VLOOKUP(H822,Diagnosis!$A:$B,2,FALSE)</f>
        <v>Hypertension</v>
      </c>
      <c r="K822" t="str">
        <f>VLOOKUP(H822,Outcome!A$2:$B$7,2,FALSE)</f>
        <v>Improved</v>
      </c>
      <c r="L822">
        <f t="shared" si="24"/>
        <v>27</v>
      </c>
      <c r="M822" t="str">
        <f>IF(Labs!E822&gt;120,"High","Normal")</f>
        <v>High</v>
      </c>
      <c r="N822" t="str">
        <f t="shared" si="25"/>
        <v>High Risk</v>
      </c>
    </row>
    <row r="823" spans="1:14" x14ac:dyDescent="0.3">
      <c r="A823">
        <v>822</v>
      </c>
      <c r="B823" t="s">
        <v>176</v>
      </c>
      <c r="C823">
        <v>51</v>
      </c>
      <c r="D823" t="s">
        <v>17</v>
      </c>
      <c r="E823">
        <v>8</v>
      </c>
      <c r="F823" s="1">
        <v>45212</v>
      </c>
      <c r="G823" s="1">
        <v>45231</v>
      </c>
      <c r="H823">
        <v>2</v>
      </c>
      <c r="I823" s="3">
        <v>169953.88</v>
      </c>
      <c r="J823" t="str">
        <f>VLOOKUP(H823,Diagnosis!$A:$B,2,FALSE)</f>
        <v>Hypertension</v>
      </c>
      <c r="K823" t="str">
        <f>VLOOKUP(H823,Outcome!A$2:$B$7,2,FALSE)</f>
        <v>Improved</v>
      </c>
      <c r="L823">
        <f t="shared" si="24"/>
        <v>19</v>
      </c>
      <c r="M823" t="str">
        <f>IF(Labs!E823&gt;120,"High","Normal")</f>
        <v>High</v>
      </c>
      <c r="N823" t="str">
        <f t="shared" si="25"/>
        <v>High Risk</v>
      </c>
    </row>
    <row r="824" spans="1:14" x14ac:dyDescent="0.3">
      <c r="A824">
        <v>823</v>
      </c>
      <c r="B824" t="s">
        <v>188</v>
      </c>
      <c r="C824">
        <v>19</v>
      </c>
      <c r="D824" t="s">
        <v>10</v>
      </c>
      <c r="E824">
        <v>6</v>
      </c>
      <c r="F824" s="1">
        <v>45352</v>
      </c>
      <c r="G824" s="1">
        <v>45363</v>
      </c>
      <c r="H824">
        <v>1</v>
      </c>
      <c r="I824" s="3">
        <v>63723.34</v>
      </c>
      <c r="J824" t="str">
        <f>VLOOKUP(H824,Diagnosis!$A:$B,2,FALSE)</f>
        <v>Diabetes</v>
      </c>
      <c r="K824" t="str">
        <f>VLOOKUP(H824,Outcome!A$2:$B$7,2,FALSE)</f>
        <v>Recovered</v>
      </c>
      <c r="L824">
        <f t="shared" si="24"/>
        <v>11</v>
      </c>
      <c r="M824" t="str">
        <f>IF(Labs!E824&gt;120,"High","Normal")</f>
        <v>High</v>
      </c>
      <c r="N824" t="str">
        <f t="shared" si="25"/>
        <v>low risk</v>
      </c>
    </row>
    <row r="825" spans="1:14" x14ac:dyDescent="0.3">
      <c r="A825">
        <v>824</v>
      </c>
      <c r="B825" t="s">
        <v>125</v>
      </c>
      <c r="C825">
        <v>72</v>
      </c>
      <c r="D825" t="s">
        <v>17</v>
      </c>
      <c r="E825">
        <v>4</v>
      </c>
      <c r="F825" s="1">
        <v>46052</v>
      </c>
      <c r="G825" s="1">
        <v>46080</v>
      </c>
      <c r="H825">
        <v>2</v>
      </c>
      <c r="I825" s="3">
        <v>178686</v>
      </c>
      <c r="J825" t="str">
        <f>VLOOKUP(H825,Diagnosis!$A:$B,2,FALSE)</f>
        <v>Hypertension</v>
      </c>
      <c r="K825" t="str">
        <f>VLOOKUP(H825,Outcome!A$2:$B$7,2,FALSE)</f>
        <v>Improved</v>
      </c>
      <c r="L825">
        <f t="shared" si="24"/>
        <v>28</v>
      </c>
      <c r="M825" t="str">
        <f>IF(Labs!E825&gt;120,"High","Normal")</f>
        <v>High</v>
      </c>
      <c r="N825" t="str">
        <f t="shared" si="25"/>
        <v>High Risk</v>
      </c>
    </row>
    <row r="826" spans="1:14" x14ac:dyDescent="0.3">
      <c r="A826">
        <v>825</v>
      </c>
      <c r="B826" t="s">
        <v>468</v>
      </c>
      <c r="C826">
        <v>21</v>
      </c>
      <c r="D826" t="s">
        <v>10</v>
      </c>
      <c r="E826">
        <v>7</v>
      </c>
      <c r="F826" s="1">
        <v>44847</v>
      </c>
      <c r="G826" s="1">
        <v>44873</v>
      </c>
      <c r="H826">
        <v>2</v>
      </c>
      <c r="I826" s="3">
        <v>17778.84</v>
      </c>
      <c r="J826" t="str">
        <f>VLOOKUP(H826,Diagnosis!$A:$B,2,FALSE)</f>
        <v>Hypertension</v>
      </c>
      <c r="K826" t="str">
        <f>VLOOKUP(H826,Outcome!A$2:$B$7,2,FALSE)</f>
        <v>Improved</v>
      </c>
      <c r="L826">
        <f t="shared" si="24"/>
        <v>26</v>
      </c>
      <c r="M826" t="str">
        <f>IF(Labs!E826&gt;120,"High","Normal")</f>
        <v>High</v>
      </c>
      <c r="N826" t="str">
        <f t="shared" si="25"/>
        <v>High Risk</v>
      </c>
    </row>
    <row r="827" spans="1:14" x14ac:dyDescent="0.3">
      <c r="A827">
        <v>826</v>
      </c>
      <c r="B827" t="s">
        <v>525</v>
      </c>
      <c r="C827">
        <v>61</v>
      </c>
      <c r="D827" t="s">
        <v>10</v>
      </c>
      <c r="E827">
        <v>2</v>
      </c>
      <c r="F827" s="1">
        <v>45771</v>
      </c>
      <c r="G827" s="1">
        <v>45795</v>
      </c>
      <c r="H827">
        <v>2</v>
      </c>
      <c r="I827" s="3">
        <v>3674.85</v>
      </c>
      <c r="J827" t="str">
        <f>VLOOKUP(H827,Diagnosis!$A:$B,2,FALSE)</f>
        <v>Hypertension</v>
      </c>
      <c r="K827" t="str">
        <f>VLOOKUP(H827,Outcome!A$2:$B$7,2,FALSE)</f>
        <v>Improved</v>
      </c>
      <c r="L827">
        <f t="shared" si="24"/>
        <v>24</v>
      </c>
      <c r="M827" t="str">
        <f>IF(Labs!E827&gt;120,"High","Normal")</f>
        <v>High</v>
      </c>
      <c r="N827" t="str">
        <f t="shared" si="25"/>
        <v>High Risk</v>
      </c>
    </row>
    <row r="828" spans="1:14" x14ac:dyDescent="0.3">
      <c r="A828">
        <v>827</v>
      </c>
      <c r="B828" t="s">
        <v>75</v>
      </c>
      <c r="C828">
        <v>23</v>
      </c>
      <c r="D828" t="s">
        <v>10</v>
      </c>
      <c r="E828">
        <v>10</v>
      </c>
      <c r="F828" s="1">
        <v>46108</v>
      </c>
      <c r="G828" s="1">
        <v>46137</v>
      </c>
      <c r="H828">
        <v>1</v>
      </c>
      <c r="I828" s="3">
        <v>35516.14</v>
      </c>
      <c r="J828" t="str">
        <f>VLOOKUP(H828,Diagnosis!$A:$B,2,FALSE)</f>
        <v>Diabetes</v>
      </c>
      <c r="K828" t="str">
        <f>VLOOKUP(H828,Outcome!A$2:$B$7,2,FALSE)</f>
        <v>Recovered</v>
      </c>
      <c r="L828">
        <f t="shared" si="24"/>
        <v>29</v>
      </c>
      <c r="M828" t="str">
        <f>IF(Labs!E828&gt;120,"High","Normal")</f>
        <v>High</v>
      </c>
      <c r="N828" t="str">
        <f t="shared" si="25"/>
        <v>low risk</v>
      </c>
    </row>
    <row r="829" spans="1:14" x14ac:dyDescent="0.3">
      <c r="A829">
        <v>828</v>
      </c>
      <c r="B829" t="s">
        <v>526</v>
      </c>
      <c r="C829">
        <v>71</v>
      </c>
      <c r="D829" t="s">
        <v>10</v>
      </c>
      <c r="E829">
        <v>1</v>
      </c>
      <c r="F829" s="1">
        <v>46247</v>
      </c>
      <c r="G829" s="1">
        <v>46273</v>
      </c>
      <c r="H829">
        <v>1</v>
      </c>
      <c r="I829" s="3">
        <v>106374.47</v>
      </c>
      <c r="J829" t="str">
        <f>VLOOKUP(H829,Diagnosis!$A:$B,2,FALSE)</f>
        <v>Diabetes</v>
      </c>
      <c r="K829" t="str">
        <f>VLOOKUP(H829,Outcome!A$2:$B$7,2,FALSE)</f>
        <v>Recovered</v>
      </c>
      <c r="L829">
        <f t="shared" si="24"/>
        <v>26</v>
      </c>
      <c r="M829" t="str">
        <f>IF(Labs!E829&gt;120,"High","Normal")</f>
        <v>High</v>
      </c>
      <c r="N829" t="str">
        <f t="shared" si="25"/>
        <v>High Risk</v>
      </c>
    </row>
    <row r="830" spans="1:14" x14ac:dyDescent="0.3">
      <c r="A830">
        <v>829</v>
      </c>
      <c r="B830" t="s">
        <v>279</v>
      </c>
      <c r="C830">
        <v>95</v>
      </c>
      <c r="D830" t="s">
        <v>10</v>
      </c>
      <c r="E830">
        <v>4</v>
      </c>
      <c r="F830" s="1">
        <v>44616</v>
      </c>
      <c r="G830" s="1">
        <v>44641</v>
      </c>
      <c r="H830">
        <v>1</v>
      </c>
      <c r="I830" s="3">
        <v>49125.17</v>
      </c>
      <c r="J830" t="str">
        <f>VLOOKUP(H830,Diagnosis!$A:$B,2,FALSE)</f>
        <v>Diabetes</v>
      </c>
      <c r="K830" t="str">
        <f>VLOOKUP(H830,Outcome!A$2:$B$7,2,FALSE)</f>
        <v>Recovered</v>
      </c>
      <c r="L830">
        <f t="shared" si="24"/>
        <v>25</v>
      </c>
      <c r="M830" t="str">
        <f>IF(Labs!E830&gt;120,"High","Normal")</f>
        <v>High</v>
      </c>
      <c r="N830" t="str">
        <f t="shared" si="25"/>
        <v>High Risk</v>
      </c>
    </row>
    <row r="831" spans="1:14" x14ac:dyDescent="0.3">
      <c r="A831">
        <v>830</v>
      </c>
      <c r="B831" t="s">
        <v>274</v>
      </c>
      <c r="C831">
        <v>84</v>
      </c>
      <c r="D831" t="s">
        <v>10</v>
      </c>
      <c r="E831">
        <v>7</v>
      </c>
      <c r="F831" s="1">
        <v>44929</v>
      </c>
      <c r="G831" s="1">
        <v>44944</v>
      </c>
      <c r="H831">
        <v>5</v>
      </c>
      <c r="I831" s="3">
        <v>116949.49</v>
      </c>
      <c r="J831" t="str">
        <f>VLOOKUP(H831,Diagnosis!$A:$B,2,FALSE)</f>
        <v>Heart Disease</v>
      </c>
      <c r="K831" t="str">
        <f>VLOOKUP(H831,Outcome!A$2:$B$7,2,FALSE)</f>
        <v>Readmitted</v>
      </c>
      <c r="L831">
        <f t="shared" si="24"/>
        <v>15</v>
      </c>
      <c r="M831" t="str">
        <f>IF(Labs!E831&gt;120,"High","Normal")</f>
        <v>High</v>
      </c>
      <c r="N831" t="str">
        <f t="shared" si="25"/>
        <v>High Risk</v>
      </c>
    </row>
    <row r="832" spans="1:14" x14ac:dyDescent="0.3">
      <c r="A832">
        <v>831</v>
      </c>
      <c r="B832" t="s">
        <v>527</v>
      </c>
      <c r="C832">
        <v>36</v>
      </c>
      <c r="D832" t="s">
        <v>10</v>
      </c>
      <c r="E832">
        <v>2</v>
      </c>
      <c r="F832" s="1">
        <v>45788</v>
      </c>
      <c r="G832" s="1">
        <v>45811</v>
      </c>
      <c r="H832">
        <v>2</v>
      </c>
      <c r="I832" s="3">
        <v>87786.25</v>
      </c>
      <c r="J832" t="str">
        <f>VLOOKUP(H832,Diagnosis!$A:$B,2,FALSE)</f>
        <v>Hypertension</v>
      </c>
      <c r="K832" t="str">
        <f>VLOOKUP(H832,Outcome!A$2:$B$7,2,FALSE)</f>
        <v>Improved</v>
      </c>
      <c r="L832">
        <f t="shared" si="24"/>
        <v>23</v>
      </c>
      <c r="M832" t="str">
        <f>IF(Labs!E832&gt;120,"High","Normal")</f>
        <v>High</v>
      </c>
      <c r="N832" t="str">
        <f t="shared" si="25"/>
        <v>High Risk</v>
      </c>
    </row>
    <row r="833" spans="1:14" x14ac:dyDescent="0.3">
      <c r="A833">
        <v>832</v>
      </c>
      <c r="B833" t="s">
        <v>122</v>
      </c>
      <c r="C833">
        <v>81</v>
      </c>
      <c r="D833" t="s">
        <v>10</v>
      </c>
      <c r="E833">
        <v>2</v>
      </c>
      <c r="F833" s="1">
        <v>45326</v>
      </c>
      <c r="G833" s="1">
        <v>45342</v>
      </c>
      <c r="H833">
        <v>3</v>
      </c>
      <c r="I833" s="3">
        <v>5614.25</v>
      </c>
      <c r="J833" t="str">
        <f>VLOOKUP(H833,Diagnosis!$A:$B,2,FALSE)</f>
        <v>Asthma</v>
      </c>
      <c r="K833" t="str">
        <f>VLOOKUP(H833,Outcome!A$2:$B$7,2,FALSE)</f>
        <v>Ongoing Treatment</v>
      </c>
      <c r="L833">
        <f t="shared" si="24"/>
        <v>16</v>
      </c>
      <c r="M833" t="str">
        <f>IF(Labs!E833&gt;120,"High","Normal")</f>
        <v>High</v>
      </c>
      <c r="N833" t="str">
        <f t="shared" si="25"/>
        <v>High Risk</v>
      </c>
    </row>
    <row r="834" spans="1:14" x14ac:dyDescent="0.3">
      <c r="A834">
        <v>833</v>
      </c>
      <c r="B834" t="s">
        <v>58</v>
      </c>
      <c r="C834">
        <v>75</v>
      </c>
      <c r="D834" t="s">
        <v>17</v>
      </c>
      <c r="E834">
        <v>3</v>
      </c>
      <c r="F834" s="1">
        <v>45216</v>
      </c>
      <c r="G834" s="1">
        <v>45230</v>
      </c>
      <c r="H834">
        <v>5</v>
      </c>
      <c r="I834" s="3">
        <v>26550.79</v>
      </c>
      <c r="J834" t="str">
        <f>VLOOKUP(H834,Diagnosis!$A:$B,2,FALSE)</f>
        <v>Heart Disease</v>
      </c>
      <c r="K834" t="str">
        <f>VLOOKUP(H834,Outcome!A$2:$B$7,2,FALSE)</f>
        <v>Readmitted</v>
      </c>
      <c r="L834">
        <f t="shared" si="24"/>
        <v>14</v>
      </c>
      <c r="M834" t="str">
        <f>IF(Labs!E834&gt;120,"High","Normal")</f>
        <v>High</v>
      </c>
      <c r="N834" t="str">
        <f t="shared" si="25"/>
        <v>High Risk</v>
      </c>
    </row>
    <row r="835" spans="1:14" x14ac:dyDescent="0.3">
      <c r="A835">
        <v>834</v>
      </c>
      <c r="B835" t="s">
        <v>42</v>
      </c>
      <c r="C835">
        <v>35</v>
      </c>
      <c r="D835" t="s">
        <v>10</v>
      </c>
      <c r="E835">
        <v>7</v>
      </c>
      <c r="F835" s="1">
        <v>45865</v>
      </c>
      <c r="G835" s="1">
        <v>45894</v>
      </c>
      <c r="H835">
        <v>6</v>
      </c>
      <c r="I835" s="3">
        <v>11146.89</v>
      </c>
      <c r="J835" t="str">
        <f>VLOOKUP(H835,Diagnosis!$A:$B,2,FALSE)</f>
        <v>Kidney Disease</v>
      </c>
      <c r="K835" t="str">
        <f>VLOOKUP(H835,Outcome!A$2:$B$7,2,FALSE)</f>
        <v>Deceased</v>
      </c>
      <c r="L835">
        <f t="shared" ref="L835:L898" si="26">DATEDIF(F835,G835,"d")</f>
        <v>29</v>
      </c>
      <c r="M835" t="str">
        <f>IF(Labs!E835&gt;120,"High","Normal")</f>
        <v>High</v>
      </c>
      <c r="N835" t="str">
        <f t="shared" si="25"/>
        <v>High Risk</v>
      </c>
    </row>
    <row r="836" spans="1:14" x14ac:dyDescent="0.3">
      <c r="A836">
        <v>835</v>
      </c>
      <c r="B836" t="s">
        <v>528</v>
      </c>
      <c r="C836">
        <v>82</v>
      </c>
      <c r="D836" t="s">
        <v>17</v>
      </c>
      <c r="E836">
        <v>9</v>
      </c>
      <c r="F836" s="1">
        <v>44958</v>
      </c>
      <c r="G836" s="1">
        <v>44982</v>
      </c>
      <c r="H836">
        <v>2</v>
      </c>
      <c r="I836" s="3">
        <v>138232.35999999999</v>
      </c>
      <c r="J836" t="str">
        <f>VLOOKUP(H836,Diagnosis!$A:$B,2,FALSE)</f>
        <v>Hypertension</v>
      </c>
      <c r="K836" t="str">
        <f>VLOOKUP(H836,Outcome!A$2:$B$7,2,FALSE)</f>
        <v>Improved</v>
      </c>
      <c r="L836">
        <f t="shared" si="26"/>
        <v>24</v>
      </c>
      <c r="M836" t="str">
        <f>IF(Labs!E836&gt;120,"High","Normal")</f>
        <v>High</v>
      </c>
      <c r="N836" t="str">
        <f t="shared" ref="N836:N899" si="27">IF(OR(C836&gt;65,H836&lt;&gt;1),"High Risk","low risk")</f>
        <v>High Risk</v>
      </c>
    </row>
    <row r="837" spans="1:14" x14ac:dyDescent="0.3">
      <c r="A837">
        <v>836</v>
      </c>
      <c r="B837" t="s">
        <v>529</v>
      </c>
      <c r="C837">
        <v>70</v>
      </c>
      <c r="D837" t="s">
        <v>10</v>
      </c>
      <c r="E837">
        <v>6</v>
      </c>
      <c r="F837" s="1">
        <v>46255</v>
      </c>
      <c r="G837" s="1">
        <v>46282</v>
      </c>
      <c r="H837">
        <v>3</v>
      </c>
      <c r="I837" s="3">
        <v>55940.33</v>
      </c>
      <c r="J837" t="str">
        <f>VLOOKUP(H837,Diagnosis!$A:$B,2,FALSE)</f>
        <v>Asthma</v>
      </c>
      <c r="K837" t="str">
        <f>VLOOKUP(H837,Outcome!A$2:$B$7,2,FALSE)</f>
        <v>Ongoing Treatment</v>
      </c>
      <c r="L837">
        <f t="shared" si="26"/>
        <v>27</v>
      </c>
      <c r="M837" t="str">
        <f>IF(Labs!E837&gt;120,"High","Normal")</f>
        <v>High</v>
      </c>
      <c r="N837" t="str">
        <f t="shared" si="27"/>
        <v>High Risk</v>
      </c>
    </row>
    <row r="838" spans="1:14" x14ac:dyDescent="0.3">
      <c r="A838">
        <v>837</v>
      </c>
      <c r="B838" t="s">
        <v>397</v>
      </c>
      <c r="C838">
        <v>69</v>
      </c>
      <c r="D838" t="s">
        <v>10</v>
      </c>
      <c r="E838">
        <v>3</v>
      </c>
      <c r="F838" s="1">
        <v>44588</v>
      </c>
      <c r="G838" s="1">
        <v>44592</v>
      </c>
      <c r="H838">
        <v>2</v>
      </c>
      <c r="I838" s="3">
        <v>68710.02</v>
      </c>
      <c r="J838" t="str">
        <f>VLOOKUP(H838,Diagnosis!$A:$B,2,FALSE)</f>
        <v>Hypertension</v>
      </c>
      <c r="K838" t="str">
        <f>VLOOKUP(H838,Outcome!A$2:$B$7,2,FALSE)</f>
        <v>Improved</v>
      </c>
      <c r="L838">
        <f t="shared" si="26"/>
        <v>4</v>
      </c>
      <c r="M838" t="str">
        <f>IF(Labs!E838&gt;120,"High","Normal")</f>
        <v>High</v>
      </c>
      <c r="N838" t="str">
        <f t="shared" si="27"/>
        <v>High Risk</v>
      </c>
    </row>
    <row r="839" spans="1:14" x14ac:dyDescent="0.3">
      <c r="A839">
        <v>838</v>
      </c>
      <c r="B839" t="s">
        <v>489</v>
      </c>
      <c r="C839">
        <v>44</v>
      </c>
      <c r="D839" t="s">
        <v>17</v>
      </c>
      <c r="E839">
        <v>2</v>
      </c>
      <c r="F839" s="1">
        <v>45008</v>
      </c>
      <c r="G839" s="1">
        <v>45012</v>
      </c>
      <c r="H839">
        <v>2</v>
      </c>
      <c r="I839" s="3">
        <v>150104.31</v>
      </c>
      <c r="J839" t="str">
        <f>VLOOKUP(H839,Diagnosis!$A:$B,2,FALSE)</f>
        <v>Hypertension</v>
      </c>
      <c r="K839" t="str">
        <f>VLOOKUP(H839,Outcome!A$2:$B$7,2,FALSE)</f>
        <v>Improved</v>
      </c>
      <c r="L839">
        <f t="shared" si="26"/>
        <v>4</v>
      </c>
      <c r="M839" t="str">
        <f>IF(Labs!E839&gt;120,"High","Normal")</f>
        <v>High</v>
      </c>
      <c r="N839" t="str">
        <f t="shared" si="27"/>
        <v>High Risk</v>
      </c>
    </row>
    <row r="840" spans="1:14" x14ac:dyDescent="0.3">
      <c r="A840">
        <v>839</v>
      </c>
      <c r="B840" t="s">
        <v>343</v>
      </c>
      <c r="C840">
        <v>89</v>
      </c>
      <c r="D840" t="s">
        <v>17</v>
      </c>
      <c r="E840">
        <v>7</v>
      </c>
      <c r="F840" s="1">
        <v>45505</v>
      </c>
      <c r="G840" s="1">
        <v>45534</v>
      </c>
      <c r="H840">
        <v>1</v>
      </c>
      <c r="I840" s="3">
        <v>147844.94</v>
      </c>
      <c r="J840" t="str">
        <f>VLOOKUP(H840,Diagnosis!$A:$B,2,FALSE)</f>
        <v>Diabetes</v>
      </c>
      <c r="K840" t="str">
        <f>VLOOKUP(H840,Outcome!A$2:$B$7,2,FALSE)</f>
        <v>Recovered</v>
      </c>
      <c r="L840">
        <f t="shared" si="26"/>
        <v>29</v>
      </c>
      <c r="M840" t="str">
        <f>IF(Labs!E840&gt;120,"High","Normal")</f>
        <v>High</v>
      </c>
      <c r="N840" t="str">
        <f t="shared" si="27"/>
        <v>High Risk</v>
      </c>
    </row>
    <row r="841" spans="1:14" x14ac:dyDescent="0.3">
      <c r="A841">
        <v>840</v>
      </c>
      <c r="B841" t="s">
        <v>530</v>
      </c>
      <c r="C841">
        <v>45</v>
      </c>
      <c r="D841" t="s">
        <v>10</v>
      </c>
      <c r="E841">
        <v>6</v>
      </c>
      <c r="F841" s="1">
        <v>44846</v>
      </c>
      <c r="G841" s="1">
        <v>44872</v>
      </c>
      <c r="H841">
        <v>2</v>
      </c>
      <c r="I841" s="3">
        <v>177795.76</v>
      </c>
      <c r="J841" t="str">
        <f>VLOOKUP(H841,Diagnosis!$A:$B,2,FALSE)</f>
        <v>Hypertension</v>
      </c>
      <c r="K841" t="str">
        <f>VLOOKUP(H841,Outcome!A$2:$B$7,2,FALSE)</f>
        <v>Improved</v>
      </c>
      <c r="L841">
        <f t="shared" si="26"/>
        <v>26</v>
      </c>
      <c r="M841" t="str">
        <f>IF(Labs!E841&gt;120,"High","Normal")</f>
        <v>High</v>
      </c>
      <c r="N841" t="str">
        <f t="shared" si="27"/>
        <v>High Risk</v>
      </c>
    </row>
    <row r="842" spans="1:14" x14ac:dyDescent="0.3">
      <c r="A842">
        <v>841</v>
      </c>
      <c r="B842" t="s">
        <v>242</v>
      </c>
      <c r="C842">
        <v>23</v>
      </c>
      <c r="D842" t="s">
        <v>10</v>
      </c>
      <c r="E842">
        <v>1</v>
      </c>
      <c r="F842" s="1">
        <v>46086</v>
      </c>
      <c r="G842" s="1">
        <v>46112</v>
      </c>
      <c r="H842">
        <v>1</v>
      </c>
      <c r="I842" s="3">
        <v>25346.82</v>
      </c>
      <c r="J842" t="str">
        <f>VLOOKUP(H842,Diagnosis!$A:$B,2,FALSE)</f>
        <v>Diabetes</v>
      </c>
      <c r="K842" t="str">
        <f>VLOOKUP(H842,Outcome!A$2:$B$7,2,FALSE)</f>
        <v>Recovered</v>
      </c>
      <c r="L842">
        <f t="shared" si="26"/>
        <v>26</v>
      </c>
      <c r="M842" t="str">
        <f>IF(Labs!E842&gt;120,"High","Normal")</f>
        <v>High</v>
      </c>
      <c r="N842" t="str">
        <f t="shared" si="27"/>
        <v>low risk</v>
      </c>
    </row>
    <row r="843" spans="1:14" x14ac:dyDescent="0.3">
      <c r="A843">
        <v>842</v>
      </c>
      <c r="B843" t="s">
        <v>159</v>
      </c>
      <c r="C843">
        <v>40</v>
      </c>
      <c r="D843" t="s">
        <v>17</v>
      </c>
      <c r="E843">
        <v>4</v>
      </c>
      <c r="F843" s="1">
        <v>44828</v>
      </c>
      <c r="G843" s="1">
        <v>44830</v>
      </c>
      <c r="H843">
        <v>2</v>
      </c>
      <c r="I843" s="3">
        <v>137936.70000000001</v>
      </c>
      <c r="J843" t="str">
        <f>VLOOKUP(H843,Diagnosis!$A:$B,2,FALSE)</f>
        <v>Hypertension</v>
      </c>
      <c r="K843" t="str">
        <f>VLOOKUP(H843,Outcome!A$2:$B$7,2,FALSE)</f>
        <v>Improved</v>
      </c>
      <c r="L843">
        <f t="shared" si="26"/>
        <v>2</v>
      </c>
      <c r="M843" t="str">
        <f>IF(Labs!E843&gt;120,"High","Normal")</f>
        <v>High</v>
      </c>
      <c r="N843" t="str">
        <f t="shared" si="27"/>
        <v>High Risk</v>
      </c>
    </row>
    <row r="844" spans="1:14" x14ac:dyDescent="0.3">
      <c r="A844">
        <v>843</v>
      </c>
      <c r="B844" t="s">
        <v>510</v>
      </c>
      <c r="C844">
        <v>3</v>
      </c>
      <c r="D844" t="s">
        <v>10</v>
      </c>
      <c r="E844">
        <v>7</v>
      </c>
      <c r="F844" s="1">
        <v>44649</v>
      </c>
      <c r="G844" s="1">
        <v>44655</v>
      </c>
      <c r="H844">
        <v>1</v>
      </c>
      <c r="I844" s="3">
        <v>143267.29</v>
      </c>
      <c r="J844" t="str">
        <f>VLOOKUP(H844,Diagnosis!$A:$B,2,FALSE)</f>
        <v>Diabetes</v>
      </c>
      <c r="K844" t="str">
        <f>VLOOKUP(H844,Outcome!A$2:$B$7,2,FALSE)</f>
        <v>Recovered</v>
      </c>
      <c r="L844">
        <f t="shared" si="26"/>
        <v>6</v>
      </c>
      <c r="M844" t="str">
        <f>IF(Labs!E844&gt;120,"High","Normal")</f>
        <v>High</v>
      </c>
      <c r="N844" t="str">
        <f t="shared" si="27"/>
        <v>low risk</v>
      </c>
    </row>
    <row r="845" spans="1:14" x14ac:dyDescent="0.3">
      <c r="A845">
        <v>844</v>
      </c>
      <c r="B845" t="s">
        <v>531</v>
      </c>
      <c r="C845">
        <v>8</v>
      </c>
      <c r="D845" t="s">
        <v>10</v>
      </c>
      <c r="E845">
        <v>2</v>
      </c>
      <c r="F845" s="1">
        <v>45080</v>
      </c>
      <c r="G845" s="1">
        <v>45081</v>
      </c>
      <c r="H845">
        <v>1</v>
      </c>
      <c r="I845" s="3">
        <v>120996.59</v>
      </c>
      <c r="J845" t="str">
        <f>VLOOKUP(H845,Diagnosis!$A:$B,2,FALSE)</f>
        <v>Diabetes</v>
      </c>
      <c r="K845" t="str">
        <f>VLOOKUP(H845,Outcome!A$2:$B$7,2,FALSE)</f>
        <v>Recovered</v>
      </c>
      <c r="L845">
        <f t="shared" si="26"/>
        <v>1</v>
      </c>
      <c r="M845" t="str">
        <f>IF(Labs!E845&gt;120,"High","Normal")</f>
        <v>High</v>
      </c>
      <c r="N845" t="str">
        <f t="shared" si="27"/>
        <v>low risk</v>
      </c>
    </row>
    <row r="846" spans="1:14" x14ac:dyDescent="0.3">
      <c r="A846">
        <v>845</v>
      </c>
      <c r="B846" t="s">
        <v>294</v>
      </c>
      <c r="C846">
        <v>78</v>
      </c>
      <c r="D846" t="s">
        <v>17</v>
      </c>
      <c r="E846">
        <v>10</v>
      </c>
      <c r="F846" s="1">
        <v>44971</v>
      </c>
      <c r="G846" s="1">
        <v>44976</v>
      </c>
      <c r="H846">
        <v>3</v>
      </c>
      <c r="I846" s="3">
        <v>7693.49</v>
      </c>
      <c r="J846" t="str">
        <f>VLOOKUP(H846,Diagnosis!$A:$B,2,FALSE)</f>
        <v>Asthma</v>
      </c>
      <c r="K846" t="str">
        <f>VLOOKUP(H846,Outcome!A$2:$B$7,2,FALSE)</f>
        <v>Ongoing Treatment</v>
      </c>
      <c r="L846">
        <f t="shared" si="26"/>
        <v>5</v>
      </c>
      <c r="M846" t="str">
        <f>IF(Labs!E846&gt;120,"High","Normal")</f>
        <v>High</v>
      </c>
      <c r="N846" t="str">
        <f t="shared" si="27"/>
        <v>High Risk</v>
      </c>
    </row>
    <row r="847" spans="1:14" x14ac:dyDescent="0.3">
      <c r="A847">
        <v>846</v>
      </c>
      <c r="B847" t="s">
        <v>532</v>
      </c>
      <c r="C847">
        <v>75</v>
      </c>
      <c r="D847" t="s">
        <v>10</v>
      </c>
      <c r="E847">
        <v>6</v>
      </c>
      <c r="F847" s="1">
        <v>44890</v>
      </c>
      <c r="G847" s="1">
        <v>44917</v>
      </c>
      <c r="H847">
        <v>2</v>
      </c>
      <c r="I847" s="3">
        <v>131818.35</v>
      </c>
      <c r="J847" t="str">
        <f>VLOOKUP(H847,Diagnosis!$A:$B,2,FALSE)</f>
        <v>Hypertension</v>
      </c>
      <c r="K847" t="str">
        <f>VLOOKUP(H847,Outcome!A$2:$B$7,2,FALSE)</f>
        <v>Improved</v>
      </c>
      <c r="L847">
        <f t="shared" si="26"/>
        <v>27</v>
      </c>
      <c r="M847" t="str">
        <f>IF(Labs!E847&gt;120,"High","Normal")</f>
        <v>High</v>
      </c>
      <c r="N847" t="str">
        <f t="shared" si="27"/>
        <v>High Risk</v>
      </c>
    </row>
    <row r="848" spans="1:14" x14ac:dyDescent="0.3">
      <c r="A848">
        <v>847</v>
      </c>
      <c r="B848" t="s">
        <v>463</v>
      </c>
      <c r="C848">
        <v>73</v>
      </c>
      <c r="D848" t="s">
        <v>17</v>
      </c>
      <c r="E848">
        <v>2</v>
      </c>
      <c r="F848" s="1">
        <v>46240</v>
      </c>
      <c r="G848" s="1">
        <v>46258</v>
      </c>
      <c r="H848">
        <v>3</v>
      </c>
      <c r="I848" s="3">
        <v>96368.88</v>
      </c>
      <c r="J848" t="str">
        <f>VLOOKUP(H848,Diagnosis!$A:$B,2,FALSE)</f>
        <v>Asthma</v>
      </c>
      <c r="K848" t="str">
        <f>VLOOKUP(H848,Outcome!A$2:$B$7,2,FALSE)</f>
        <v>Ongoing Treatment</v>
      </c>
      <c r="L848">
        <f t="shared" si="26"/>
        <v>18</v>
      </c>
      <c r="M848" t="str">
        <f>IF(Labs!E848&gt;120,"High","Normal")</f>
        <v>High</v>
      </c>
      <c r="N848" t="str">
        <f t="shared" si="27"/>
        <v>High Risk</v>
      </c>
    </row>
    <row r="849" spans="1:14" x14ac:dyDescent="0.3">
      <c r="A849">
        <v>848</v>
      </c>
      <c r="B849" t="s">
        <v>221</v>
      </c>
      <c r="C849">
        <v>22</v>
      </c>
      <c r="D849" t="s">
        <v>17</v>
      </c>
      <c r="E849">
        <v>2</v>
      </c>
      <c r="F849" s="1">
        <v>45000</v>
      </c>
      <c r="G849" s="1">
        <v>45029</v>
      </c>
      <c r="H849">
        <v>2</v>
      </c>
      <c r="I849" s="3">
        <v>128126.71</v>
      </c>
      <c r="J849" t="str">
        <f>VLOOKUP(H849,Diagnosis!$A:$B,2,FALSE)</f>
        <v>Hypertension</v>
      </c>
      <c r="K849" t="str">
        <f>VLOOKUP(H849,Outcome!A$2:$B$7,2,FALSE)</f>
        <v>Improved</v>
      </c>
      <c r="L849">
        <f t="shared" si="26"/>
        <v>29</v>
      </c>
      <c r="M849" t="str">
        <f>IF(Labs!E849&gt;120,"High","Normal")</f>
        <v>High</v>
      </c>
      <c r="N849" t="str">
        <f t="shared" si="27"/>
        <v>High Risk</v>
      </c>
    </row>
    <row r="850" spans="1:14" x14ac:dyDescent="0.3">
      <c r="A850">
        <v>849</v>
      </c>
      <c r="B850" t="s">
        <v>533</v>
      </c>
      <c r="C850">
        <v>24</v>
      </c>
      <c r="D850" t="s">
        <v>10</v>
      </c>
      <c r="E850">
        <v>2</v>
      </c>
      <c r="F850" s="1">
        <v>44932</v>
      </c>
      <c r="G850" s="1">
        <v>44958</v>
      </c>
      <c r="H850">
        <v>2</v>
      </c>
      <c r="I850" s="3">
        <v>69881.67</v>
      </c>
      <c r="J850" t="str">
        <f>VLOOKUP(H850,Diagnosis!$A:$B,2,FALSE)</f>
        <v>Hypertension</v>
      </c>
      <c r="K850" t="str">
        <f>VLOOKUP(H850,Outcome!A$2:$B$7,2,FALSE)</f>
        <v>Improved</v>
      </c>
      <c r="L850">
        <f t="shared" si="26"/>
        <v>26</v>
      </c>
      <c r="M850" t="str">
        <f>IF(Labs!E850&gt;120,"High","Normal")</f>
        <v>High</v>
      </c>
      <c r="N850" t="str">
        <f t="shared" si="27"/>
        <v>High Risk</v>
      </c>
    </row>
    <row r="851" spans="1:14" x14ac:dyDescent="0.3">
      <c r="A851">
        <v>850</v>
      </c>
      <c r="B851" t="s">
        <v>434</v>
      </c>
      <c r="C851">
        <v>30</v>
      </c>
      <c r="D851" t="s">
        <v>10</v>
      </c>
      <c r="E851">
        <v>2</v>
      </c>
      <c r="F851" s="1">
        <v>46121</v>
      </c>
      <c r="G851" s="1">
        <v>46131</v>
      </c>
      <c r="H851">
        <v>1</v>
      </c>
      <c r="I851" s="3">
        <v>22081.119999999999</v>
      </c>
      <c r="J851" t="str">
        <f>VLOOKUP(H851,Diagnosis!$A:$B,2,FALSE)</f>
        <v>Diabetes</v>
      </c>
      <c r="K851" t="str">
        <f>VLOOKUP(H851,Outcome!A$2:$B$7,2,FALSE)</f>
        <v>Recovered</v>
      </c>
      <c r="L851">
        <f t="shared" si="26"/>
        <v>10</v>
      </c>
      <c r="M851" t="str">
        <f>IF(Labs!E851&gt;120,"High","Normal")</f>
        <v>High</v>
      </c>
      <c r="N851" t="str">
        <f t="shared" si="27"/>
        <v>low risk</v>
      </c>
    </row>
    <row r="852" spans="1:14" x14ac:dyDescent="0.3">
      <c r="A852">
        <v>851</v>
      </c>
      <c r="B852" t="s">
        <v>476</v>
      </c>
      <c r="C852">
        <v>47</v>
      </c>
      <c r="D852" t="s">
        <v>10</v>
      </c>
      <c r="E852">
        <v>9</v>
      </c>
      <c r="F852" s="1">
        <v>46040</v>
      </c>
      <c r="G852" s="1">
        <v>46041</v>
      </c>
      <c r="H852">
        <v>1</v>
      </c>
      <c r="I852" s="3">
        <v>90134.02</v>
      </c>
      <c r="J852" t="str">
        <f>VLOOKUP(H852,Diagnosis!$A:$B,2,FALSE)</f>
        <v>Diabetes</v>
      </c>
      <c r="K852" t="str">
        <f>VLOOKUP(H852,Outcome!A$2:$B$7,2,FALSE)</f>
        <v>Recovered</v>
      </c>
      <c r="L852">
        <f t="shared" si="26"/>
        <v>1</v>
      </c>
      <c r="M852" t="str">
        <f>IF(Labs!E852&gt;120,"High","Normal")</f>
        <v>High</v>
      </c>
      <c r="N852" t="str">
        <f t="shared" si="27"/>
        <v>low risk</v>
      </c>
    </row>
    <row r="853" spans="1:14" x14ac:dyDescent="0.3">
      <c r="A853">
        <v>852</v>
      </c>
      <c r="B853" t="s">
        <v>526</v>
      </c>
      <c r="C853">
        <v>59</v>
      </c>
      <c r="D853" t="s">
        <v>10</v>
      </c>
      <c r="E853">
        <v>8</v>
      </c>
      <c r="F853" s="1">
        <v>45024</v>
      </c>
      <c r="G853" s="1">
        <v>45041</v>
      </c>
      <c r="H853">
        <v>2</v>
      </c>
      <c r="I853" s="3">
        <v>177330.81</v>
      </c>
      <c r="J853" t="str">
        <f>VLOOKUP(H853,Diagnosis!$A:$B,2,FALSE)</f>
        <v>Hypertension</v>
      </c>
      <c r="K853" t="str">
        <f>VLOOKUP(H853,Outcome!A$2:$B$7,2,FALSE)</f>
        <v>Improved</v>
      </c>
      <c r="L853">
        <f t="shared" si="26"/>
        <v>17</v>
      </c>
      <c r="M853" t="str">
        <f>IF(Labs!E853&gt;120,"High","Normal")</f>
        <v>High</v>
      </c>
      <c r="N853" t="str">
        <f t="shared" si="27"/>
        <v>High Risk</v>
      </c>
    </row>
    <row r="854" spans="1:14" x14ac:dyDescent="0.3">
      <c r="A854">
        <v>853</v>
      </c>
      <c r="B854" t="s">
        <v>499</v>
      </c>
      <c r="C854">
        <v>9</v>
      </c>
      <c r="D854" t="s">
        <v>10</v>
      </c>
      <c r="E854">
        <v>6</v>
      </c>
      <c r="F854" s="1">
        <v>44929</v>
      </c>
      <c r="G854" s="1">
        <v>44929</v>
      </c>
      <c r="H854">
        <v>6</v>
      </c>
      <c r="I854" s="3">
        <v>89767.59</v>
      </c>
      <c r="J854" t="str">
        <f>VLOOKUP(H854,Diagnosis!$A:$B,2,FALSE)</f>
        <v>Kidney Disease</v>
      </c>
      <c r="K854" t="str">
        <f>VLOOKUP(H854,Outcome!A$2:$B$7,2,FALSE)</f>
        <v>Deceased</v>
      </c>
      <c r="L854">
        <f t="shared" si="26"/>
        <v>0</v>
      </c>
      <c r="M854" t="str">
        <f>IF(Labs!E854&gt;120,"High","Normal")</f>
        <v>High</v>
      </c>
      <c r="N854" t="str">
        <f t="shared" si="27"/>
        <v>High Risk</v>
      </c>
    </row>
    <row r="855" spans="1:14" x14ac:dyDescent="0.3">
      <c r="A855">
        <v>854</v>
      </c>
      <c r="B855" t="s">
        <v>534</v>
      </c>
      <c r="C855">
        <v>57</v>
      </c>
      <c r="D855" t="s">
        <v>17</v>
      </c>
      <c r="E855">
        <v>2</v>
      </c>
      <c r="F855" s="1">
        <v>44855</v>
      </c>
      <c r="G855" s="1">
        <v>44867</v>
      </c>
      <c r="H855">
        <v>2</v>
      </c>
      <c r="I855" s="3">
        <v>107323.91</v>
      </c>
      <c r="J855" t="str">
        <f>VLOOKUP(H855,Diagnosis!$A:$B,2,FALSE)</f>
        <v>Hypertension</v>
      </c>
      <c r="K855" t="str">
        <f>VLOOKUP(H855,Outcome!A$2:$B$7,2,FALSE)</f>
        <v>Improved</v>
      </c>
      <c r="L855">
        <f t="shared" si="26"/>
        <v>12</v>
      </c>
      <c r="M855" t="str">
        <f>IF(Labs!E855&gt;120,"High","Normal")</f>
        <v>High</v>
      </c>
      <c r="N855" t="str">
        <f t="shared" si="27"/>
        <v>High Risk</v>
      </c>
    </row>
    <row r="856" spans="1:14" x14ac:dyDescent="0.3">
      <c r="A856">
        <v>855</v>
      </c>
      <c r="B856" t="s">
        <v>106</v>
      </c>
      <c r="C856">
        <v>9</v>
      </c>
      <c r="D856" t="s">
        <v>10</v>
      </c>
      <c r="E856">
        <v>4</v>
      </c>
      <c r="F856" s="1">
        <v>45255</v>
      </c>
      <c r="G856" s="1">
        <v>45261</v>
      </c>
      <c r="H856">
        <v>2</v>
      </c>
      <c r="I856" s="3">
        <v>178342.38</v>
      </c>
      <c r="J856" t="str">
        <f>VLOOKUP(H856,Diagnosis!$A:$B,2,FALSE)</f>
        <v>Hypertension</v>
      </c>
      <c r="K856" t="str">
        <f>VLOOKUP(H856,Outcome!A$2:$B$7,2,FALSE)</f>
        <v>Improved</v>
      </c>
      <c r="L856">
        <f t="shared" si="26"/>
        <v>6</v>
      </c>
      <c r="M856" t="str">
        <f>IF(Labs!E856&gt;120,"High","Normal")</f>
        <v>High</v>
      </c>
      <c r="N856" t="str">
        <f t="shared" si="27"/>
        <v>High Risk</v>
      </c>
    </row>
    <row r="857" spans="1:14" x14ac:dyDescent="0.3">
      <c r="A857">
        <v>856</v>
      </c>
      <c r="B857" t="s">
        <v>285</v>
      </c>
      <c r="C857">
        <v>55</v>
      </c>
      <c r="D857" t="s">
        <v>10</v>
      </c>
      <c r="E857">
        <v>5</v>
      </c>
      <c r="F857" s="1">
        <v>46128</v>
      </c>
      <c r="G857" s="1">
        <v>46150</v>
      </c>
      <c r="H857">
        <v>3</v>
      </c>
      <c r="I857" s="3">
        <v>107872.87</v>
      </c>
      <c r="J857" t="str">
        <f>VLOOKUP(H857,Diagnosis!$A:$B,2,FALSE)</f>
        <v>Asthma</v>
      </c>
      <c r="K857" t="str">
        <f>VLOOKUP(H857,Outcome!A$2:$B$7,2,FALSE)</f>
        <v>Ongoing Treatment</v>
      </c>
      <c r="L857">
        <f t="shared" si="26"/>
        <v>22</v>
      </c>
      <c r="M857" t="str">
        <f>IF(Labs!E857&gt;120,"High","Normal")</f>
        <v>High</v>
      </c>
      <c r="N857" t="str">
        <f t="shared" si="27"/>
        <v>High Risk</v>
      </c>
    </row>
    <row r="858" spans="1:14" x14ac:dyDescent="0.3">
      <c r="A858">
        <v>857</v>
      </c>
      <c r="B858" t="s">
        <v>267</v>
      </c>
      <c r="C858">
        <v>61</v>
      </c>
      <c r="D858" t="s">
        <v>10</v>
      </c>
      <c r="E858">
        <v>8</v>
      </c>
      <c r="F858" s="1">
        <v>45609</v>
      </c>
      <c r="G858" s="1">
        <v>45617</v>
      </c>
      <c r="H858">
        <v>1</v>
      </c>
      <c r="I858" s="3">
        <v>83197.67</v>
      </c>
      <c r="J858" t="str">
        <f>VLOOKUP(H858,Diagnosis!$A:$B,2,FALSE)</f>
        <v>Diabetes</v>
      </c>
      <c r="K858" t="str">
        <f>VLOOKUP(H858,Outcome!A$2:$B$7,2,FALSE)</f>
        <v>Recovered</v>
      </c>
      <c r="L858">
        <f t="shared" si="26"/>
        <v>8</v>
      </c>
      <c r="M858" t="str">
        <f>IF(Labs!E858&gt;120,"High","Normal")</f>
        <v>High</v>
      </c>
      <c r="N858" t="str">
        <f t="shared" si="27"/>
        <v>low risk</v>
      </c>
    </row>
    <row r="859" spans="1:14" x14ac:dyDescent="0.3">
      <c r="A859">
        <v>858</v>
      </c>
      <c r="B859" t="s">
        <v>535</v>
      </c>
      <c r="C859">
        <v>63</v>
      </c>
      <c r="D859" t="s">
        <v>10</v>
      </c>
      <c r="E859">
        <v>4</v>
      </c>
      <c r="F859" s="1">
        <v>45848</v>
      </c>
      <c r="G859" s="1">
        <v>45878</v>
      </c>
      <c r="H859">
        <v>1</v>
      </c>
      <c r="I859" s="3">
        <v>20179.599999999999</v>
      </c>
      <c r="J859" t="str">
        <f>VLOOKUP(H859,Diagnosis!$A:$B,2,FALSE)</f>
        <v>Diabetes</v>
      </c>
      <c r="K859" t="str">
        <f>VLOOKUP(H859,Outcome!A$2:$B$7,2,FALSE)</f>
        <v>Recovered</v>
      </c>
      <c r="L859">
        <f t="shared" si="26"/>
        <v>30</v>
      </c>
      <c r="M859" t="str">
        <f>IF(Labs!E859&gt;120,"High","Normal")</f>
        <v>High</v>
      </c>
      <c r="N859" t="str">
        <f t="shared" si="27"/>
        <v>low risk</v>
      </c>
    </row>
    <row r="860" spans="1:14" x14ac:dyDescent="0.3">
      <c r="A860">
        <v>859</v>
      </c>
      <c r="B860" t="s">
        <v>186</v>
      </c>
      <c r="C860">
        <v>64</v>
      </c>
      <c r="D860" t="s">
        <v>17</v>
      </c>
      <c r="E860">
        <v>3</v>
      </c>
      <c r="F860" s="1">
        <v>45345</v>
      </c>
      <c r="G860" s="1">
        <v>45364</v>
      </c>
      <c r="H860">
        <v>3</v>
      </c>
      <c r="I860" s="3">
        <v>29610.76</v>
      </c>
      <c r="J860" t="str">
        <f>VLOOKUP(H860,Diagnosis!$A:$B,2,FALSE)</f>
        <v>Asthma</v>
      </c>
      <c r="K860" t="str">
        <f>VLOOKUP(H860,Outcome!A$2:$B$7,2,FALSE)</f>
        <v>Ongoing Treatment</v>
      </c>
      <c r="L860">
        <f t="shared" si="26"/>
        <v>19</v>
      </c>
      <c r="M860" t="str">
        <f>IF(Labs!E860&gt;120,"High","Normal")</f>
        <v>High</v>
      </c>
      <c r="N860" t="str">
        <f t="shared" si="27"/>
        <v>High Risk</v>
      </c>
    </row>
    <row r="861" spans="1:14" x14ac:dyDescent="0.3">
      <c r="A861">
        <v>860</v>
      </c>
      <c r="B861" t="s">
        <v>206</v>
      </c>
      <c r="C861">
        <v>13</v>
      </c>
      <c r="D861" t="s">
        <v>17</v>
      </c>
      <c r="E861">
        <v>9</v>
      </c>
      <c r="F861" s="1">
        <v>46133</v>
      </c>
      <c r="G861" s="1">
        <v>46148</v>
      </c>
      <c r="H861">
        <v>4</v>
      </c>
      <c r="I861" s="3">
        <v>38342.89</v>
      </c>
      <c r="J861" t="str">
        <f>VLOOKUP(H861,Diagnosis!$A:$B,2,FALSE)</f>
        <v>Pneumonia</v>
      </c>
      <c r="K861" t="str">
        <f>VLOOKUP(H861,Outcome!A$2:$B$7,2,FALSE)</f>
        <v>Referred</v>
      </c>
      <c r="L861">
        <f t="shared" si="26"/>
        <v>15</v>
      </c>
      <c r="M861" t="str">
        <f>IF(Labs!E861&gt;120,"High","Normal")</f>
        <v>High</v>
      </c>
      <c r="N861" t="str">
        <f t="shared" si="27"/>
        <v>High Risk</v>
      </c>
    </row>
    <row r="862" spans="1:14" x14ac:dyDescent="0.3">
      <c r="A862">
        <v>861</v>
      </c>
      <c r="B862" t="s">
        <v>389</v>
      </c>
      <c r="C862">
        <v>65</v>
      </c>
      <c r="D862" t="s">
        <v>10</v>
      </c>
      <c r="E862">
        <v>9</v>
      </c>
      <c r="F862" s="1">
        <v>45265</v>
      </c>
      <c r="G862" s="1">
        <v>45290</v>
      </c>
      <c r="H862">
        <v>5</v>
      </c>
      <c r="I862" s="3">
        <v>99525.06</v>
      </c>
      <c r="J862" t="str">
        <f>VLOOKUP(H862,Diagnosis!$A:$B,2,FALSE)</f>
        <v>Heart Disease</v>
      </c>
      <c r="K862" t="str">
        <f>VLOOKUP(H862,Outcome!A$2:$B$7,2,FALSE)</f>
        <v>Readmitted</v>
      </c>
      <c r="L862">
        <f t="shared" si="26"/>
        <v>25</v>
      </c>
      <c r="M862" t="str">
        <f>IF(Labs!E862&gt;120,"High","Normal")</f>
        <v>High</v>
      </c>
      <c r="N862" t="str">
        <f t="shared" si="27"/>
        <v>High Risk</v>
      </c>
    </row>
    <row r="863" spans="1:14" x14ac:dyDescent="0.3">
      <c r="A863">
        <v>862</v>
      </c>
      <c r="B863" t="s">
        <v>536</v>
      </c>
      <c r="C863">
        <v>16</v>
      </c>
      <c r="D863" t="s">
        <v>10</v>
      </c>
      <c r="E863">
        <v>8</v>
      </c>
      <c r="F863" s="1">
        <v>45206</v>
      </c>
      <c r="G863" s="1">
        <v>45233</v>
      </c>
      <c r="H863">
        <v>2</v>
      </c>
      <c r="I863" s="3">
        <v>84088.98</v>
      </c>
      <c r="J863" t="str">
        <f>VLOOKUP(H863,Diagnosis!$A:$B,2,FALSE)</f>
        <v>Hypertension</v>
      </c>
      <c r="K863" t="str">
        <f>VLOOKUP(H863,Outcome!A$2:$B$7,2,FALSE)</f>
        <v>Improved</v>
      </c>
      <c r="L863">
        <f t="shared" si="26"/>
        <v>27</v>
      </c>
      <c r="M863" t="str">
        <f>IF(Labs!E863&gt;120,"High","Normal")</f>
        <v>High</v>
      </c>
      <c r="N863" t="str">
        <f t="shared" si="27"/>
        <v>High Risk</v>
      </c>
    </row>
    <row r="864" spans="1:14" x14ac:dyDescent="0.3">
      <c r="A864">
        <v>863</v>
      </c>
      <c r="B864" t="s">
        <v>222</v>
      </c>
      <c r="C864">
        <v>72</v>
      </c>
      <c r="D864" t="s">
        <v>10</v>
      </c>
      <c r="E864">
        <v>3</v>
      </c>
      <c r="F864" s="1">
        <v>45568</v>
      </c>
      <c r="G864" s="1">
        <v>45581</v>
      </c>
      <c r="H864">
        <v>1</v>
      </c>
      <c r="I864" s="3">
        <v>129540.87</v>
      </c>
      <c r="J864" t="str">
        <f>VLOOKUP(H864,Diagnosis!$A:$B,2,FALSE)</f>
        <v>Diabetes</v>
      </c>
      <c r="K864" t="str">
        <f>VLOOKUP(H864,Outcome!A$2:$B$7,2,FALSE)</f>
        <v>Recovered</v>
      </c>
      <c r="L864">
        <f t="shared" si="26"/>
        <v>13</v>
      </c>
      <c r="M864" t="str">
        <f>IF(Labs!E864&gt;120,"High","Normal")</f>
        <v>High</v>
      </c>
      <c r="N864" t="str">
        <f t="shared" si="27"/>
        <v>High Risk</v>
      </c>
    </row>
    <row r="865" spans="1:14" x14ac:dyDescent="0.3">
      <c r="A865">
        <v>864</v>
      </c>
      <c r="B865" t="s">
        <v>93</v>
      </c>
      <c r="C865">
        <v>73</v>
      </c>
      <c r="D865" t="s">
        <v>10</v>
      </c>
      <c r="E865">
        <v>9</v>
      </c>
      <c r="F865" s="1">
        <v>45965</v>
      </c>
      <c r="G865" s="1">
        <v>45982</v>
      </c>
      <c r="H865">
        <v>2</v>
      </c>
      <c r="I865" s="3">
        <v>86974.21</v>
      </c>
      <c r="J865" t="str">
        <f>VLOOKUP(H865,Diagnosis!$A:$B,2,FALSE)</f>
        <v>Hypertension</v>
      </c>
      <c r="K865" t="str">
        <f>VLOOKUP(H865,Outcome!A$2:$B$7,2,FALSE)</f>
        <v>Improved</v>
      </c>
      <c r="L865">
        <f t="shared" si="26"/>
        <v>17</v>
      </c>
      <c r="M865" t="str">
        <f>IF(Labs!E865&gt;120,"High","Normal")</f>
        <v>High</v>
      </c>
      <c r="N865" t="str">
        <f t="shared" si="27"/>
        <v>High Risk</v>
      </c>
    </row>
    <row r="866" spans="1:14" x14ac:dyDescent="0.3">
      <c r="A866">
        <v>865</v>
      </c>
      <c r="B866" t="s">
        <v>537</v>
      </c>
      <c r="C866">
        <v>8</v>
      </c>
      <c r="D866" t="s">
        <v>10</v>
      </c>
      <c r="E866">
        <v>5</v>
      </c>
      <c r="F866" s="1">
        <v>45575</v>
      </c>
      <c r="G866" s="1">
        <v>45593</v>
      </c>
      <c r="H866">
        <v>6</v>
      </c>
      <c r="I866" s="3">
        <v>112006.79</v>
      </c>
      <c r="J866" t="str">
        <f>VLOOKUP(H866,Diagnosis!$A:$B,2,FALSE)</f>
        <v>Kidney Disease</v>
      </c>
      <c r="K866" t="str">
        <f>VLOOKUP(H866,Outcome!A$2:$B$7,2,FALSE)</f>
        <v>Deceased</v>
      </c>
      <c r="L866">
        <f t="shared" si="26"/>
        <v>18</v>
      </c>
      <c r="M866" t="str">
        <f>IF(Labs!E866&gt;120,"High","Normal")</f>
        <v>High</v>
      </c>
      <c r="N866" t="str">
        <f t="shared" si="27"/>
        <v>High Risk</v>
      </c>
    </row>
    <row r="867" spans="1:14" x14ac:dyDescent="0.3">
      <c r="A867">
        <v>866</v>
      </c>
      <c r="B867" t="s">
        <v>538</v>
      </c>
      <c r="C867">
        <v>42</v>
      </c>
      <c r="D867" t="s">
        <v>17</v>
      </c>
      <c r="E867">
        <v>1</v>
      </c>
      <c r="F867" s="1">
        <v>45771</v>
      </c>
      <c r="G867" s="1">
        <v>45772</v>
      </c>
      <c r="H867">
        <v>1</v>
      </c>
      <c r="I867" s="3">
        <v>67537.789999999994</v>
      </c>
      <c r="J867" t="str">
        <f>VLOOKUP(H867,Diagnosis!$A:$B,2,FALSE)</f>
        <v>Diabetes</v>
      </c>
      <c r="K867" t="str">
        <f>VLOOKUP(H867,Outcome!A$2:$B$7,2,FALSE)</f>
        <v>Recovered</v>
      </c>
      <c r="L867">
        <f t="shared" si="26"/>
        <v>1</v>
      </c>
      <c r="M867" t="str">
        <f>IF(Labs!E867&gt;120,"High","Normal")</f>
        <v>High</v>
      </c>
      <c r="N867" t="str">
        <f t="shared" si="27"/>
        <v>low risk</v>
      </c>
    </row>
    <row r="868" spans="1:14" x14ac:dyDescent="0.3">
      <c r="A868">
        <v>867</v>
      </c>
      <c r="B868" t="s">
        <v>105</v>
      </c>
      <c r="C868">
        <v>81</v>
      </c>
      <c r="D868" t="s">
        <v>10</v>
      </c>
      <c r="E868">
        <v>7</v>
      </c>
      <c r="F868" s="1">
        <v>44761</v>
      </c>
      <c r="G868" s="1">
        <v>44774</v>
      </c>
      <c r="H868">
        <v>1</v>
      </c>
      <c r="I868" s="3">
        <v>65932.479999999996</v>
      </c>
      <c r="J868" t="str">
        <f>VLOOKUP(H868,Diagnosis!$A:$B,2,FALSE)</f>
        <v>Diabetes</v>
      </c>
      <c r="K868" t="str">
        <f>VLOOKUP(H868,Outcome!A$2:$B$7,2,FALSE)</f>
        <v>Recovered</v>
      </c>
      <c r="L868">
        <f t="shared" si="26"/>
        <v>13</v>
      </c>
      <c r="M868" t="str">
        <f>IF(Labs!E868&gt;120,"High","Normal")</f>
        <v>High</v>
      </c>
      <c r="N868" t="str">
        <f t="shared" si="27"/>
        <v>High Risk</v>
      </c>
    </row>
    <row r="869" spans="1:14" x14ac:dyDescent="0.3">
      <c r="A869">
        <v>868</v>
      </c>
      <c r="B869" t="s">
        <v>539</v>
      </c>
      <c r="C869">
        <v>85</v>
      </c>
      <c r="D869" t="s">
        <v>17</v>
      </c>
      <c r="E869">
        <v>4</v>
      </c>
      <c r="F869" s="1">
        <v>45042</v>
      </c>
      <c r="G869" s="1">
        <v>45062</v>
      </c>
      <c r="H869">
        <v>1</v>
      </c>
      <c r="I869" s="3">
        <v>17577.16</v>
      </c>
      <c r="J869" t="str">
        <f>VLOOKUP(H869,Diagnosis!$A:$B,2,FALSE)</f>
        <v>Diabetes</v>
      </c>
      <c r="K869" t="str">
        <f>VLOOKUP(H869,Outcome!A$2:$B$7,2,FALSE)</f>
        <v>Recovered</v>
      </c>
      <c r="L869">
        <f t="shared" si="26"/>
        <v>20</v>
      </c>
      <c r="M869" t="str">
        <f>IF(Labs!E869&gt;120,"High","Normal")</f>
        <v>High</v>
      </c>
      <c r="N869" t="str">
        <f t="shared" si="27"/>
        <v>High Risk</v>
      </c>
    </row>
    <row r="870" spans="1:14" x14ac:dyDescent="0.3">
      <c r="A870">
        <v>869</v>
      </c>
      <c r="B870" t="s">
        <v>302</v>
      </c>
      <c r="C870">
        <v>15</v>
      </c>
      <c r="D870" t="s">
        <v>10</v>
      </c>
      <c r="E870">
        <v>3</v>
      </c>
      <c r="F870" s="1">
        <v>44602</v>
      </c>
      <c r="G870" s="1">
        <v>44619</v>
      </c>
      <c r="H870">
        <v>1</v>
      </c>
      <c r="I870" s="3">
        <v>84311.42</v>
      </c>
      <c r="J870" t="str">
        <f>VLOOKUP(H870,Diagnosis!$A:$B,2,FALSE)</f>
        <v>Diabetes</v>
      </c>
      <c r="K870" t="str">
        <f>VLOOKUP(H870,Outcome!A$2:$B$7,2,FALSE)</f>
        <v>Recovered</v>
      </c>
      <c r="L870">
        <f t="shared" si="26"/>
        <v>17</v>
      </c>
      <c r="M870" t="str">
        <f>IF(Labs!E870&gt;120,"High","Normal")</f>
        <v>High</v>
      </c>
      <c r="N870" t="str">
        <f t="shared" si="27"/>
        <v>low risk</v>
      </c>
    </row>
    <row r="871" spans="1:14" x14ac:dyDescent="0.3">
      <c r="A871">
        <v>870</v>
      </c>
      <c r="B871" t="s">
        <v>23</v>
      </c>
      <c r="C871">
        <v>66</v>
      </c>
      <c r="D871" t="s">
        <v>10</v>
      </c>
      <c r="E871">
        <v>5</v>
      </c>
      <c r="F871" s="1">
        <v>44603</v>
      </c>
      <c r="G871" s="1">
        <v>44625</v>
      </c>
      <c r="H871">
        <v>2</v>
      </c>
      <c r="I871" s="3">
        <v>6446.97</v>
      </c>
      <c r="J871" t="str">
        <f>VLOOKUP(H871,Diagnosis!$A:$B,2,FALSE)</f>
        <v>Hypertension</v>
      </c>
      <c r="K871" t="str">
        <f>VLOOKUP(H871,Outcome!A$2:$B$7,2,FALSE)</f>
        <v>Improved</v>
      </c>
      <c r="L871">
        <f t="shared" si="26"/>
        <v>22</v>
      </c>
      <c r="M871" t="str">
        <f>IF(Labs!E871&gt;120,"High","Normal")</f>
        <v>High</v>
      </c>
      <c r="N871" t="str">
        <f t="shared" si="27"/>
        <v>High Risk</v>
      </c>
    </row>
    <row r="872" spans="1:14" x14ac:dyDescent="0.3">
      <c r="A872">
        <v>871</v>
      </c>
      <c r="B872" t="s">
        <v>310</v>
      </c>
      <c r="C872">
        <v>74</v>
      </c>
      <c r="D872" t="s">
        <v>10</v>
      </c>
      <c r="E872">
        <v>6</v>
      </c>
      <c r="F872" s="1">
        <v>45734</v>
      </c>
      <c r="G872" s="1">
        <v>45737</v>
      </c>
      <c r="H872">
        <v>4</v>
      </c>
      <c r="I872" s="3">
        <v>20260.060000000001</v>
      </c>
      <c r="J872" t="str">
        <f>VLOOKUP(H872,Diagnosis!$A:$B,2,FALSE)</f>
        <v>Pneumonia</v>
      </c>
      <c r="K872" t="str">
        <f>VLOOKUP(H872,Outcome!A$2:$B$7,2,FALSE)</f>
        <v>Referred</v>
      </c>
      <c r="L872">
        <f t="shared" si="26"/>
        <v>3</v>
      </c>
      <c r="M872" t="str">
        <f>IF(Labs!E872&gt;120,"High","Normal")</f>
        <v>High</v>
      </c>
      <c r="N872" t="str">
        <f t="shared" si="27"/>
        <v>High Risk</v>
      </c>
    </row>
    <row r="873" spans="1:14" x14ac:dyDescent="0.3">
      <c r="A873">
        <v>872</v>
      </c>
      <c r="B873" t="s">
        <v>169</v>
      </c>
      <c r="C873">
        <v>64</v>
      </c>
      <c r="D873" t="s">
        <v>10</v>
      </c>
      <c r="E873">
        <v>3</v>
      </c>
      <c r="F873" s="1">
        <v>45821</v>
      </c>
      <c r="G873" s="1">
        <v>45830</v>
      </c>
      <c r="H873">
        <v>2</v>
      </c>
      <c r="I873" s="3">
        <v>79888.429999999993</v>
      </c>
      <c r="J873" t="str">
        <f>VLOOKUP(H873,Diagnosis!$A:$B,2,FALSE)</f>
        <v>Hypertension</v>
      </c>
      <c r="K873" t="str">
        <f>VLOOKUP(H873,Outcome!A$2:$B$7,2,FALSE)</f>
        <v>Improved</v>
      </c>
      <c r="L873">
        <f t="shared" si="26"/>
        <v>9</v>
      </c>
      <c r="M873" t="str">
        <f>IF(Labs!E873&gt;120,"High","Normal")</f>
        <v>High</v>
      </c>
      <c r="N873" t="str">
        <f t="shared" si="27"/>
        <v>High Risk</v>
      </c>
    </row>
    <row r="874" spans="1:14" x14ac:dyDescent="0.3">
      <c r="A874">
        <v>873</v>
      </c>
      <c r="B874" t="s">
        <v>351</v>
      </c>
      <c r="C874">
        <v>69</v>
      </c>
      <c r="D874" t="s">
        <v>17</v>
      </c>
      <c r="E874">
        <v>5</v>
      </c>
      <c r="F874" s="1">
        <v>45105</v>
      </c>
      <c r="G874" s="1">
        <v>45106</v>
      </c>
      <c r="H874">
        <v>1</v>
      </c>
      <c r="I874" s="3">
        <v>104299.92</v>
      </c>
      <c r="J874" t="str">
        <f>VLOOKUP(H874,Diagnosis!$A:$B,2,FALSE)</f>
        <v>Diabetes</v>
      </c>
      <c r="K874" t="str">
        <f>VLOOKUP(H874,Outcome!A$2:$B$7,2,FALSE)</f>
        <v>Recovered</v>
      </c>
      <c r="L874">
        <f t="shared" si="26"/>
        <v>1</v>
      </c>
      <c r="M874" t="str">
        <f>IF(Labs!E874&gt;120,"High","Normal")</f>
        <v>High</v>
      </c>
      <c r="N874" t="str">
        <f t="shared" si="27"/>
        <v>High Risk</v>
      </c>
    </row>
    <row r="875" spans="1:14" x14ac:dyDescent="0.3">
      <c r="A875">
        <v>874</v>
      </c>
      <c r="B875" t="s">
        <v>401</v>
      </c>
      <c r="C875">
        <v>12</v>
      </c>
      <c r="D875" t="s">
        <v>17</v>
      </c>
      <c r="E875">
        <v>10</v>
      </c>
      <c r="F875" s="1">
        <v>45251</v>
      </c>
      <c r="G875" s="1">
        <v>45259</v>
      </c>
      <c r="H875">
        <v>1</v>
      </c>
      <c r="I875" s="3">
        <v>144710.46</v>
      </c>
      <c r="J875" t="str">
        <f>VLOOKUP(H875,Diagnosis!$A:$B,2,FALSE)</f>
        <v>Diabetes</v>
      </c>
      <c r="K875" t="str">
        <f>VLOOKUP(H875,Outcome!A$2:$B$7,2,FALSE)</f>
        <v>Recovered</v>
      </c>
      <c r="L875">
        <f t="shared" si="26"/>
        <v>8</v>
      </c>
      <c r="M875" t="str">
        <f>IF(Labs!E875&gt;120,"High","Normal")</f>
        <v>High</v>
      </c>
      <c r="N875" t="str">
        <f t="shared" si="27"/>
        <v>low risk</v>
      </c>
    </row>
    <row r="876" spans="1:14" x14ac:dyDescent="0.3">
      <c r="A876">
        <v>875</v>
      </c>
      <c r="B876" t="s">
        <v>540</v>
      </c>
      <c r="C876">
        <v>27</v>
      </c>
      <c r="D876" t="s">
        <v>10</v>
      </c>
      <c r="E876">
        <v>2</v>
      </c>
      <c r="F876" s="1">
        <v>45896</v>
      </c>
      <c r="G876" s="1">
        <v>45922</v>
      </c>
      <c r="H876">
        <v>1</v>
      </c>
      <c r="I876" s="3">
        <v>145232.49</v>
      </c>
      <c r="J876" t="str">
        <f>VLOOKUP(H876,Diagnosis!$A:$B,2,FALSE)</f>
        <v>Diabetes</v>
      </c>
      <c r="K876" t="str">
        <f>VLOOKUP(H876,Outcome!A$2:$B$7,2,FALSE)</f>
        <v>Recovered</v>
      </c>
      <c r="L876">
        <f t="shared" si="26"/>
        <v>26</v>
      </c>
      <c r="M876" t="str">
        <f>IF(Labs!E876&gt;120,"High","Normal")</f>
        <v>High</v>
      </c>
      <c r="N876" t="str">
        <f t="shared" si="27"/>
        <v>low risk</v>
      </c>
    </row>
    <row r="877" spans="1:14" x14ac:dyDescent="0.3">
      <c r="A877">
        <v>876</v>
      </c>
      <c r="B877" t="s">
        <v>541</v>
      </c>
      <c r="C877">
        <v>41</v>
      </c>
      <c r="D877" t="s">
        <v>17</v>
      </c>
      <c r="E877">
        <v>7</v>
      </c>
      <c r="F877" s="1">
        <v>45385</v>
      </c>
      <c r="G877" s="1">
        <v>45393</v>
      </c>
      <c r="H877">
        <v>2</v>
      </c>
      <c r="I877" s="3">
        <v>82948.08</v>
      </c>
      <c r="J877" t="str">
        <f>VLOOKUP(H877,Diagnosis!$A:$B,2,FALSE)</f>
        <v>Hypertension</v>
      </c>
      <c r="K877" t="str">
        <f>VLOOKUP(H877,Outcome!A$2:$B$7,2,FALSE)</f>
        <v>Improved</v>
      </c>
      <c r="L877">
        <f t="shared" si="26"/>
        <v>8</v>
      </c>
      <c r="M877" t="str">
        <f>IF(Labs!E877&gt;120,"High","Normal")</f>
        <v>High</v>
      </c>
      <c r="N877" t="str">
        <f t="shared" si="27"/>
        <v>High Risk</v>
      </c>
    </row>
    <row r="878" spans="1:14" x14ac:dyDescent="0.3">
      <c r="A878">
        <v>877</v>
      </c>
      <c r="B878" t="s">
        <v>347</v>
      </c>
      <c r="C878">
        <v>3</v>
      </c>
      <c r="D878" t="s">
        <v>17</v>
      </c>
      <c r="E878">
        <v>10</v>
      </c>
      <c r="F878" s="1">
        <v>45584</v>
      </c>
      <c r="G878" s="1">
        <v>45590</v>
      </c>
      <c r="H878">
        <v>3</v>
      </c>
      <c r="I878" s="3">
        <v>148743.67000000001</v>
      </c>
      <c r="J878" t="str">
        <f>VLOOKUP(H878,Diagnosis!$A:$B,2,FALSE)</f>
        <v>Asthma</v>
      </c>
      <c r="K878" t="str">
        <f>VLOOKUP(H878,Outcome!A$2:$B$7,2,FALSE)</f>
        <v>Ongoing Treatment</v>
      </c>
      <c r="L878">
        <f t="shared" si="26"/>
        <v>6</v>
      </c>
      <c r="M878" t="str">
        <f>IF(Labs!E878&gt;120,"High","Normal")</f>
        <v>High</v>
      </c>
      <c r="N878" t="str">
        <f t="shared" si="27"/>
        <v>High Risk</v>
      </c>
    </row>
    <row r="879" spans="1:14" x14ac:dyDescent="0.3">
      <c r="A879">
        <v>878</v>
      </c>
      <c r="B879" t="s">
        <v>78</v>
      </c>
      <c r="C879">
        <v>82</v>
      </c>
      <c r="D879" t="s">
        <v>10</v>
      </c>
      <c r="E879">
        <v>10</v>
      </c>
      <c r="F879" s="1">
        <v>46050</v>
      </c>
      <c r="G879" s="1">
        <v>46070</v>
      </c>
      <c r="H879">
        <v>1</v>
      </c>
      <c r="I879" s="3">
        <v>38115.019999999997</v>
      </c>
      <c r="J879" t="str">
        <f>VLOOKUP(H879,Diagnosis!$A:$B,2,FALSE)</f>
        <v>Diabetes</v>
      </c>
      <c r="K879" t="str">
        <f>VLOOKUP(H879,Outcome!A$2:$B$7,2,FALSE)</f>
        <v>Recovered</v>
      </c>
      <c r="L879">
        <f t="shared" si="26"/>
        <v>20</v>
      </c>
      <c r="M879" t="str">
        <f>IF(Labs!E879&gt;120,"High","Normal")</f>
        <v>High</v>
      </c>
      <c r="N879" t="str">
        <f t="shared" si="27"/>
        <v>High Risk</v>
      </c>
    </row>
    <row r="880" spans="1:14" x14ac:dyDescent="0.3">
      <c r="A880">
        <v>879</v>
      </c>
      <c r="B880" t="s">
        <v>22</v>
      </c>
      <c r="C880">
        <v>31</v>
      </c>
      <c r="D880" t="s">
        <v>17</v>
      </c>
      <c r="E880">
        <v>5</v>
      </c>
      <c r="F880" s="1">
        <v>46290</v>
      </c>
      <c r="G880" s="1">
        <v>46303</v>
      </c>
      <c r="H880">
        <v>2</v>
      </c>
      <c r="I880" s="3">
        <v>155183.01</v>
      </c>
      <c r="J880" t="str">
        <f>VLOOKUP(H880,Diagnosis!$A:$B,2,FALSE)</f>
        <v>Hypertension</v>
      </c>
      <c r="K880" t="str">
        <f>VLOOKUP(H880,Outcome!A$2:$B$7,2,FALSE)</f>
        <v>Improved</v>
      </c>
      <c r="L880">
        <f t="shared" si="26"/>
        <v>13</v>
      </c>
      <c r="M880" t="str">
        <f>IF(Labs!E880&gt;120,"High","Normal")</f>
        <v>High</v>
      </c>
      <c r="N880" t="str">
        <f t="shared" si="27"/>
        <v>High Risk</v>
      </c>
    </row>
    <row r="881" spans="1:14" x14ac:dyDescent="0.3">
      <c r="A881">
        <v>880</v>
      </c>
      <c r="B881" t="s">
        <v>245</v>
      </c>
      <c r="C881">
        <v>53</v>
      </c>
      <c r="D881" t="s">
        <v>10</v>
      </c>
      <c r="E881">
        <v>5</v>
      </c>
      <c r="F881" s="1">
        <v>45885</v>
      </c>
      <c r="G881" s="1">
        <v>45890</v>
      </c>
      <c r="H881">
        <v>1</v>
      </c>
      <c r="I881" s="3">
        <v>109218.73</v>
      </c>
      <c r="J881" t="str">
        <f>VLOOKUP(H881,Diagnosis!$A:$B,2,FALSE)</f>
        <v>Diabetes</v>
      </c>
      <c r="K881" t="str">
        <f>VLOOKUP(H881,Outcome!A$2:$B$7,2,FALSE)</f>
        <v>Recovered</v>
      </c>
      <c r="L881">
        <f t="shared" si="26"/>
        <v>5</v>
      </c>
      <c r="M881" t="str">
        <f>IF(Labs!E881&gt;120,"High","Normal")</f>
        <v>High</v>
      </c>
      <c r="N881" t="str">
        <f t="shared" si="27"/>
        <v>low risk</v>
      </c>
    </row>
    <row r="882" spans="1:14" x14ac:dyDescent="0.3">
      <c r="A882">
        <v>881</v>
      </c>
      <c r="B882" t="s">
        <v>365</v>
      </c>
      <c r="C882">
        <v>15</v>
      </c>
      <c r="D882" t="s">
        <v>17</v>
      </c>
      <c r="E882">
        <v>4</v>
      </c>
      <c r="F882" s="1">
        <v>44618</v>
      </c>
      <c r="G882" s="1">
        <v>44625</v>
      </c>
      <c r="H882">
        <v>4</v>
      </c>
      <c r="I882" s="3">
        <v>57620.95</v>
      </c>
      <c r="J882" t="str">
        <f>VLOOKUP(H882,Diagnosis!$A:$B,2,FALSE)</f>
        <v>Pneumonia</v>
      </c>
      <c r="K882" t="str">
        <f>VLOOKUP(H882,Outcome!A$2:$B$7,2,FALSE)</f>
        <v>Referred</v>
      </c>
      <c r="L882">
        <f t="shared" si="26"/>
        <v>7</v>
      </c>
      <c r="M882" t="str">
        <f>IF(Labs!E882&gt;120,"High","Normal")</f>
        <v>High</v>
      </c>
      <c r="N882" t="str">
        <f t="shared" si="27"/>
        <v>High Risk</v>
      </c>
    </row>
    <row r="883" spans="1:14" x14ac:dyDescent="0.3">
      <c r="A883">
        <v>882</v>
      </c>
      <c r="B883" t="s">
        <v>279</v>
      </c>
      <c r="C883">
        <v>56</v>
      </c>
      <c r="D883" t="s">
        <v>10</v>
      </c>
      <c r="E883">
        <v>1</v>
      </c>
      <c r="F883" s="1">
        <v>44975</v>
      </c>
      <c r="G883" s="1">
        <v>44980</v>
      </c>
      <c r="H883">
        <v>1</v>
      </c>
      <c r="I883" s="3">
        <v>7672.68</v>
      </c>
      <c r="J883" t="str">
        <f>VLOOKUP(H883,Diagnosis!$A:$B,2,FALSE)</f>
        <v>Diabetes</v>
      </c>
      <c r="K883" t="str">
        <f>VLOOKUP(H883,Outcome!A$2:$B$7,2,FALSE)</f>
        <v>Recovered</v>
      </c>
      <c r="L883">
        <f t="shared" si="26"/>
        <v>5</v>
      </c>
      <c r="M883" t="str">
        <f>IF(Labs!E883&gt;120,"High","Normal")</f>
        <v>High</v>
      </c>
      <c r="N883" t="str">
        <f t="shared" si="27"/>
        <v>low risk</v>
      </c>
    </row>
    <row r="884" spans="1:14" x14ac:dyDescent="0.3">
      <c r="A884">
        <v>883</v>
      </c>
      <c r="B884" t="s">
        <v>542</v>
      </c>
      <c r="C884">
        <v>23</v>
      </c>
      <c r="D884" t="s">
        <v>17</v>
      </c>
      <c r="E884">
        <v>8</v>
      </c>
      <c r="F884" s="1">
        <v>46164</v>
      </c>
      <c r="G884" s="1">
        <v>46164</v>
      </c>
      <c r="H884">
        <v>1</v>
      </c>
      <c r="I884" s="3">
        <v>161629.72</v>
      </c>
      <c r="J884" t="str">
        <f>VLOOKUP(H884,Diagnosis!$A:$B,2,FALSE)</f>
        <v>Diabetes</v>
      </c>
      <c r="K884" t="str">
        <f>VLOOKUP(H884,Outcome!A$2:$B$7,2,FALSE)</f>
        <v>Recovered</v>
      </c>
      <c r="L884">
        <f t="shared" si="26"/>
        <v>0</v>
      </c>
      <c r="M884" t="str">
        <f>IF(Labs!E884&gt;120,"High","Normal")</f>
        <v>High</v>
      </c>
      <c r="N884" t="str">
        <f t="shared" si="27"/>
        <v>low risk</v>
      </c>
    </row>
    <row r="885" spans="1:14" x14ac:dyDescent="0.3">
      <c r="A885">
        <v>884</v>
      </c>
      <c r="B885" t="s">
        <v>104</v>
      </c>
      <c r="C885">
        <v>39</v>
      </c>
      <c r="D885" t="s">
        <v>17</v>
      </c>
      <c r="E885">
        <v>7</v>
      </c>
      <c r="F885" s="1">
        <v>45306</v>
      </c>
      <c r="G885" s="1">
        <v>45327</v>
      </c>
      <c r="H885">
        <v>3</v>
      </c>
      <c r="I885" s="3">
        <v>18529.37</v>
      </c>
      <c r="J885" t="str">
        <f>VLOOKUP(H885,Diagnosis!$A:$B,2,FALSE)</f>
        <v>Asthma</v>
      </c>
      <c r="K885" t="str">
        <f>VLOOKUP(H885,Outcome!A$2:$B$7,2,FALSE)</f>
        <v>Ongoing Treatment</v>
      </c>
      <c r="L885">
        <f t="shared" si="26"/>
        <v>21</v>
      </c>
      <c r="M885" t="str">
        <f>IF(Labs!E885&gt;120,"High","Normal")</f>
        <v>High</v>
      </c>
      <c r="N885" t="str">
        <f t="shared" si="27"/>
        <v>High Risk</v>
      </c>
    </row>
    <row r="886" spans="1:14" x14ac:dyDescent="0.3">
      <c r="A886">
        <v>885</v>
      </c>
      <c r="B886" t="s">
        <v>193</v>
      </c>
      <c r="C886">
        <v>15</v>
      </c>
      <c r="D886" t="s">
        <v>17</v>
      </c>
      <c r="E886">
        <v>9</v>
      </c>
      <c r="F886" s="1">
        <v>45922</v>
      </c>
      <c r="G886" s="1">
        <v>45948</v>
      </c>
      <c r="H886">
        <v>2</v>
      </c>
      <c r="I886" s="3">
        <v>140083.07</v>
      </c>
      <c r="J886" t="str">
        <f>VLOOKUP(H886,Diagnosis!$A:$B,2,FALSE)</f>
        <v>Hypertension</v>
      </c>
      <c r="K886" t="str">
        <f>VLOOKUP(H886,Outcome!A$2:$B$7,2,FALSE)</f>
        <v>Improved</v>
      </c>
      <c r="L886">
        <f t="shared" si="26"/>
        <v>26</v>
      </c>
      <c r="M886" t="str">
        <f>IF(Labs!E886&gt;120,"High","Normal")</f>
        <v>High</v>
      </c>
      <c r="N886" t="str">
        <f t="shared" si="27"/>
        <v>High Risk</v>
      </c>
    </row>
    <row r="887" spans="1:14" x14ac:dyDescent="0.3">
      <c r="A887">
        <v>886</v>
      </c>
      <c r="B887" t="s">
        <v>251</v>
      </c>
      <c r="C887">
        <v>64</v>
      </c>
      <c r="D887" t="s">
        <v>17</v>
      </c>
      <c r="E887">
        <v>4</v>
      </c>
      <c r="F887" s="1">
        <v>45790</v>
      </c>
      <c r="G887" s="1">
        <v>45793</v>
      </c>
      <c r="H887">
        <v>4</v>
      </c>
      <c r="I887" s="3">
        <v>58130.33</v>
      </c>
      <c r="J887" t="str">
        <f>VLOOKUP(H887,Diagnosis!$A:$B,2,FALSE)</f>
        <v>Pneumonia</v>
      </c>
      <c r="K887" t="str">
        <f>VLOOKUP(H887,Outcome!A$2:$B$7,2,FALSE)</f>
        <v>Referred</v>
      </c>
      <c r="L887">
        <f t="shared" si="26"/>
        <v>3</v>
      </c>
      <c r="M887" t="str">
        <f>IF(Labs!E887&gt;120,"High","Normal")</f>
        <v>High</v>
      </c>
      <c r="N887" t="str">
        <f t="shared" si="27"/>
        <v>High Risk</v>
      </c>
    </row>
    <row r="888" spans="1:14" x14ac:dyDescent="0.3">
      <c r="A888">
        <v>887</v>
      </c>
      <c r="B888" t="s">
        <v>296</v>
      </c>
      <c r="C888">
        <v>31</v>
      </c>
      <c r="D888" t="s">
        <v>10</v>
      </c>
      <c r="E888">
        <v>4</v>
      </c>
      <c r="F888" s="1">
        <v>44857</v>
      </c>
      <c r="G888" s="1">
        <v>44860</v>
      </c>
      <c r="H888">
        <v>1</v>
      </c>
      <c r="I888" s="3">
        <v>174661.42</v>
      </c>
      <c r="J888" t="str">
        <f>VLOOKUP(H888,Diagnosis!$A:$B,2,FALSE)</f>
        <v>Diabetes</v>
      </c>
      <c r="K888" t="str">
        <f>VLOOKUP(H888,Outcome!A$2:$B$7,2,FALSE)</f>
        <v>Recovered</v>
      </c>
      <c r="L888">
        <f t="shared" si="26"/>
        <v>3</v>
      </c>
      <c r="M888" t="str">
        <f>IF(Labs!E888&gt;120,"High","Normal")</f>
        <v>High</v>
      </c>
      <c r="N888" t="str">
        <f t="shared" si="27"/>
        <v>low risk</v>
      </c>
    </row>
    <row r="889" spans="1:14" x14ac:dyDescent="0.3">
      <c r="A889">
        <v>888</v>
      </c>
      <c r="B889" t="s">
        <v>543</v>
      </c>
      <c r="C889">
        <v>33</v>
      </c>
      <c r="D889" t="s">
        <v>17</v>
      </c>
      <c r="E889">
        <v>8</v>
      </c>
      <c r="F889" s="1">
        <v>45654</v>
      </c>
      <c r="G889" s="1">
        <v>45665</v>
      </c>
      <c r="H889">
        <v>3</v>
      </c>
      <c r="I889" s="3">
        <v>22550.639999999999</v>
      </c>
      <c r="J889" t="str">
        <f>VLOOKUP(H889,Diagnosis!$A:$B,2,FALSE)</f>
        <v>Asthma</v>
      </c>
      <c r="K889" t="str">
        <f>VLOOKUP(H889,Outcome!A$2:$B$7,2,FALSE)</f>
        <v>Ongoing Treatment</v>
      </c>
      <c r="L889">
        <f t="shared" si="26"/>
        <v>11</v>
      </c>
      <c r="M889" t="str">
        <f>IF(Labs!E889&gt;120,"High","Normal")</f>
        <v>High</v>
      </c>
      <c r="N889" t="str">
        <f t="shared" si="27"/>
        <v>High Risk</v>
      </c>
    </row>
    <row r="890" spans="1:14" x14ac:dyDescent="0.3">
      <c r="A890">
        <v>889</v>
      </c>
      <c r="B890" t="s">
        <v>544</v>
      </c>
      <c r="C890">
        <v>61</v>
      </c>
      <c r="D890" t="s">
        <v>17</v>
      </c>
      <c r="E890">
        <v>5</v>
      </c>
      <c r="F890" s="1">
        <v>46168</v>
      </c>
      <c r="G890" s="1">
        <v>46197</v>
      </c>
      <c r="H890">
        <v>1</v>
      </c>
      <c r="I890" s="3">
        <v>86851.87</v>
      </c>
      <c r="J890" t="str">
        <f>VLOOKUP(H890,Diagnosis!$A:$B,2,FALSE)</f>
        <v>Diabetes</v>
      </c>
      <c r="K890" t="str">
        <f>VLOOKUP(H890,Outcome!A$2:$B$7,2,FALSE)</f>
        <v>Recovered</v>
      </c>
      <c r="L890">
        <f t="shared" si="26"/>
        <v>29</v>
      </c>
      <c r="M890" t="str">
        <f>IF(Labs!E890&gt;120,"High","Normal")</f>
        <v>High</v>
      </c>
      <c r="N890" t="str">
        <f t="shared" si="27"/>
        <v>low risk</v>
      </c>
    </row>
    <row r="891" spans="1:14" x14ac:dyDescent="0.3">
      <c r="A891">
        <v>890</v>
      </c>
      <c r="B891" t="s">
        <v>162</v>
      </c>
      <c r="C891">
        <v>3</v>
      </c>
      <c r="D891" t="s">
        <v>17</v>
      </c>
      <c r="E891">
        <v>1</v>
      </c>
      <c r="F891" s="1">
        <v>45976</v>
      </c>
      <c r="G891" s="1">
        <v>46005</v>
      </c>
      <c r="H891">
        <v>4</v>
      </c>
      <c r="I891" s="3">
        <v>45042.46</v>
      </c>
      <c r="J891" t="str">
        <f>VLOOKUP(H891,Diagnosis!$A:$B,2,FALSE)</f>
        <v>Pneumonia</v>
      </c>
      <c r="K891" t="str">
        <f>VLOOKUP(H891,Outcome!A$2:$B$7,2,FALSE)</f>
        <v>Referred</v>
      </c>
      <c r="L891">
        <f t="shared" si="26"/>
        <v>29</v>
      </c>
      <c r="M891" t="str">
        <f>IF(Labs!E891&gt;120,"High","Normal")</f>
        <v>High</v>
      </c>
      <c r="N891" t="str">
        <f t="shared" si="27"/>
        <v>High Risk</v>
      </c>
    </row>
    <row r="892" spans="1:14" x14ac:dyDescent="0.3">
      <c r="A892">
        <v>891</v>
      </c>
      <c r="B892" t="s">
        <v>545</v>
      </c>
      <c r="C892">
        <v>40</v>
      </c>
      <c r="D892" t="s">
        <v>10</v>
      </c>
      <c r="E892">
        <v>2</v>
      </c>
      <c r="F892" s="1">
        <v>45657</v>
      </c>
      <c r="G892" s="1">
        <v>45684</v>
      </c>
      <c r="H892">
        <v>1</v>
      </c>
      <c r="I892" s="3">
        <v>81026.5</v>
      </c>
      <c r="J892" t="str">
        <f>VLOOKUP(H892,Diagnosis!$A:$B,2,FALSE)</f>
        <v>Diabetes</v>
      </c>
      <c r="K892" t="str">
        <f>VLOOKUP(H892,Outcome!A$2:$B$7,2,FALSE)</f>
        <v>Recovered</v>
      </c>
      <c r="L892">
        <f t="shared" si="26"/>
        <v>27</v>
      </c>
      <c r="M892" t="str">
        <f>IF(Labs!E892&gt;120,"High","Normal")</f>
        <v>High</v>
      </c>
      <c r="N892" t="str">
        <f t="shared" si="27"/>
        <v>low risk</v>
      </c>
    </row>
    <row r="893" spans="1:14" x14ac:dyDescent="0.3">
      <c r="A893">
        <v>892</v>
      </c>
      <c r="B893" t="s">
        <v>546</v>
      </c>
      <c r="C893">
        <v>33</v>
      </c>
      <c r="D893" t="s">
        <v>10</v>
      </c>
      <c r="E893">
        <v>2</v>
      </c>
      <c r="F893" s="1">
        <v>46246</v>
      </c>
      <c r="G893" s="1">
        <v>46270</v>
      </c>
      <c r="H893">
        <v>1</v>
      </c>
      <c r="I893" s="3">
        <v>39843.599999999999</v>
      </c>
      <c r="J893" t="str">
        <f>VLOOKUP(H893,Diagnosis!$A:$B,2,FALSE)</f>
        <v>Diabetes</v>
      </c>
      <c r="K893" t="str">
        <f>VLOOKUP(H893,Outcome!A$2:$B$7,2,FALSE)</f>
        <v>Recovered</v>
      </c>
      <c r="L893">
        <f t="shared" si="26"/>
        <v>24</v>
      </c>
      <c r="M893" t="str">
        <f>IF(Labs!E893&gt;120,"High","Normal")</f>
        <v>High</v>
      </c>
      <c r="N893" t="str">
        <f t="shared" si="27"/>
        <v>low risk</v>
      </c>
    </row>
    <row r="894" spans="1:14" x14ac:dyDescent="0.3">
      <c r="A894">
        <v>893</v>
      </c>
      <c r="B894" t="s">
        <v>282</v>
      </c>
      <c r="C894">
        <v>81</v>
      </c>
      <c r="D894" t="s">
        <v>10</v>
      </c>
      <c r="E894">
        <v>7</v>
      </c>
      <c r="F894" s="1">
        <v>46178</v>
      </c>
      <c r="G894" s="1">
        <v>46179</v>
      </c>
      <c r="H894">
        <v>1</v>
      </c>
      <c r="I894" s="3">
        <v>16716.78</v>
      </c>
      <c r="J894" t="str">
        <f>VLOOKUP(H894,Diagnosis!$A:$B,2,FALSE)</f>
        <v>Diabetes</v>
      </c>
      <c r="K894" t="str">
        <f>VLOOKUP(H894,Outcome!A$2:$B$7,2,FALSE)</f>
        <v>Recovered</v>
      </c>
      <c r="L894">
        <f t="shared" si="26"/>
        <v>1</v>
      </c>
      <c r="M894" t="str">
        <f>IF(Labs!E894&gt;120,"High","Normal")</f>
        <v>High</v>
      </c>
      <c r="N894" t="str">
        <f t="shared" si="27"/>
        <v>High Risk</v>
      </c>
    </row>
    <row r="895" spans="1:14" x14ac:dyDescent="0.3">
      <c r="A895">
        <v>894</v>
      </c>
      <c r="B895" t="s">
        <v>389</v>
      </c>
      <c r="C895">
        <v>95</v>
      </c>
      <c r="D895" t="s">
        <v>10</v>
      </c>
      <c r="E895">
        <v>6</v>
      </c>
      <c r="F895" s="1">
        <v>46031</v>
      </c>
      <c r="G895" s="1">
        <v>46044</v>
      </c>
      <c r="H895">
        <v>5</v>
      </c>
      <c r="I895" s="3">
        <v>148092.82999999999</v>
      </c>
      <c r="J895" t="str">
        <f>VLOOKUP(H895,Diagnosis!$A:$B,2,FALSE)</f>
        <v>Heart Disease</v>
      </c>
      <c r="K895" t="str">
        <f>VLOOKUP(H895,Outcome!A$2:$B$7,2,FALSE)</f>
        <v>Readmitted</v>
      </c>
      <c r="L895">
        <f t="shared" si="26"/>
        <v>13</v>
      </c>
      <c r="M895" t="str">
        <f>IF(Labs!E895&gt;120,"High","Normal")</f>
        <v>High</v>
      </c>
      <c r="N895" t="str">
        <f t="shared" si="27"/>
        <v>High Risk</v>
      </c>
    </row>
    <row r="896" spans="1:14" x14ac:dyDescent="0.3">
      <c r="A896">
        <v>895</v>
      </c>
      <c r="B896" t="s">
        <v>547</v>
      </c>
      <c r="C896">
        <v>65</v>
      </c>
      <c r="D896" t="s">
        <v>17</v>
      </c>
      <c r="E896">
        <v>6</v>
      </c>
      <c r="F896" s="1">
        <v>45423</v>
      </c>
      <c r="G896" s="1">
        <v>45442</v>
      </c>
      <c r="H896">
        <v>3</v>
      </c>
      <c r="I896" s="3">
        <v>99721.67</v>
      </c>
      <c r="J896" t="str">
        <f>VLOOKUP(H896,Diagnosis!$A:$B,2,FALSE)</f>
        <v>Asthma</v>
      </c>
      <c r="K896" t="str">
        <f>VLOOKUP(H896,Outcome!A$2:$B$7,2,FALSE)</f>
        <v>Ongoing Treatment</v>
      </c>
      <c r="L896">
        <f t="shared" si="26"/>
        <v>19</v>
      </c>
      <c r="M896" t="str">
        <f>IF(Labs!E896&gt;120,"High","Normal")</f>
        <v>High</v>
      </c>
      <c r="N896" t="str">
        <f t="shared" si="27"/>
        <v>High Risk</v>
      </c>
    </row>
    <row r="897" spans="1:14" x14ac:dyDescent="0.3">
      <c r="A897">
        <v>896</v>
      </c>
      <c r="B897" t="s">
        <v>482</v>
      </c>
      <c r="C897">
        <v>89</v>
      </c>
      <c r="D897" t="s">
        <v>17</v>
      </c>
      <c r="E897">
        <v>1</v>
      </c>
      <c r="F897" s="1">
        <v>45875</v>
      </c>
      <c r="G897" s="1">
        <v>45895</v>
      </c>
      <c r="H897">
        <v>1</v>
      </c>
      <c r="I897" s="3">
        <v>81204.38</v>
      </c>
      <c r="J897" t="str">
        <f>VLOOKUP(H897,Diagnosis!$A:$B,2,FALSE)</f>
        <v>Diabetes</v>
      </c>
      <c r="K897" t="str">
        <f>VLOOKUP(H897,Outcome!A$2:$B$7,2,FALSE)</f>
        <v>Recovered</v>
      </c>
      <c r="L897">
        <f t="shared" si="26"/>
        <v>20</v>
      </c>
      <c r="M897" t="str">
        <f>IF(Labs!E897&gt;120,"High","Normal")</f>
        <v>High</v>
      </c>
      <c r="N897" t="str">
        <f t="shared" si="27"/>
        <v>High Risk</v>
      </c>
    </row>
    <row r="898" spans="1:14" x14ac:dyDescent="0.3">
      <c r="A898">
        <v>897</v>
      </c>
      <c r="B898" t="s">
        <v>220</v>
      </c>
      <c r="C898">
        <v>52</v>
      </c>
      <c r="D898" t="s">
        <v>17</v>
      </c>
      <c r="E898">
        <v>5</v>
      </c>
      <c r="F898" s="1">
        <v>45204</v>
      </c>
      <c r="G898" s="1">
        <v>45222</v>
      </c>
      <c r="H898">
        <v>1</v>
      </c>
      <c r="I898" s="3">
        <v>30513.48</v>
      </c>
      <c r="J898" t="str">
        <f>VLOOKUP(H898,Diagnosis!$A:$B,2,FALSE)</f>
        <v>Diabetes</v>
      </c>
      <c r="K898" t="str">
        <f>VLOOKUP(H898,Outcome!A$2:$B$7,2,FALSE)</f>
        <v>Recovered</v>
      </c>
      <c r="L898">
        <f t="shared" si="26"/>
        <v>18</v>
      </c>
      <c r="M898" t="str">
        <f>IF(Labs!E898&gt;120,"High","Normal")</f>
        <v>High</v>
      </c>
      <c r="N898" t="str">
        <f t="shared" si="27"/>
        <v>low risk</v>
      </c>
    </row>
    <row r="899" spans="1:14" x14ac:dyDescent="0.3">
      <c r="A899">
        <v>898</v>
      </c>
      <c r="B899" t="s">
        <v>548</v>
      </c>
      <c r="C899">
        <v>77</v>
      </c>
      <c r="D899" t="s">
        <v>10</v>
      </c>
      <c r="E899">
        <v>6</v>
      </c>
      <c r="F899" s="1">
        <v>45486</v>
      </c>
      <c r="G899" s="1">
        <v>45501</v>
      </c>
      <c r="H899">
        <v>5</v>
      </c>
      <c r="I899" s="3">
        <v>26197.99</v>
      </c>
      <c r="J899" t="str">
        <f>VLOOKUP(H899,Diagnosis!$A:$B,2,FALSE)</f>
        <v>Heart Disease</v>
      </c>
      <c r="K899" t="str">
        <f>VLOOKUP(H899,Outcome!A$2:$B$7,2,FALSE)</f>
        <v>Readmitted</v>
      </c>
      <c r="L899">
        <f t="shared" ref="L899:L962" si="28">DATEDIF(F899,G899,"d")</f>
        <v>15</v>
      </c>
      <c r="M899" t="str">
        <f>IF(Labs!E899&gt;120,"High","Normal")</f>
        <v>High</v>
      </c>
      <c r="N899" t="str">
        <f t="shared" si="27"/>
        <v>High Risk</v>
      </c>
    </row>
    <row r="900" spans="1:14" x14ac:dyDescent="0.3">
      <c r="A900">
        <v>899</v>
      </c>
      <c r="B900" t="s">
        <v>549</v>
      </c>
      <c r="C900">
        <v>42</v>
      </c>
      <c r="D900" t="s">
        <v>10</v>
      </c>
      <c r="E900">
        <v>4</v>
      </c>
      <c r="F900" s="1">
        <v>44734</v>
      </c>
      <c r="G900" s="1">
        <v>44747</v>
      </c>
      <c r="H900">
        <v>2</v>
      </c>
      <c r="I900" s="3">
        <v>72345.22</v>
      </c>
      <c r="J900" t="str">
        <f>VLOOKUP(H900,Diagnosis!$A:$B,2,FALSE)</f>
        <v>Hypertension</v>
      </c>
      <c r="K900" t="str">
        <f>VLOOKUP(H900,Outcome!A$2:$B$7,2,FALSE)</f>
        <v>Improved</v>
      </c>
      <c r="L900">
        <f t="shared" si="28"/>
        <v>13</v>
      </c>
      <c r="M900" t="str">
        <f>IF(Labs!E900&gt;120,"High","Normal")</f>
        <v>High</v>
      </c>
      <c r="N900" t="str">
        <f t="shared" ref="N900:N963" si="29">IF(OR(C900&gt;65,H900&lt;&gt;1),"High Risk","low risk")</f>
        <v>High Risk</v>
      </c>
    </row>
    <row r="901" spans="1:14" x14ac:dyDescent="0.3">
      <c r="A901">
        <v>900</v>
      </c>
      <c r="B901" t="s">
        <v>550</v>
      </c>
      <c r="C901">
        <v>29</v>
      </c>
      <c r="D901" t="s">
        <v>17</v>
      </c>
      <c r="E901">
        <v>1</v>
      </c>
      <c r="F901" s="1">
        <v>45705</v>
      </c>
      <c r="G901" s="1">
        <v>45725</v>
      </c>
      <c r="H901">
        <v>2</v>
      </c>
      <c r="I901" s="3">
        <v>43095.54</v>
      </c>
      <c r="J901" t="str">
        <f>VLOOKUP(H901,Diagnosis!$A:$B,2,FALSE)</f>
        <v>Hypertension</v>
      </c>
      <c r="K901" t="str">
        <f>VLOOKUP(H901,Outcome!A$2:$B$7,2,FALSE)</f>
        <v>Improved</v>
      </c>
      <c r="L901">
        <f t="shared" si="28"/>
        <v>20</v>
      </c>
      <c r="M901" t="str">
        <f>IF(Labs!E901&gt;120,"High","Normal")</f>
        <v>High</v>
      </c>
      <c r="N901" t="str">
        <f t="shared" si="29"/>
        <v>High Risk</v>
      </c>
    </row>
    <row r="902" spans="1:14" x14ac:dyDescent="0.3">
      <c r="A902">
        <v>901</v>
      </c>
      <c r="B902" t="s">
        <v>290</v>
      </c>
      <c r="C902">
        <v>26</v>
      </c>
      <c r="D902" t="s">
        <v>10</v>
      </c>
      <c r="E902">
        <v>3</v>
      </c>
      <c r="F902" s="1">
        <v>44663</v>
      </c>
      <c r="G902" s="1">
        <v>44675</v>
      </c>
      <c r="H902">
        <v>2</v>
      </c>
      <c r="I902" s="3">
        <v>109069.71</v>
      </c>
      <c r="J902" t="str">
        <f>VLOOKUP(H902,Diagnosis!$A:$B,2,FALSE)</f>
        <v>Hypertension</v>
      </c>
      <c r="K902" t="str">
        <f>VLOOKUP(H902,Outcome!A$2:$B$7,2,FALSE)</f>
        <v>Improved</v>
      </c>
      <c r="L902">
        <f t="shared" si="28"/>
        <v>12</v>
      </c>
      <c r="M902" t="str">
        <f>IF(Labs!E902&gt;120,"High","Normal")</f>
        <v>High</v>
      </c>
      <c r="N902" t="str">
        <f t="shared" si="29"/>
        <v>High Risk</v>
      </c>
    </row>
    <row r="903" spans="1:14" x14ac:dyDescent="0.3">
      <c r="A903">
        <v>902</v>
      </c>
      <c r="B903" t="s">
        <v>551</v>
      </c>
      <c r="C903">
        <v>48</v>
      </c>
      <c r="D903" t="s">
        <v>17</v>
      </c>
      <c r="E903">
        <v>10</v>
      </c>
      <c r="F903" s="1">
        <v>44802</v>
      </c>
      <c r="G903" s="1">
        <v>44802</v>
      </c>
      <c r="H903">
        <v>3</v>
      </c>
      <c r="I903" s="3">
        <v>79740.679999999993</v>
      </c>
      <c r="J903" t="str">
        <f>VLOOKUP(H903,Diagnosis!$A:$B,2,FALSE)</f>
        <v>Asthma</v>
      </c>
      <c r="K903" t="str">
        <f>VLOOKUP(H903,Outcome!A$2:$B$7,2,FALSE)</f>
        <v>Ongoing Treatment</v>
      </c>
      <c r="L903">
        <f t="shared" si="28"/>
        <v>0</v>
      </c>
      <c r="M903" t="str">
        <f>IF(Labs!E903&gt;120,"High","Normal")</f>
        <v>High</v>
      </c>
      <c r="N903" t="str">
        <f t="shared" si="29"/>
        <v>High Risk</v>
      </c>
    </row>
    <row r="904" spans="1:14" x14ac:dyDescent="0.3">
      <c r="A904">
        <v>903</v>
      </c>
      <c r="B904" t="s">
        <v>552</v>
      </c>
      <c r="C904">
        <v>16</v>
      </c>
      <c r="D904" t="s">
        <v>17</v>
      </c>
      <c r="E904">
        <v>4</v>
      </c>
      <c r="F904" s="1">
        <v>44952</v>
      </c>
      <c r="G904" s="1">
        <v>44982</v>
      </c>
      <c r="H904">
        <v>5</v>
      </c>
      <c r="I904" s="3">
        <v>141326.64000000001</v>
      </c>
      <c r="J904" t="str">
        <f>VLOOKUP(H904,Diagnosis!$A:$B,2,FALSE)</f>
        <v>Heart Disease</v>
      </c>
      <c r="K904" t="str">
        <f>VLOOKUP(H904,Outcome!A$2:$B$7,2,FALSE)</f>
        <v>Readmitted</v>
      </c>
      <c r="L904">
        <f t="shared" si="28"/>
        <v>30</v>
      </c>
      <c r="M904" t="str">
        <f>IF(Labs!E904&gt;120,"High","Normal")</f>
        <v>High</v>
      </c>
      <c r="N904" t="str">
        <f t="shared" si="29"/>
        <v>High Risk</v>
      </c>
    </row>
    <row r="905" spans="1:14" x14ac:dyDescent="0.3">
      <c r="A905">
        <v>904</v>
      </c>
      <c r="B905" t="s">
        <v>553</v>
      </c>
      <c r="C905">
        <v>49</v>
      </c>
      <c r="D905" t="s">
        <v>17</v>
      </c>
      <c r="E905">
        <v>7</v>
      </c>
      <c r="F905" s="1">
        <v>44985</v>
      </c>
      <c r="G905" s="1">
        <v>45004</v>
      </c>
      <c r="H905">
        <v>1</v>
      </c>
      <c r="I905" s="3">
        <v>148775.78</v>
      </c>
      <c r="J905" t="str">
        <f>VLOOKUP(H905,Diagnosis!$A:$B,2,FALSE)</f>
        <v>Diabetes</v>
      </c>
      <c r="K905" t="str">
        <f>VLOOKUP(H905,Outcome!A$2:$B$7,2,FALSE)</f>
        <v>Recovered</v>
      </c>
      <c r="L905">
        <f t="shared" si="28"/>
        <v>19</v>
      </c>
      <c r="M905" t="str">
        <f>IF(Labs!E905&gt;120,"High","Normal")</f>
        <v>High</v>
      </c>
      <c r="N905" t="str">
        <f t="shared" si="29"/>
        <v>low risk</v>
      </c>
    </row>
    <row r="906" spans="1:14" x14ac:dyDescent="0.3">
      <c r="A906">
        <v>905</v>
      </c>
      <c r="B906" t="s">
        <v>101</v>
      </c>
      <c r="C906">
        <v>24</v>
      </c>
      <c r="D906" t="s">
        <v>10</v>
      </c>
      <c r="E906">
        <v>3</v>
      </c>
      <c r="F906" s="1">
        <v>44620</v>
      </c>
      <c r="G906" s="1">
        <v>44629</v>
      </c>
      <c r="H906">
        <v>6</v>
      </c>
      <c r="I906" s="3">
        <v>44298.7</v>
      </c>
      <c r="J906" t="str">
        <f>VLOOKUP(H906,Diagnosis!$A:$B,2,FALSE)</f>
        <v>Kidney Disease</v>
      </c>
      <c r="K906" t="str">
        <f>VLOOKUP(H906,Outcome!A$2:$B$7,2,FALSE)</f>
        <v>Deceased</v>
      </c>
      <c r="L906">
        <f t="shared" si="28"/>
        <v>9</v>
      </c>
      <c r="M906" t="str">
        <f>IF(Labs!E906&gt;120,"High","Normal")</f>
        <v>High</v>
      </c>
      <c r="N906" t="str">
        <f t="shared" si="29"/>
        <v>High Risk</v>
      </c>
    </row>
    <row r="907" spans="1:14" x14ac:dyDescent="0.3">
      <c r="A907">
        <v>906</v>
      </c>
      <c r="B907" t="s">
        <v>84</v>
      </c>
      <c r="C907">
        <v>48</v>
      </c>
      <c r="D907" t="s">
        <v>10</v>
      </c>
      <c r="E907">
        <v>2</v>
      </c>
      <c r="F907" s="1">
        <v>44583</v>
      </c>
      <c r="G907" s="1">
        <v>44598</v>
      </c>
      <c r="H907">
        <v>1</v>
      </c>
      <c r="I907" s="3">
        <v>59876.160000000003</v>
      </c>
      <c r="J907" t="str">
        <f>VLOOKUP(H907,Diagnosis!$A:$B,2,FALSE)</f>
        <v>Diabetes</v>
      </c>
      <c r="K907" t="str">
        <f>VLOOKUP(H907,Outcome!A$2:$B$7,2,FALSE)</f>
        <v>Recovered</v>
      </c>
      <c r="L907">
        <f t="shared" si="28"/>
        <v>15</v>
      </c>
      <c r="M907" t="str">
        <f>IF(Labs!E907&gt;120,"High","Normal")</f>
        <v>High</v>
      </c>
      <c r="N907" t="str">
        <f t="shared" si="29"/>
        <v>low risk</v>
      </c>
    </row>
    <row r="908" spans="1:14" x14ac:dyDescent="0.3">
      <c r="A908">
        <v>907</v>
      </c>
      <c r="B908" t="s">
        <v>554</v>
      </c>
      <c r="C908">
        <v>92</v>
      </c>
      <c r="D908" t="s">
        <v>10</v>
      </c>
      <c r="E908">
        <v>7</v>
      </c>
      <c r="F908" s="1">
        <v>46069</v>
      </c>
      <c r="G908" s="1">
        <v>46088</v>
      </c>
      <c r="H908">
        <v>1</v>
      </c>
      <c r="I908" s="3">
        <v>19412.099999999999</v>
      </c>
      <c r="J908" t="str">
        <f>VLOOKUP(H908,Diagnosis!$A:$B,2,FALSE)</f>
        <v>Diabetes</v>
      </c>
      <c r="K908" t="str">
        <f>VLOOKUP(H908,Outcome!A$2:$B$7,2,FALSE)</f>
        <v>Recovered</v>
      </c>
      <c r="L908">
        <f t="shared" si="28"/>
        <v>19</v>
      </c>
      <c r="M908" t="str">
        <f>IF(Labs!E908&gt;120,"High","Normal")</f>
        <v>High</v>
      </c>
      <c r="N908" t="str">
        <f t="shared" si="29"/>
        <v>High Risk</v>
      </c>
    </row>
    <row r="909" spans="1:14" x14ac:dyDescent="0.3">
      <c r="A909">
        <v>908</v>
      </c>
      <c r="B909" t="s">
        <v>427</v>
      </c>
      <c r="C909">
        <v>43</v>
      </c>
      <c r="D909" t="s">
        <v>17</v>
      </c>
      <c r="E909">
        <v>8</v>
      </c>
      <c r="F909" s="1">
        <v>45287</v>
      </c>
      <c r="G909" s="1">
        <v>45306</v>
      </c>
      <c r="H909">
        <v>5</v>
      </c>
      <c r="I909" s="3">
        <v>174179.75</v>
      </c>
      <c r="J909" t="str">
        <f>VLOOKUP(H909,Diagnosis!$A:$B,2,FALSE)</f>
        <v>Heart Disease</v>
      </c>
      <c r="K909" t="str">
        <f>VLOOKUP(H909,Outcome!A$2:$B$7,2,FALSE)</f>
        <v>Readmitted</v>
      </c>
      <c r="L909">
        <f t="shared" si="28"/>
        <v>19</v>
      </c>
      <c r="M909" t="str">
        <f>IF(Labs!E909&gt;120,"High","Normal")</f>
        <v>High</v>
      </c>
      <c r="N909" t="str">
        <f t="shared" si="29"/>
        <v>High Risk</v>
      </c>
    </row>
    <row r="910" spans="1:14" x14ac:dyDescent="0.3">
      <c r="A910">
        <v>909</v>
      </c>
      <c r="B910" t="s">
        <v>356</v>
      </c>
      <c r="C910">
        <v>1</v>
      </c>
      <c r="D910" t="s">
        <v>10</v>
      </c>
      <c r="E910">
        <v>9</v>
      </c>
      <c r="F910" s="1">
        <v>45831</v>
      </c>
      <c r="G910" s="1">
        <v>45843</v>
      </c>
      <c r="H910">
        <v>1</v>
      </c>
      <c r="I910" s="3">
        <v>72558.679999999993</v>
      </c>
      <c r="J910" t="str">
        <f>VLOOKUP(H910,Diagnosis!$A:$B,2,FALSE)</f>
        <v>Diabetes</v>
      </c>
      <c r="K910" t="str">
        <f>VLOOKUP(H910,Outcome!A$2:$B$7,2,FALSE)</f>
        <v>Recovered</v>
      </c>
      <c r="L910">
        <f t="shared" si="28"/>
        <v>12</v>
      </c>
      <c r="M910" t="str">
        <f>IF(Labs!E910&gt;120,"High","Normal")</f>
        <v>High</v>
      </c>
      <c r="N910" t="str">
        <f t="shared" si="29"/>
        <v>low risk</v>
      </c>
    </row>
    <row r="911" spans="1:14" x14ac:dyDescent="0.3">
      <c r="A911">
        <v>910</v>
      </c>
      <c r="B911" t="s">
        <v>143</v>
      </c>
      <c r="C911">
        <v>72</v>
      </c>
      <c r="D911" t="s">
        <v>17</v>
      </c>
      <c r="E911">
        <v>10</v>
      </c>
      <c r="F911" s="1">
        <v>44929</v>
      </c>
      <c r="G911" s="1">
        <v>44937</v>
      </c>
      <c r="H911">
        <v>1</v>
      </c>
      <c r="I911" s="3">
        <v>89979.07</v>
      </c>
      <c r="J911" t="str">
        <f>VLOOKUP(H911,Diagnosis!$A:$B,2,FALSE)</f>
        <v>Diabetes</v>
      </c>
      <c r="K911" t="str">
        <f>VLOOKUP(H911,Outcome!A$2:$B$7,2,FALSE)</f>
        <v>Recovered</v>
      </c>
      <c r="L911">
        <f t="shared" si="28"/>
        <v>8</v>
      </c>
      <c r="M911" t="str">
        <f>IF(Labs!E911&gt;120,"High","Normal")</f>
        <v>High</v>
      </c>
      <c r="N911" t="str">
        <f t="shared" si="29"/>
        <v>High Risk</v>
      </c>
    </row>
    <row r="912" spans="1:14" x14ac:dyDescent="0.3">
      <c r="A912">
        <v>911</v>
      </c>
      <c r="B912" t="s">
        <v>455</v>
      </c>
      <c r="C912">
        <v>17</v>
      </c>
      <c r="D912" t="s">
        <v>17</v>
      </c>
      <c r="E912">
        <v>6</v>
      </c>
      <c r="F912" s="1">
        <v>46016</v>
      </c>
      <c r="G912" s="1">
        <v>46032</v>
      </c>
      <c r="H912">
        <v>2</v>
      </c>
      <c r="I912" s="3">
        <v>48722.07</v>
      </c>
      <c r="J912" t="str">
        <f>VLOOKUP(H912,Diagnosis!$A:$B,2,FALSE)</f>
        <v>Hypertension</v>
      </c>
      <c r="K912" t="str">
        <f>VLOOKUP(H912,Outcome!A$2:$B$7,2,FALSE)</f>
        <v>Improved</v>
      </c>
      <c r="L912">
        <f t="shared" si="28"/>
        <v>16</v>
      </c>
      <c r="M912" t="str">
        <f>IF(Labs!E912&gt;120,"High","Normal")</f>
        <v>High</v>
      </c>
      <c r="N912" t="str">
        <f t="shared" si="29"/>
        <v>High Risk</v>
      </c>
    </row>
    <row r="913" spans="1:14" x14ac:dyDescent="0.3">
      <c r="A913">
        <v>912</v>
      </c>
      <c r="B913" t="s">
        <v>119</v>
      </c>
      <c r="C913">
        <v>17</v>
      </c>
      <c r="D913" t="s">
        <v>10</v>
      </c>
      <c r="E913">
        <v>5</v>
      </c>
      <c r="F913" s="1">
        <v>46093</v>
      </c>
      <c r="G913" s="1">
        <v>46104</v>
      </c>
      <c r="H913">
        <v>5</v>
      </c>
      <c r="I913" s="3">
        <v>52719.28</v>
      </c>
      <c r="J913" t="str">
        <f>VLOOKUP(H913,Diagnosis!$A:$B,2,FALSE)</f>
        <v>Heart Disease</v>
      </c>
      <c r="K913" t="str">
        <f>VLOOKUP(H913,Outcome!A$2:$B$7,2,FALSE)</f>
        <v>Readmitted</v>
      </c>
      <c r="L913">
        <f t="shared" si="28"/>
        <v>11</v>
      </c>
      <c r="M913" t="str">
        <f>IF(Labs!E913&gt;120,"High","Normal")</f>
        <v>High</v>
      </c>
      <c r="N913" t="str">
        <f t="shared" si="29"/>
        <v>High Risk</v>
      </c>
    </row>
    <row r="914" spans="1:14" x14ac:dyDescent="0.3">
      <c r="A914">
        <v>913</v>
      </c>
      <c r="B914" t="s">
        <v>167</v>
      </c>
      <c r="C914">
        <v>34</v>
      </c>
      <c r="D914" t="s">
        <v>10</v>
      </c>
      <c r="E914">
        <v>7</v>
      </c>
      <c r="F914" s="1">
        <v>44899</v>
      </c>
      <c r="G914" s="1">
        <v>44909</v>
      </c>
      <c r="H914">
        <v>3</v>
      </c>
      <c r="I914" s="3">
        <v>89701.27</v>
      </c>
      <c r="J914" t="str">
        <f>VLOOKUP(H914,Diagnosis!$A:$B,2,FALSE)</f>
        <v>Asthma</v>
      </c>
      <c r="K914" t="str">
        <f>VLOOKUP(H914,Outcome!A$2:$B$7,2,FALSE)</f>
        <v>Ongoing Treatment</v>
      </c>
      <c r="L914">
        <f t="shared" si="28"/>
        <v>10</v>
      </c>
      <c r="M914" t="str">
        <f>IF(Labs!E914&gt;120,"High","Normal")</f>
        <v>High</v>
      </c>
      <c r="N914" t="str">
        <f t="shared" si="29"/>
        <v>High Risk</v>
      </c>
    </row>
    <row r="915" spans="1:14" x14ac:dyDescent="0.3">
      <c r="A915">
        <v>914</v>
      </c>
      <c r="B915" t="s">
        <v>301</v>
      </c>
      <c r="C915">
        <v>85</v>
      </c>
      <c r="D915" t="s">
        <v>10</v>
      </c>
      <c r="E915">
        <v>1</v>
      </c>
      <c r="F915" s="1">
        <v>44948</v>
      </c>
      <c r="G915" s="1">
        <v>44952</v>
      </c>
      <c r="H915">
        <v>1</v>
      </c>
      <c r="I915" s="3">
        <v>35007.58</v>
      </c>
      <c r="J915" t="str">
        <f>VLOOKUP(H915,Diagnosis!$A:$B,2,FALSE)</f>
        <v>Diabetes</v>
      </c>
      <c r="K915" t="str">
        <f>VLOOKUP(H915,Outcome!A$2:$B$7,2,FALSE)</f>
        <v>Recovered</v>
      </c>
      <c r="L915">
        <f t="shared" si="28"/>
        <v>4</v>
      </c>
      <c r="M915" t="str">
        <f>IF(Labs!E915&gt;120,"High","Normal")</f>
        <v>High</v>
      </c>
      <c r="N915" t="str">
        <f t="shared" si="29"/>
        <v>High Risk</v>
      </c>
    </row>
    <row r="916" spans="1:14" x14ac:dyDescent="0.3">
      <c r="A916">
        <v>915</v>
      </c>
      <c r="B916" t="s">
        <v>555</v>
      </c>
      <c r="C916">
        <v>21</v>
      </c>
      <c r="D916" t="s">
        <v>10</v>
      </c>
      <c r="E916">
        <v>7</v>
      </c>
      <c r="F916" s="1">
        <v>44799</v>
      </c>
      <c r="G916" s="1">
        <v>44827</v>
      </c>
      <c r="H916">
        <v>5</v>
      </c>
      <c r="I916" s="3">
        <v>9740.5300000000007</v>
      </c>
      <c r="J916" t="str">
        <f>VLOOKUP(H916,Diagnosis!$A:$B,2,FALSE)</f>
        <v>Heart Disease</v>
      </c>
      <c r="K916" t="str">
        <f>VLOOKUP(H916,Outcome!A$2:$B$7,2,FALSE)</f>
        <v>Readmitted</v>
      </c>
      <c r="L916">
        <f t="shared" si="28"/>
        <v>28</v>
      </c>
      <c r="M916" t="str">
        <f>IF(Labs!E916&gt;120,"High","Normal")</f>
        <v>High</v>
      </c>
      <c r="N916" t="str">
        <f t="shared" si="29"/>
        <v>High Risk</v>
      </c>
    </row>
    <row r="917" spans="1:14" x14ac:dyDescent="0.3">
      <c r="A917">
        <v>916</v>
      </c>
      <c r="B917" t="s">
        <v>556</v>
      </c>
      <c r="C917">
        <v>63</v>
      </c>
      <c r="D917" t="s">
        <v>10</v>
      </c>
      <c r="E917">
        <v>8</v>
      </c>
      <c r="F917" s="1">
        <v>44792</v>
      </c>
      <c r="G917" s="1">
        <v>44819</v>
      </c>
      <c r="H917">
        <v>3</v>
      </c>
      <c r="I917" s="3">
        <v>28779.53</v>
      </c>
      <c r="J917" t="str">
        <f>VLOOKUP(H917,Diagnosis!$A:$B,2,FALSE)</f>
        <v>Asthma</v>
      </c>
      <c r="K917" t="str">
        <f>VLOOKUP(H917,Outcome!A$2:$B$7,2,FALSE)</f>
        <v>Ongoing Treatment</v>
      </c>
      <c r="L917">
        <f t="shared" si="28"/>
        <v>27</v>
      </c>
      <c r="M917" t="str">
        <f>IF(Labs!E917&gt;120,"High","Normal")</f>
        <v>High</v>
      </c>
      <c r="N917" t="str">
        <f t="shared" si="29"/>
        <v>High Risk</v>
      </c>
    </row>
    <row r="918" spans="1:14" x14ac:dyDescent="0.3">
      <c r="A918">
        <v>917</v>
      </c>
      <c r="B918" t="s">
        <v>47</v>
      </c>
      <c r="C918">
        <v>27</v>
      </c>
      <c r="D918" t="s">
        <v>10</v>
      </c>
      <c r="E918">
        <v>3</v>
      </c>
      <c r="F918" s="1">
        <v>46271</v>
      </c>
      <c r="G918" s="1">
        <v>46276</v>
      </c>
      <c r="H918">
        <v>3</v>
      </c>
      <c r="I918" s="3">
        <v>148506.49</v>
      </c>
      <c r="J918" t="str">
        <f>VLOOKUP(H918,Diagnosis!$A:$B,2,FALSE)</f>
        <v>Asthma</v>
      </c>
      <c r="K918" t="str">
        <f>VLOOKUP(H918,Outcome!A$2:$B$7,2,FALSE)</f>
        <v>Ongoing Treatment</v>
      </c>
      <c r="L918">
        <f t="shared" si="28"/>
        <v>5</v>
      </c>
      <c r="M918" t="str">
        <f>IF(Labs!E918&gt;120,"High","Normal")</f>
        <v>High</v>
      </c>
      <c r="N918" t="str">
        <f t="shared" si="29"/>
        <v>High Risk</v>
      </c>
    </row>
    <row r="919" spans="1:14" x14ac:dyDescent="0.3">
      <c r="A919">
        <v>918</v>
      </c>
      <c r="B919" t="s">
        <v>35</v>
      </c>
      <c r="C919">
        <v>28</v>
      </c>
      <c r="D919" t="s">
        <v>17</v>
      </c>
      <c r="E919">
        <v>9</v>
      </c>
      <c r="F919" s="1">
        <v>46132</v>
      </c>
      <c r="G919" s="1">
        <v>46150</v>
      </c>
      <c r="H919">
        <v>1</v>
      </c>
      <c r="I919" s="3">
        <v>165873.34</v>
      </c>
      <c r="J919" t="str">
        <f>VLOOKUP(H919,Diagnosis!$A:$B,2,FALSE)</f>
        <v>Diabetes</v>
      </c>
      <c r="K919" t="str">
        <f>VLOOKUP(H919,Outcome!A$2:$B$7,2,FALSE)</f>
        <v>Recovered</v>
      </c>
      <c r="L919">
        <f t="shared" si="28"/>
        <v>18</v>
      </c>
      <c r="M919" t="str">
        <f>IF(Labs!E919&gt;120,"High","Normal")</f>
        <v>High</v>
      </c>
      <c r="N919" t="str">
        <f t="shared" si="29"/>
        <v>low risk</v>
      </c>
    </row>
    <row r="920" spans="1:14" x14ac:dyDescent="0.3">
      <c r="A920">
        <v>919</v>
      </c>
      <c r="B920" t="s">
        <v>249</v>
      </c>
      <c r="C920">
        <v>87</v>
      </c>
      <c r="D920" t="s">
        <v>17</v>
      </c>
      <c r="E920">
        <v>6</v>
      </c>
      <c r="F920" s="1">
        <v>44615</v>
      </c>
      <c r="G920" s="1">
        <v>44624</v>
      </c>
      <c r="H920">
        <v>3</v>
      </c>
      <c r="I920" s="3">
        <v>123313.5</v>
      </c>
      <c r="J920" t="str">
        <f>VLOOKUP(H920,Diagnosis!$A:$B,2,FALSE)</f>
        <v>Asthma</v>
      </c>
      <c r="K920" t="str">
        <f>VLOOKUP(H920,Outcome!A$2:$B$7,2,FALSE)</f>
        <v>Ongoing Treatment</v>
      </c>
      <c r="L920">
        <f t="shared" si="28"/>
        <v>9</v>
      </c>
      <c r="M920" t="str">
        <f>IF(Labs!E920&gt;120,"High","Normal")</f>
        <v>High</v>
      </c>
      <c r="N920" t="str">
        <f t="shared" si="29"/>
        <v>High Risk</v>
      </c>
    </row>
    <row r="921" spans="1:14" x14ac:dyDescent="0.3">
      <c r="A921">
        <v>920</v>
      </c>
      <c r="B921" t="s">
        <v>267</v>
      </c>
      <c r="C921">
        <v>76</v>
      </c>
      <c r="D921" t="s">
        <v>17</v>
      </c>
      <c r="E921">
        <v>6</v>
      </c>
      <c r="F921" s="1">
        <v>44876</v>
      </c>
      <c r="G921" s="1">
        <v>44876</v>
      </c>
      <c r="H921">
        <v>1</v>
      </c>
      <c r="I921" s="3">
        <v>149949.10999999999</v>
      </c>
      <c r="J921" t="str">
        <f>VLOOKUP(H921,Diagnosis!$A:$B,2,FALSE)</f>
        <v>Diabetes</v>
      </c>
      <c r="K921" t="str">
        <f>VLOOKUP(H921,Outcome!A$2:$B$7,2,FALSE)</f>
        <v>Recovered</v>
      </c>
      <c r="L921">
        <f t="shared" si="28"/>
        <v>0</v>
      </c>
      <c r="M921" t="str">
        <f>IF(Labs!E921&gt;120,"High","Normal")</f>
        <v>High</v>
      </c>
      <c r="N921" t="str">
        <f t="shared" si="29"/>
        <v>High Risk</v>
      </c>
    </row>
    <row r="922" spans="1:14" x14ac:dyDescent="0.3">
      <c r="A922">
        <v>921</v>
      </c>
      <c r="B922" t="s">
        <v>83</v>
      </c>
      <c r="C922">
        <v>81</v>
      </c>
      <c r="D922" t="s">
        <v>10</v>
      </c>
      <c r="E922">
        <v>10</v>
      </c>
      <c r="F922" s="1">
        <v>45909</v>
      </c>
      <c r="G922" s="1">
        <v>45909</v>
      </c>
      <c r="H922">
        <v>1</v>
      </c>
      <c r="I922" s="3">
        <v>10282.84</v>
      </c>
      <c r="J922" t="str">
        <f>VLOOKUP(H922,Diagnosis!$A:$B,2,FALSE)</f>
        <v>Diabetes</v>
      </c>
      <c r="K922" t="str">
        <f>VLOOKUP(H922,Outcome!A$2:$B$7,2,FALSE)</f>
        <v>Recovered</v>
      </c>
      <c r="L922">
        <f t="shared" si="28"/>
        <v>0</v>
      </c>
      <c r="M922" t="str">
        <f>IF(Labs!E922&gt;120,"High","Normal")</f>
        <v>High</v>
      </c>
      <c r="N922" t="str">
        <f t="shared" si="29"/>
        <v>High Risk</v>
      </c>
    </row>
    <row r="923" spans="1:14" x14ac:dyDescent="0.3">
      <c r="A923">
        <v>922</v>
      </c>
      <c r="B923" t="s">
        <v>157</v>
      </c>
      <c r="C923">
        <v>42</v>
      </c>
      <c r="D923" t="s">
        <v>17</v>
      </c>
      <c r="E923">
        <v>4</v>
      </c>
      <c r="F923" s="1">
        <v>44661</v>
      </c>
      <c r="G923" s="1">
        <v>44686</v>
      </c>
      <c r="H923">
        <v>2</v>
      </c>
      <c r="I923" s="3">
        <v>59862.83</v>
      </c>
      <c r="J923" t="str">
        <f>VLOOKUP(H923,Diagnosis!$A:$B,2,FALSE)</f>
        <v>Hypertension</v>
      </c>
      <c r="K923" t="str">
        <f>VLOOKUP(H923,Outcome!A$2:$B$7,2,FALSE)</f>
        <v>Improved</v>
      </c>
      <c r="L923">
        <f t="shared" si="28"/>
        <v>25</v>
      </c>
      <c r="M923" t="str">
        <f>IF(Labs!E923&gt;120,"High","Normal")</f>
        <v>High</v>
      </c>
      <c r="N923" t="str">
        <f t="shared" si="29"/>
        <v>High Risk</v>
      </c>
    </row>
    <row r="924" spans="1:14" x14ac:dyDescent="0.3">
      <c r="A924">
        <v>923</v>
      </c>
      <c r="B924" t="s">
        <v>186</v>
      </c>
      <c r="C924">
        <v>71</v>
      </c>
      <c r="D924" t="s">
        <v>10</v>
      </c>
      <c r="E924">
        <v>2</v>
      </c>
      <c r="F924" s="1">
        <v>45378</v>
      </c>
      <c r="G924" s="1">
        <v>45386</v>
      </c>
      <c r="H924">
        <v>1</v>
      </c>
      <c r="I924" s="3">
        <v>173796.25</v>
      </c>
      <c r="J924" t="str">
        <f>VLOOKUP(H924,Diagnosis!$A:$B,2,FALSE)</f>
        <v>Diabetes</v>
      </c>
      <c r="K924" t="str">
        <f>VLOOKUP(H924,Outcome!A$2:$B$7,2,FALSE)</f>
        <v>Recovered</v>
      </c>
      <c r="L924">
        <f t="shared" si="28"/>
        <v>8</v>
      </c>
      <c r="M924" t="str">
        <f>IF(Labs!E924&gt;120,"High","Normal")</f>
        <v>High</v>
      </c>
      <c r="N924" t="str">
        <f t="shared" si="29"/>
        <v>High Risk</v>
      </c>
    </row>
    <row r="925" spans="1:14" x14ac:dyDescent="0.3">
      <c r="A925">
        <v>924</v>
      </c>
      <c r="B925" t="s">
        <v>117</v>
      </c>
      <c r="C925">
        <v>3</v>
      </c>
      <c r="D925" t="s">
        <v>17</v>
      </c>
      <c r="E925">
        <v>3</v>
      </c>
      <c r="F925" s="1">
        <v>45357</v>
      </c>
      <c r="G925" s="1">
        <v>45381</v>
      </c>
      <c r="H925">
        <v>2</v>
      </c>
      <c r="I925" s="3">
        <v>117372.32</v>
      </c>
      <c r="J925" t="str">
        <f>VLOOKUP(H925,Diagnosis!$A:$B,2,FALSE)</f>
        <v>Hypertension</v>
      </c>
      <c r="K925" t="str">
        <f>VLOOKUP(H925,Outcome!A$2:$B$7,2,FALSE)</f>
        <v>Improved</v>
      </c>
      <c r="L925">
        <f t="shared" si="28"/>
        <v>24</v>
      </c>
      <c r="M925" t="str">
        <f>IF(Labs!E925&gt;120,"High","Normal")</f>
        <v>High</v>
      </c>
      <c r="N925" t="str">
        <f t="shared" si="29"/>
        <v>High Risk</v>
      </c>
    </row>
    <row r="926" spans="1:14" x14ac:dyDescent="0.3">
      <c r="A926">
        <v>925</v>
      </c>
      <c r="B926" t="s">
        <v>439</v>
      </c>
      <c r="C926">
        <v>39</v>
      </c>
      <c r="D926" t="s">
        <v>10</v>
      </c>
      <c r="E926">
        <v>7</v>
      </c>
      <c r="F926" s="1">
        <v>46069</v>
      </c>
      <c r="G926" s="1">
        <v>46094</v>
      </c>
      <c r="H926">
        <v>5</v>
      </c>
      <c r="I926" s="3">
        <v>162912.82999999999</v>
      </c>
      <c r="J926" t="str">
        <f>VLOOKUP(H926,Diagnosis!$A:$B,2,FALSE)</f>
        <v>Heart Disease</v>
      </c>
      <c r="K926" t="str">
        <f>VLOOKUP(H926,Outcome!A$2:$B$7,2,FALSE)</f>
        <v>Readmitted</v>
      </c>
      <c r="L926">
        <f t="shared" si="28"/>
        <v>25</v>
      </c>
      <c r="M926" t="str">
        <f>IF(Labs!E926&gt;120,"High","Normal")</f>
        <v>High</v>
      </c>
      <c r="N926" t="str">
        <f t="shared" si="29"/>
        <v>High Risk</v>
      </c>
    </row>
    <row r="927" spans="1:14" x14ac:dyDescent="0.3">
      <c r="A927">
        <v>926</v>
      </c>
      <c r="B927" t="s">
        <v>200</v>
      </c>
      <c r="C927">
        <v>46</v>
      </c>
      <c r="D927" t="s">
        <v>17</v>
      </c>
      <c r="E927">
        <v>6</v>
      </c>
      <c r="F927" s="1">
        <v>45611</v>
      </c>
      <c r="G927" s="1">
        <v>45617</v>
      </c>
      <c r="H927">
        <v>2</v>
      </c>
      <c r="I927" s="3">
        <v>159660.81</v>
      </c>
      <c r="J927" t="str">
        <f>VLOOKUP(H927,Diagnosis!$A:$B,2,FALSE)</f>
        <v>Hypertension</v>
      </c>
      <c r="K927" t="str">
        <f>VLOOKUP(H927,Outcome!A$2:$B$7,2,FALSE)</f>
        <v>Improved</v>
      </c>
      <c r="L927">
        <f t="shared" si="28"/>
        <v>6</v>
      </c>
      <c r="M927" t="str">
        <f>IF(Labs!E927&gt;120,"High","Normal")</f>
        <v>High</v>
      </c>
      <c r="N927" t="str">
        <f t="shared" si="29"/>
        <v>High Risk</v>
      </c>
    </row>
    <row r="928" spans="1:14" x14ac:dyDescent="0.3">
      <c r="A928">
        <v>927</v>
      </c>
      <c r="B928" t="s">
        <v>555</v>
      </c>
      <c r="C928">
        <v>73</v>
      </c>
      <c r="D928" t="s">
        <v>10</v>
      </c>
      <c r="E928">
        <v>2</v>
      </c>
      <c r="F928" s="1">
        <v>46111</v>
      </c>
      <c r="G928" s="1">
        <v>46124</v>
      </c>
      <c r="H928">
        <v>4</v>
      </c>
      <c r="I928" s="3">
        <v>111461.53</v>
      </c>
      <c r="J928" t="str">
        <f>VLOOKUP(H928,Diagnosis!$A:$B,2,FALSE)</f>
        <v>Pneumonia</v>
      </c>
      <c r="K928" t="str">
        <f>VLOOKUP(H928,Outcome!A$2:$B$7,2,FALSE)</f>
        <v>Referred</v>
      </c>
      <c r="L928">
        <f t="shared" si="28"/>
        <v>13</v>
      </c>
      <c r="M928" t="str">
        <f>IF(Labs!E928&gt;120,"High","Normal")</f>
        <v>High</v>
      </c>
      <c r="N928" t="str">
        <f t="shared" si="29"/>
        <v>High Risk</v>
      </c>
    </row>
    <row r="929" spans="1:14" x14ac:dyDescent="0.3">
      <c r="A929">
        <v>928</v>
      </c>
      <c r="B929" t="s">
        <v>557</v>
      </c>
      <c r="C929">
        <v>12</v>
      </c>
      <c r="D929" t="s">
        <v>17</v>
      </c>
      <c r="E929">
        <v>9</v>
      </c>
      <c r="F929" s="1">
        <v>45261</v>
      </c>
      <c r="G929" s="1">
        <v>45275</v>
      </c>
      <c r="H929">
        <v>3</v>
      </c>
      <c r="I929" s="3">
        <v>117450.88</v>
      </c>
      <c r="J929" t="str">
        <f>VLOOKUP(H929,Diagnosis!$A:$B,2,FALSE)</f>
        <v>Asthma</v>
      </c>
      <c r="K929" t="str">
        <f>VLOOKUP(H929,Outcome!A$2:$B$7,2,FALSE)</f>
        <v>Ongoing Treatment</v>
      </c>
      <c r="L929">
        <f t="shared" si="28"/>
        <v>14</v>
      </c>
      <c r="M929" t="str">
        <f>IF(Labs!E929&gt;120,"High","Normal")</f>
        <v>High</v>
      </c>
      <c r="N929" t="str">
        <f t="shared" si="29"/>
        <v>High Risk</v>
      </c>
    </row>
    <row r="930" spans="1:14" x14ac:dyDescent="0.3">
      <c r="A930">
        <v>929</v>
      </c>
      <c r="B930" t="s">
        <v>387</v>
      </c>
      <c r="C930">
        <v>68</v>
      </c>
      <c r="D930" t="s">
        <v>17</v>
      </c>
      <c r="E930">
        <v>5</v>
      </c>
      <c r="F930" s="1">
        <v>45520</v>
      </c>
      <c r="G930" s="1">
        <v>45533</v>
      </c>
      <c r="H930">
        <v>1</v>
      </c>
      <c r="I930" s="3">
        <v>144774.18</v>
      </c>
      <c r="J930" t="str">
        <f>VLOOKUP(H930,Diagnosis!$A:$B,2,FALSE)</f>
        <v>Diabetes</v>
      </c>
      <c r="K930" t="str">
        <f>VLOOKUP(H930,Outcome!A$2:$B$7,2,FALSE)</f>
        <v>Recovered</v>
      </c>
      <c r="L930">
        <f t="shared" si="28"/>
        <v>13</v>
      </c>
      <c r="M930" t="str">
        <f>IF(Labs!E930&gt;120,"High","Normal")</f>
        <v>High</v>
      </c>
      <c r="N930" t="str">
        <f t="shared" si="29"/>
        <v>High Risk</v>
      </c>
    </row>
    <row r="931" spans="1:14" x14ac:dyDescent="0.3">
      <c r="A931">
        <v>930</v>
      </c>
      <c r="B931" t="s">
        <v>240</v>
      </c>
      <c r="C931">
        <v>17</v>
      </c>
      <c r="D931" t="s">
        <v>10</v>
      </c>
      <c r="E931">
        <v>4</v>
      </c>
      <c r="F931" s="1">
        <v>45633</v>
      </c>
      <c r="G931" s="1">
        <v>45646</v>
      </c>
      <c r="H931">
        <v>1</v>
      </c>
      <c r="I931" s="3">
        <v>10971.77</v>
      </c>
      <c r="J931" t="str">
        <f>VLOOKUP(H931,Diagnosis!$A:$B,2,FALSE)</f>
        <v>Diabetes</v>
      </c>
      <c r="K931" t="str">
        <f>VLOOKUP(H931,Outcome!A$2:$B$7,2,FALSE)</f>
        <v>Recovered</v>
      </c>
      <c r="L931">
        <f t="shared" si="28"/>
        <v>13</v>
      </c>
      <c r="M931" t="str">
        <f>IF(Labs!E931&gt;120,"High","Normal")</f>
        <v>High</v>
      </c>
      <c r="N931" t="str">
        <f t="shared" si="29"/>
        <v>low risk</v>
      </c>
    </row>
    <row r="932" spans="1:14" x14ac:dyDescent="0.3">
      <c r="A932">
        <v>931</v>
      </c>
      <c r="B932" t="s">
        <v>558</v>
      </c>
      <c r="C932">
        <v>66</v>
      </c>
      <c r="D932" t="s">
        <v>17</v>
      </c>
      <c r="E932">
        <v>9</v>
      </c>
      <c r="F932" s="1">
        <v>45432</v>
      </c>
      <c r="G932" s="1">
        <v>45445</v>
      </c>
      <c r="H932">
        <v>1</v>
      </c>
      <c r="I932" s="3">
        <v>119801.81</v>
      </c>
      <c r="J932" t="str">
        <f>VLOOKUP(H932,Diagnosis!$A:$B,2,FALSE)</f>
        <v>Diabetes</v>
      </c>
      <c r="K932" t="str">
        <f>VLOOKUP(H932,Outcome!A$2:$B$7,2,FALSE)</f>
        <v>Recovered</v>
      </c>
      <c r="L932">
        <f t="shared" si="28"/>
        <v>13</v>
      </c>
      <c r="M932" t="str">
        <f>IF(Labs!E932&gt;120,"High","Normal")</f>
        <v>High</v>
      </c>
      <c r="N932" t="str">
        <f t="shared" si="29"/>
        <v>High Risk</v>
      </c>
    </row>
    <row r="933" spans="1:14" x14ac:dyDescent="0.3">
      <c r="A933">
        <v>932</v>
      </c>
      <c r="B933" t="s">
        <v>198</v>
      </c>
      <c r="C933">
        <v>46</v>
      </c>
      <c r="D933" t="s">
        <v>10</v>
      </c>
      <c r="E933">
        <v>10</v>
      </c>
      <c r="F933" s="1">
        <v>44729</v>
      </c>
      <c r="G933" s="1">
        <v>44753</v>
      </c>
      <c r="H933">
        <v>2</v>
      </c>
      <c r="I933" s="3">
        <v>22723.55</v>
      </c>
      <c r="J933" t="str">
        <f>VLOOKUP(H933,Diagnosis!$A:$B,2,FALSE)</f>
        <v>Hypertension</v>
      </c>
      <c r="K933" t="str">
        <f>VLOOKUP(H933,Outcome!A$2:$B$7,2,FALSE)</f>
        <v>Improved</v>
      </c>
      <c r="L933">
        <f t="shared" si="28"/>
        <v>24</v>
      </c>
      <c r="M933" t="str">
        <f>IF(Labs!E933&gt;120,"High","Normal")</f>
        <v>High</v>
      </c>
      <c r="N933" t="str">
        <f t="shared" si="29"/>
        <v>High Risk</v>
      </c>
    </row>
    <row r="934" spans="1:14" x14ac:dyDescent="0.3">
      <c r="A934">
        <v>933</v>
      </c>
      <c r="B934" t="s">
        <v>520</v>
      </c>
      <c r="C934">
        <v>24</v>
      </c>
      <c r="D934" t="s">
        <v>10</v>
      </c>
      <c r="E934">
        <v>1</v>
      </c>
      <c r="F934" s="1">
        <v>44732</v>
      </c>
      <c r="G934" s="1">
        <v>44745</v>
      </c>
      <c r="H934">
        <v>5</v>
      </c>
      <c r="I934" s="3">
        <v>55332.43</v>
      </c>
      <c r="J934" t="str">
        <f>VLOOKUP(H934,Diagnosis!$A:$B,2,FALSE)</f>
        <v>Heart Disease</v>
      </c>
      <c r="K934" t="str">
        <f>VLOOKUP(H934,Outcome!A$2:$B$7,2,FALSE)</f>
        <v>Readmitted</v>
      </c>
      <c r="L934">
        <f t="shared" si="28"/>
        <v>13</v>
      </c>
      <c r="M934" t="str">
        <f>IF(Labs!E934&gt;120,"High","Normal")</f>
        <v>High</v>
      </c>
      <c r="N934" t="str">
        <f t="shared" si="29"/>
        <v>High Risk</v>
      </c>
    </row>
    <row r="935" spans="1:14" x14ac:dyDescent="0.3">
      <c r="A935">
        <v>934</v>
      </c>
      <c r="B935" t="s">
        <v>559</v>
      </c>
      <c r="C935">
        <v>86</v>
      </c>
      <c r="D935" t="s">
        <v>10</v>
      </c>
      <c r="E935">
        <v>10</v>
      </c>
      <c r="F935" s="1">
        <v>46216</v>
      </c>
      <c r="G935" s="1">
        <v>46224</v>
      </c>
      <c r="H935">
        <v>1</v>
      </c>
      <c r="I935" s="3">
        <v>165464.87</v>
      </c>
      <c r="J935" t="str">
        <f>VLOOKUP(H935,Diagnosis!$A:$B,2,FALSE)</f>
        <v>Diabetes</v>
      </c>
      <c r="K935" t="str">
        <f>VLOOKUP(H935,Outcome!A$2:$B$7,2,FALSE)</f>
        <v>Recovered</v>
      </c>
      <c r="L935">
        <f t="shared" si="28"/>
        <v>8</v>
      </c>
      <c r="M935" t="str">
        <f>IF(Labs!E935&gt;120,"High","Normal")</f>
        <v>High</v>
      </c>
      <c r="N935" t="str">
        <f t="shared" si="29"/>
        <v>High Risk</v>
      </c>
    </row>
    <row r="936" spans="1:14" x14ac:dyDescent="0.3">
      <c r="A936">
        <v>935</v>
      </c>
      <c r="B936" t="s">
        <v>90</v>
      </c>
      <c r="C936">
        <v>24</v>
      </c>
      <c r="D936" t="s">
        <v>17</v>
      </c>
      <c r="E936">
        <v>10</v>
      </c>
      <c r="F936" s="1">
        <v>45093</v>
      </c>
      <c r="G936" s="1">
        <v>45120</v>
      </c>
      <c r="H936">
        <v>3</v>
      </c>
      <c r="I936" s="3">
        <v>79499.31</v>
      </c>
      <c r="J936" t="str">
        <f>VLOOKUP(H936,Diagnosis!$A:$B,2,FALSE)</f>
        <v>Asthma</v>
      </c>
      <c r="K936" t="str">
        <f>VLOOKUP(H936,Outcome!A$2:$B$7,2,FALSE)</f>
        <v>Ongoing Treatment</v>
      </c>
      <c r="L936">
        <f t="shared" si="28"/>
        <v>27</v>
      </c>
      <c r="M936" t="str">
        <f>IF(Labs!E936&gt;120,"High","Normal")</f>
        <v>High</v>
      </c>
      <c r="N936" t="str">
        <f t="shared" si="29"/>
        <v>High Risk</v>
      </c>
    </row>
    <row r="937" spans="1:14" x14ac:dyDescent="0.3">
      <c r="A937">
        <v>936</v>
      </c>
      <c r="B937" t="s">
        <v>560</v>
      </c>
      <c r="C937">
        <v>51</v>
      </c>
      <c r="D937" t="s">
        <v>17</v>
      </c>
      <c r="E937">
        <v>1</v>
      </c>
      <c r="F937" s="1">
        <v>44913</v>
      </c>
      <c r="G937" s="1">
        <v>44933</v>
      </c>
      <c r="H937">
        <v>2</v>
      </c>
      <c r="I937" s="3">
        <v>125295.61</v>
      </c>
      <c r="J937" t="str">
        <f>VLOOKUP(H937,Diagnosis!$A:$B,2,FALSE)</f>
        <v>Hypertension</v>
      </c>
      <c r="K937" t="str">
        <f>VLOOKUP(H937,Outcome!A$2:$B$7,2,FALSE)</f>
        <v>Improved</v>
      </c>
      <c r="L937">
        <f t="shared" si="28"/>
        <v>20</v>
      </c>
      <c r="M937" t="str">
        <f>IF(Labs!E937&gt;120,"High","Normal")</f>
        <v>High</v>
      </c>
      <c r="N937" t="str">
        <f t="shared" si="29"/>
        <v>High Risk</v>
      </c>
    </row>
    <row r="938" spans="1:14" x14ac:dyDescent="0.3">
      <c r="A938">
        <v>937</v>
      </c>
      <c r="B938" t="s">
        <v>329</v>
      </c>
      <c r="C938">
        <v>39</v>
      </c>
      <c r="D938" t="s">
        <v>10</v>
      </c>
      <c r="E938">
        <v>7</v>
      </c>
      <c r="F938" s="1">
        <v>46209</v>
      </c>
      <c r="G938" s="1">
        <v>46218</v>
      </c>
      <c r="H938">
        <v>1</v>
      </c>
      <c r="I938" s="3">
        <v>26482.73</v>
      </c>
      <c r="J938" t="str">
        <f>VLOOKUP(H938,Diagnosis!$A:$B,2,FALSE)</f>
        <v>Diabetes</v>
      </c>
      <c r="K938" t="str">
        <f>VLOOKUP(H938,Outcome!A$2:$B$7,2,FALSE)</f>
        <v>Recovered</v>
      </c>
      <c r="L938">
        <f t="shared" si="28"/>
        <v>9</v>
      </c>
      <c r="M938" t="str">
        <f>IF(Labs!E938&gt;120,"High","Normal")</f>
        <v>High</v>
      </c>
      <c r="N938" t="str">
        <f t="shared" si="29"/>
        <v>low risk</v>
      </c>
    </row>
    <row r="939" spans="1:14" x14ac:dyDescent="0.3">
      <c r="A939">
        <v>938</v>
      </c>
      <c r="B939" t="s">
        <v>508</v>
      </c>
      <c r="C939">
        <v>3</v>
      </c>
      <c r="D939" t="s">
        <v>17</v>
      </c>
      <c r="E939">
        <v>1</v>
      </c>
      <c r="F939" s="1">
        <v>44990</v>
      </c>
      <c r="G939" s="1">
        <v>45005</v>
      </c>
      <c r="H939">
        <v>2</v>
      </c>
      <c r="I939" s="3">
        <v>117828.82</v>
      </c>
      <c r="J939" t="str">
        <f>VLOOKUP(H939,Diagnosis!$A:$B,2,FALSE)</f>
        <v>Hypertension</v>
      </c>
      <c r="K939" t="str">
        <f>VLOOKUP(H939,Outcome!A$2:$B$7,2,FALSE)</f>
        <v>Improved</v>
      </c>
      <c r="L939">
        <f t="shared" si="28"/>
        <v>15</v>
      </c>
      <c r="M939" t="str">
        <f>IF(Labs!E939&gt;120,"High","Normal")</f>
        <v>High</v>
      </c>
      <c r="N939" t="str">
        <f t="shared" si="29"/>
        <v>High Risk</v>
      </c>
    </row>
    <row r="940" spans="1:14" x14ac:dyDescent="0.3">
      <c r="A940">
        <v>939</v>
      </c>
      <c r="B940" t="s">
        <v>541</v>
      </c>
      <c r="C940">
        <v>25</v>
      </c>
      <c r="D940" t="s">
        <v>17</v>
      </c>
      <c r="E940">
        <v>5</v>
      </c>
      <c r="F940" s="1">
        <v>46138</v>
      </c>
      <c r="G940" s="1">
        <v>46152</v>
      </c>
      <c r="H940">
        <v>1</v>
      </c>
      <c r="I940" s="3">
        <v>77383.56</v>
      </c>
      <c r="J940" t="str">
        <f>VLOOKUP(H940,Diagnosis!$A:$B,2,FALSE)</f>
        <v>Diabetes</v>
      </c>
      <c r="K940" t="str">
        <f>VLOOKUP(H940,Outcome!A$2:$B$7,2,FALSE)</f>
        <v>Recovered</v>
      </c>
      <c r="L940">
        <f t="shared" si="28"/>
        <v>14</v>
      </c>
      <c r="M940" t="str">
        <f>IF(Labs!E940&gt;120,"High","Normal")</f>
        <v>High</v>
      </c>
      <c r="N940" t="str">
        <f t="shared" si="29"/>
        <v>low risk</v>
      </c>
    </row>
    <row r="941" spans="1:14" x14ac:dyDescent="0.3">
      <c r="A941">
        <v>940</v>
      </c>
      <c r="B941" t="s">
        <v>293</v>
      </c>
      <c r="C941">
        <v>20</v>
      </c>
      <c r="D941" t="s">
        <v>10</v>
      </c>
      <c r="E941">
        <v>8</v>
      </c>
      <c r="F941" s="1">
        <v>45527</v>
      </c>
      <c r="G941" s="1">
        <v>45527</v>
      </c>
      <c r="H941">
        <v>5</v>
      </c>
      <c r="I941" s="3">
        <v>106377.66</v>
      </c>
      <c r="J941" t="str">
        <f>VLOOKUP(H941,Diagnosis!$A:$B,2,FALSE)</f>
        <v>Heart Disease</v>
      </c>
      <c r="K941" t="str">
        <f>VLOOKUP(H941,Outcome!A$2:$B$7,2,FALSE)</f>
        <v>Readmitted</v>
      </c>
      <c r="L941">
        <f t="shared" si="28"/>
        <v>0</v>
      </c>
      <c r="M941" t="str">
        <f>IF(Labs!E941&gt;120,"High","Normal")</f>
        <v>High</v>
      </c>
      <c r="N941" t="str">
        <f t="shared" si="29"/>
        <v>High Risk</v>
      </c>
    </row>
    <row r="942" spans="1:14" x14ac:dyDescent="0.3">
      <c r="A942">
        <v>941</v>
      </c>
      <c r="B942" t="s">
        <v>221</v>
      </c>
      <c r="C942">
        <v>73</v>
      </c>
      <c r="D942" t="s">
        <v>10</v>
      </c>
      <c r="E942">
        <v>1</v>
      </c>
      <c r="F942" s="1">
        <v>45245</v>
      </c>
      <c r="G942" s="1">
        <v>45245</v>
      </c>
      <c r="H942">
        <v>1</v>
      </c>
      <c r="I942" s="3">
        <v>152954.23999999999</v>
      </c>
      <c r="J942" t="str">
        <f>VLOOKUP(H942,Diagnosis!$A:$B,2,FALSE)</f>
        <v>Diabetes</v>
      </c>
      <c r="K942" t="str">
        <f>VLOOKUP(H942,Outcome!A$2:$B$7,2,FALSE)</f>
        <v>Recovered</v>
      </c>
      <c r="L942">
        <f t="shared" si="28"/>
        <v>0</v>
      </c>
      <c r="M942" t="str">
        <f>IF(Labs!E942&gt;120,"High","Normal")</f>
        <v>High</v>
      </c>
      <c r="N942" t="str">
        <f t="shared" si="29"/>
        <v>High Risk</v>
      </c>
    </row>
    <row r="943" spans="1:14" x14ac:dyDescent="0.3">
      <c r="A943">
        <v>942</v>
      </c>
      <c r="B943" t="s">
        <v>557</v>
      </c>
      <c r="C943">
        <v>64</v>
      </c>
      <c r="D943" t="s">
        <v>10</v>
      </c>
      <c r="E943">
        <v>1</v>
      </c>
      <c r="F943" s="1">
        <v>45560</v>
      </c>
      <c r="G943" s="1">
        <v>45572</v>
      </c>
      <c r="H943">
        <v>2</v>
      </c>
      <c r="I943" s="3">
        <v>107409.47</v>
      </c>
      <c r="J943" t="str">
        <f>VLOOKUP(H943,Diagnosis!$A:$B,2,FALSE)</f>
        <v>Hypertension</v>
      </c>
      <c r="K943" t="str">
        <f>VLOOKUP(H943,Outcome!A$2:$B$7,2,FALSE)</f>
        <v>Improved</v>
      </c>
      <c r="L943">
        <f t="shared" si="28"/>
        <v>12</v>
      </c>
      <c r="M943" t="str">
        <f>IF(Labs!E943&gt;120,"High","Normal")</f>
        <v>High</v>
      </c>
      <c r="N943" t="str">
        <f t="shared" si="29"/>
        <v>High Risk</v>
      </c>
    </row>
    <row r="944" spans="1:14" x14ac:dyDescent="0.3">
      <c r="A944">
        <v>943</v>
      </c>
      <c r="B944" t="s">
        <v>250</v>
      </c>
      <c r="C944">
        <v>30</v>
      </c>
      <c r="D944" t="s">
        <v>17</v>
      </c>
      <c r="E944">
        <v>9</v>
      </c>
      <c r="F944" s="1">
        <v>44600</v>
      </c>
      <c r="G944" s="1">
        <v>44613</v>
      </c>
      <c r="H944">
        <v>2</v>
      </c>
      <c r="I944" s="3">
        <v>100702.88</v>
      </c>
      <c r="J944" t="str">
        <f>VLOOKUP(H944,Diagnosis!$A:$B,2,FALSE)</f>
        <v>Hypertension</v>
      </c>
      <c r="K944" t="str">
        <f>VLOOKUP(H944,Outcome!A$2:$B$7,2,FALSE)</f>
        <v>Improved</v>
      </c>
      <c r="L944">
        <f t="shared" si="28"/>
        <v>13</v>
      </c>
      <c r="M944" t="str">
        <f>IF(Labs!E944&gt;120,"High","Normal")</f>
        <v>High</v>
      </c>
      <c r="N944" t="str">
        <f t="shared" si="29"/>
        <v>High Risk</v>
      </c>
    </row>
    <row r="945" spans="1:14" x14ac:dyDescent="0.3">
      <c r="A945">
        <v>944</v>
      </c>
      <c r="B945" t="s">
        <v>75</v>
      </c>
      <c r="C945">
        <v>61</v>
      </c>
      <c r="D945" t="s">
        <v>17</v>
      </c>
      <c r="E945">
        <v>8</v>
      </c>
      <c r="F945" s="1">
        <v>45837</v>
      </c>
      <c r="G945" s="1">
        <v>45867</v>
      </c>
      <c r="H945">
        <v>2</v>
      </c>
      <c r="I945" s="3">
        <v>82077.759999999995</v>
      </c>
      <c r="J945" t="str">
        <f>VLOOKUP(H945,Diagnosis!$A:$B,2,FALSE)</f>
        <v>Hypertension</v>
      </c>
      <c r="K945" t="str">
        <f>VLOOKUP(H945,Outcome!A$2:$B$7,2,FALSE)</f>
        <v>Improved</v>
      </c>
      <c r="L945">
        <f t="shared" si="28"/>
        <v>30</v>
      </c>
      <c r="M945" t="str">
        <f>IF(Labs!E945&gt;120,"High","Normal")</f>
        <v>High</v>
      </c>
      <c r="N945" t="str">
        <f t="shared" si="29"/>
        <v>High Risk</v>
      </c>
    </row>
    <row r="946" spans="1:14" x14ac:dyDescent="0.3">
      <c r="A946">
        <v>945</v>
      </c>
      <c r="B946" t="s">
        <v>561</v>
      </c>
      <c r="C946">
        <v>21</v>
      </c>
      <c r="D946" t="s">
        <v>10</v>
      </c>
      <c r="E946">
        <v>4</v>
      </c>
      <c r="F946" s="1">
        <v>45523</v>
      </c>
      <c r="G946" s="1">
        <v>45534</v>
      </c>
      <c r="H946">
        <v>2</v>
      </c>
      <c r="I946" s="3">
        <v>92605.38</v>
      </c>
      <c r="J946" t="str">
        <f>VLOOKUP(H946,Diagnosis!$A:$B,2,FALSE)</f>
        <v>Hypertension</v>
      </c>
      <c r="K946" t="str">
        <f>VLOOKUP(H946,Outcome!A$2:$B$7,2,FALSE)</f>
        <v>Improved</v>
      </c>
      <c r="L946">
        <f t="shared" si="28"/>
        <v>11</v>
      </c>
      <c r="M946" t="str">
        <f>IF(Labs!E946&gt;120,"High","Normal")</f>
        <v>High</v>
      </c>
      <c r="N946" t="str">
        <f t="shared" si="29"/>
        <v>High Risk</v>
      </c>
    </row>
    <row r="947" spans="1:14" x14ac:dyDescent="0.3">
      <c r="A947">
        <v>946</v>
      </c>
      <c r="B947" t="s">
        <v>562</v>
      </c>
      <c r="C947">
        <v>78</v>
      </c>
      <c r="D947" t="s">
        <v>10</v>
      </c>
      <c r="E947">
        <v>3</v>
      </c>
      <c r="F947" s="1">
        <v>45162</v>
      </c>
      <c r="G947" s="1">
        <v>45185</v>
      </c>
      <c r="H947">
        <v>3</v>
      </c>
      <c r="I947" s="3">
        <v>172865.1</v>
      </c>
      <c r="J947" t="str">
        <f>VLOOKUP(H947,Diagnosis!$A:$B,2,FALSE)</f>
        <v>Asthma</v>
      </c>
      <c r="K947" t="str">
        <f>VLOOKUP(H947,Outcome!A$2:$B$7,2,FALSE)</f>
        <v>Ongoing Treatment</v>
      </c>
      <c r="L947">
        <f t="shared" si="28"/>
        <v>23</v>
      </c>
      <c r="M947" t="str">
        <f>IF(Labs!E947&gt;120,"High","Normal")</f>
        <v>High</v>
      </c>
      <c r="N947" t="str">
        <f t="shared" si="29"/>
        <v>High Risk</v>
      </c>
    </row>
    <row r="948" spans="1:14" x14ac:dyDescent="0.3">
      <c r="A948">
        <v>947</v>
      </c>
      <c r="B948" t="s">
        <v>563</v>
      </c>
      <c r="C948">
        <v>21</v>
      </c>
      <c r="D948" t="s">
        <v>17</v>
      </c>
      <c r="E948">
        <v>5</v>
      </c>
      <c r="F948" s="1">
        <v>45976</v>
      </c>
      <c r="G948" s="1">
        <v>45999</v>
      </c>
      <c r="H948">
        <v>1</v>
      </c>
      <c r="I948" s="3">
        <v>88212.93</v>
      </c>
      <c r="J948" t="str">
        <f>VLOOKUP(H948,Diagnosis!$A:$B,2,FALSE)</f>
        <v>Diabetes</v>
      </c>
      <c r="K948" t="str">
        <f>VLOOKUP(H948,Outcome!A$2:$B$7,2,FALSE)</f>
        <v>Recovered</v>
      </c>
      <c r="L948">
        <f t="shared" si="28"/>
        <v>23</v>
      </c>
      <c r="M948" t="str">
        <f>IF(Labs!E948&gt;120,"High","Normal")</f>
        <v>High</v>
      </c>
      <c r="N948" t="str">
        <f t="shared" si="29"/>
        <v>low risk</v>
      </c>
    </row>
    <row r="949" spans="1:14" x14ac:dyDescent="0.3">
      <c r="A949">
        <v>948</v>
      </c>
      <c r="B949" t="s">
        <v>90</v>
      </c>
      <c r="C949">
        <v>21</v>
      </c>
      <c r="D949" t="s">
        <v>10</v>
      </c>
      <c r="E949">
        <v>2</v>
      </c>
      <c r="F949" s="1">
        <v>46187</v>
      </c>
      <c r="G949" s="1">
        <v>46200</v>
      </c>
      <c r="H949">
        <v>5</v>
      </c>
      <c r="I949" s="3">
        <v>90136.2</v>
      </c>
      <c r="J949" t="str">
        <f>VLOOKUP(H949,Diagnosis!$A:$B,2,FALSE)</f>
        <v>Heart Disease</v>
      </c>
      <c r="K949" t="str">
        <f>VLOOKUP(H949,Outcome!A$2:$B$7,2,FALSE)</f>
        <v>Readmitted</v>
      </c>
      <c r="L949">
        <f t="shared" si="28"/>
        <v>13</v>
      </c>
      <c r="M949" t="str">
        <f>IF(Labs!E949&gt;120,"High","Normal")</f>
        <v>High</v>
      </c>
      <c r="N949" t="str">
        <f t="shared" si="29"/>
        <v>High Risk</v>
      </c>
    </row>
    <row r="950" spans="1:14" x14ac:dyDescent="0.3">
      <c r="A950">
        <v>949</v>
      </c>
      <c r="B950" t="s">
        <v>470</v>
      </c>
      <c r="C950">
        <v>72</v>
      </c>
      <c r="D950" t="s">
        <v>17</v>
      </c>
      <c r="E950">
        <v>1</v>
      </c>
      <c r="F950" s="1">
        <v>45296</v>
      </c>
      <c r="G950" s="1">
        <v>45324</v>
      </c>
      <c r="H950">
        <v>1</v>
      </c>
      <c r="I950" s="3">
        <v>122654.69</v>
      </c>
      <c r="J950" t="str">
        <f>VLOOKUP(H950,Diagnosis!$A:$B,2,FALSE)</f>
        <v>Diabetes</v>
      </c>
      <c r="K950" t="str">
        <f>VLOOKUP(H950,Outcome!A$2:$B$7,2,FALSE)</f>
        <v>Recovered</v>
      </c>
      <c r="L950">
        <f t="shared" si="28"/>
        <v>28</v>
      </c>
      <c r="M950" t="str">
        <f>IF(Labs!E950&gt;120,"High","Normal")</f>
        <v>High</v>
      </c>
      <c r="N950" t="str">
        <f t="shared" si="29"/>
        <v>High Risk</v>
      </c>
    </row>
    <row r="951" spans="1:14" x14ac:dyDescent="0.3">
      <c r="A951">
        <v>950</v>
      </c>
      <c r="B951" t="s">
        <v>376</v>
      </c>
      <c r="C951">
        <v>5</v>
      </c>
      <c r="D951" t="s">
        <v>17</v>
      </c>
      <c r="E951">
        <v>6</v>
      </c>
      <c r="F951" s="1">
        <v>45443</v>
      </c>
      <c r="G951" s="1">
        <v>45446</v>
      </c>
      <c r="H951">
        <v>2</v>
      </c>
      <c r="I951" s="3">
        <v>23922.13</v>
      </c>
      <c r="J951" t="str">
        <f>VLOOKUP(H951,Diagnosis!$A:$B,2,FALSE)</f>
        <v>Hypertension</v>
      </c>
      <c r="K951" t="str">
        <f>VLOOKUP(H951,Outcome!A$2:$B$7,2,FALSE)</f>
        <v>Improved</v>
      </c>
      <c r="L951">
        <f t="shared" si="28"/>
        <v>3</v>
      </c>
      <c r="M951" t="str">
        <f>IF(Labs!E951&gt;120,"High","Normal")</f>
        <v>High</v>
      </c>
      <c r="N951" t="str">
        <f t="shared" si="29"/>
        <v>High Risk</v>
      </c>
    </row>
    <row r="952" spans="1:14" x14ac:dyDescent="0.3">
      <c r="A952">
        <v>951</v>
      </c>
      <c r="B952" t="s">
        <v>564</v>
      </c>
      <c r="C952">
        <v>34</v>
      </c>
      <c r="D952" t="s">
        <v>10</v>
      </c>
      <c r="E952">
        <v>6</v>
      </c>
      <c r="F952" s="1">
        <v>46137</v>
      </c>
      <c r="G952" s="1">
        <v>46138</v>
      </c>
      <c r="H952">
        <v>4</v>
      </c>
      <c r="I952" s="3">
        <v>101371.47</v>
      </c>
      <c r="J952" t="str">
        <f>VLOOKUP(H952,Diagnosis!$A:$B,2,FALSE)</f>
        <v>Pneumonia</v>
      </c>
      <c r="K952" t="str">
        <f>VLOOKUP(H952,Outcome!A$2:$B$7,2,FALSE)</f>
        <v>Referred</v>
      </c>
      <c r="L952">
        <f t="shared" si="28"/>
        <v>1</v>
      </c>
      <c r="M952" t="str">
        <f>IF(Labs!E952&gt;120,"High","Normal")</f>
        <v>High</v>
      </c>
      <c r="N952" t="str">
        <f t="shared" si="29"/>
        <v>High Risk</v>
      </c>
    </row>
    <row r="953" spans="1:14" x14ac:dyDescent="0.3">
      <c r="A953">
        <v>952</v>
      </c>
      <c r="B953" t="s">
        <v>565</v>
      </c>
      <c r="C953">
        <v>78</v>
      </c>
      <c r="D953" t="s">
        <v>17</v>
      </c>
      <c r="E953">
        <v>1</v>
      </c>
      <c r="F953" s="1">
        <v>45458</v>
      </c>
      <c r="G953" s="1">
        <v>45483</v>
      </c>
      <c r="H953">
        <v>2</v>
      </c>
      <c r="I953" s="3">
        <v>151883.46</v>
      </c>
      <c r="J953" t="str">
        <f>VLOOKUP(H953,Diagnosis!$A:$B,2,FALSE)</f>
        <v>Hypertension</v>
      </c>
      <c r="K953" t="str">
        <f>VLOOKUP(H953,Outcome!A$2:$B$7,2,FALSE)</f>
        <v>Improved</v>
      </c>
      <c r="L953">
        <f t="shared" si="28"/>
        <v>25</v>
      </c>
      <c r="M953" t="str">
        <f>IF(Labs!E953&gt;120,"High","Normal")</f>
        <v>High</v>
      </c>
      <c r="N953" t="str">
        <f t="shared" si="29"/>
        <v>High Risk</v>
      </c>
    </row>
    <row r="954" spans="1:14" x14ac:dyDescent="0.3">
      <c r="A954">
        <v>953</v>
      </c>
      <c r="B954" t="s">
        <v>566</v>
      </c>
      <c r="C954">
        <v>79</v>
      </c>
      <c r="D954" t="s">
        <v>17</v>
      </c>
      <c r="E954">
        <v>9</v>
      </c>
      <c r="F954" s="1">
        <v>44647</v>
      </c>
      <c r="G954" s="1">
        <v>44663</v>
      </c>
      <c r="H954">
        <v>1</v>
      </c>
      <c r="I954" s="3">
        <v>114311.89</v>
      </c>
      <c r="J954" t="str">
        <f>VLOOKUP(H954,Diagnosis!$A:$B,2,FALSE)</f>
        <v>Diabetes</v>
      </c>
      <c r="K954" t="str">
        <f>VLOOKUP(H954,Outcome!A$2:$B$7,2,FALSE)</f>
        <v>Recovered</v>
      </c>
      <c r="L954">
        <f t="shared" si="28"/>
        <v>16</v>
      </c>
      <c r="M954" t="str">
        <f>IF(Labs!E954&gt;120,"High","Normal")</f>
        <v>High</v>
      </c>
      <c r="N954" t="str">
        <f t="shared" si="29"/>
        <v>High Risk</v>
      </c>
    </row>
    <row r="955" spans="1:14" x14ac:dyDescent="0.3">
      <c r="A955">
        <v>954</v>
      </c>
      <c r="B955" t="s">
        <v>85</v>
      </c>
      <c r="C955">
        <v>21</v>
      </c>
      <c r="D955" t="s">
        <v>10</v>
      </c>
      <c r="E955">
        <v>8</v>
      </c>
      <c r="F955" s="1">
        <v>46122</v>
      </c>
      <c r="G955" s="1">
        <v>46138</v>
      </c>
      <c r="H955">
        <v>2</v>
      </c>
      <c r="I955" s="3">
        <v>157012.46</v>
      </c>
      <c r="J955" t="str">
        <f>VLOOKUP(H955,Diagnosis!$A:$B,2,FALSE)</f>
        <v>Hypertension</v>
      </c>
      <c r="K955" t="str">
        <f>VLOOKUP(H955,Outcome!A$2:$B$7,2,FALSE)</f>
        <v>Improved</v>
      </c>
      <c r="L955">
        <f t="shared" si="28"/>
        <v>16</v>
      </c>
      <c r="M955" t="str">
        <f>IF(Labs!E955&gt;120,"High","Normal")</f>
        <v>High</v>
      </c>
      <c r="N955" t="str">
        <f t="shared" si="29"/>
        <v>High Risk</v>
      </c>
    </row>
    <row r="956" spans="1:14" x14ac:dyDescent="0.3">
      <c r="A956">
        <v>955</v>
      </c>
      <c r="B956" t="s">
        <v>567</v>
      </c>
      <c r="C956">
        <v>43</v>
      </c>
      <c r="D956" t="s">
        <v>17</v>
      </c>
      <c r="E956">
        <v>2</v>
      </c>
      <c r="F956" s="1">
        <v>44975</v>
      </c>
      <c r="G956" s="1">
        <v>44989</v>
      </c>
      <c r="H956">
        <v>6</v>
      </c>
      <c r="I956" s="3">
        <v>139036.43</v>
      </c>
      <c r="J956" t="str">
        <f>VLOOKUP(H956,Diagnosis!$A:$B,2,FALSE)</f>
        <v>Kidney Disease</v>
      </c>
      <c r="K956" t="str">
        <f>VLOOKUP(H956,Outcome!A$2:$B$7,2,FALSE)</f>
        <v>Deceased</v>
      </c>
      <c r="L956">
        <f t="shared" si="28"/>
        <v>14</v>
      </c>
      <c r="M956" t="str">
        <f>IF(Labs!E956&gt;120,"High","Normal")</f>
        <v>High</v>
      </c>
      <c r="N956" t="str">
        <f t="shared" si="29"/>
        <v>High Risk</v>
      </c>
    </row>
    <row r="957" spans="1:14" x14ac:dyDescent="0.3">
      <c r="A957">
        <v>956</v>
      </c>
      <c r="B957" t="s">
        <v>353</v>
      </c>
      <c r="C957">
        <v>61</v>
      </c>
      <c r="D957" t="s">
        <v>10</v>
      </c>
      <c r="E957">
        <v>5</v>
      </c>
      <c r="F957" s="1">
        <v>45596</v>
      </c>
      <c r="G957" s="1">
        <v>45601</v>
      </c>
      <c r="H957">
        <v>1</v>
      </c>
      <c r="I957" s="3">
        <v>68607.45</v>
      </c>
      <c r="J957" t="str">
        <f>VLOOKUP(H957,Diagnosis!$A:$B,2,FALSE)</f>
        <v>Diabetes</v>
      </c>
      <c r="K957" t="str">
        <f>VLOOKUP(H957,Outcome!A$2:$B$7,2,FALSE)</f>
        <v>Recovered</v>
      </c>
      <c r="L957">
        <f t="shared" si="28"/>
        <v>5</v>
      </c>
      <c r="M957" t="str">
        <f>IF(Labs!E957&gt;120,"High","Normal")</f>
        <v>High</v>
      </c>
      <c r="N957" t="str">
        <f t="shared" si="29"/>
        <v>low risk</v>
      </c>
    </row>
    <row r="958" spans="1:14" x14ac:dyDescent="0.3">
      <c r="A958">
        <v>957</v>
      </c>
      <c r="B958" t="s">
        <v>308</v>
      </c>
      <c r="C958">
        <v>81</v>
      </c>
      <c r="D958" t="s">
        <v>17</v>
      </c>
      <c r="E958">
        <v>3</v>
      </c>
      <c r="F958" s="1">
        <v>46104</v>
      </c>
      <c r="G958" s="1">
        <v>46128</v>
      </c>
      <c r="H958">
        <v>2</v>
      </c>
      <c r="I958" s="3">
        <v>142230.79</v>
      </c>
      <c r="J958" t="str">
        <f>VLOOKUP(H958,Diagnosis!$A:$B,2,FALSE)</f>
        <v>Hypertension</v>
      </c>
      <c r="K958" t="str">
        <f>VLOOKUP(H958,Outcome!A$2:$B$7,2,FALSE)</f>
        <v>Improved</v>
      </c>
      <c r="L958">
        <f t="shared" si="28"/>
        <v>24</v>
      </c>
      <c r="M958" t="str">
        <f>IF(Labs!E958&gt;120,"High","Normal")</f>
        <v>High</v>
      </c>
      <c r="N958" t="str">
        <f t="shared" si="29"/>
        <v>High Risk</v>
      </c>
    </row>
    <row r="959" spans="1:14" x14ac:dyDescent="0.3">
      <c r="A959">
        <v>958</v>
      </c>
      <c r="B959" t="s">
        <v>233</v>
      </c>
      <c r="C959">
        <v>53</v>
      </c>
      <c r="D959" t="s">
        <v>10</v>
      </c>
      <c r="E959">
        <v>8</v>
      </c>
      <c r="F959" s="1">
        <v>45619</v>
      </c>
      <c r="G959" s="1">
        <v>45644</v>
      </c>
      <c r="H959">
        <v>3</v>
      </c>
      <c r="I959" s="3">
        <v>170013.9</v>
      </c>
      <c r="J959" t="str">
        <f>VLOOKUP(H959,Diagnosis!$A:$B,2,FALSE)</f>
        <v>Asthma</v>
      </c>
      <c r="K959" t="str">
        <f>VLOOKUP(H959,Outcome!A$2:$B$7,2,FALSE)</f>
        <v>Ongoing Treatment</v>
      </c>
      <c r="L959">
        <f t="shared" si="28"/>
        <v>25</v>
      </c>
      <c r="M959" t="str">
        <f>IF(Labs!E959&gt;120,"High","Normal")</f>
        <v>High</v>
      </c>
      <c r="N959" t="str">
        <f t="shared" si="29"/>
        <v>High Risk</v>
      </c>
    </row>
    <row r="960" spans="1:14" x14ac:dyDescent="0.3">
      <c r="A960">
        <v>959</v>
      </c>
      <c r="B960" t="s">
        <v>568</v>
      </c>
      <c r="C960">
        <v>2</v>
      </c>
      <c r="D960" t="s">
        <v>17</v>
      </c>
      <c r="E960">
        <v>2</v>
      </c>
      <c r="F960" s="1">
        <v>45254</v>
      </c>
      <c r="G960" s="1">
        <v>45264</v>
      </c>
      <c r="H960">
        <v>2</v>
      </c>
      <c r="I960" s="3">
        <v>139596.14000000001</v>
      </c>
      <c r="J960" t="str">
        <f>VLOOKUP(H960,Diagnosis!$A:$B,2,FALSE)</f>
        <v>Hypertension</v>
      </c>
      <c r="K960" t="str">
        <f>VLOOKUP(H960,Outcome!A$2:$B$7,2,FALSE)</f>
        <v>Improved</v>
      </c>
      <c r="L960">
        <f t="shared" si="28"/>
        <v>10</v>
      </c>
      <c r="M960" t="str">
        <f>IF(Labs!E960&gt;120,"High","Normal")</f>
        <v>High</v>
      </c>
      <c r="N960" t="str">
        <f t="shared" si="29"/>
        <v>High Risk</v>
      </c>
    </row>
    <row r="961" spans="1:14" x14ac:dyDescent="0.3">
      <c r="A961">
        <v>960</v>
      </c>
      <c r="B961" t="s">
        <v>569</v>
      </c>
      <c r="C961">
        <v>51</v>
      </c>
      <c r="D961" t="s">
        <v>17</v>
      </c>
      <c r="E961">
        <v>3</v>
      </c>
      <c r="F961" s="1">
        <v>45738</v>
      </c>
      <c r="G961" s="1">
        <v>45739</v>
      </c>
      <c r="H961">
        <v>6</v>
      </c>
      <c r="I961" s="3">
        <v>176458.36</v>
      </c>
      <c r="J961" t="str">
        <f>VLOOKUP(H961,Diagnosis!$A:$B,2,FALSE)</f>
        <v>Kidney Disease</v>
      </c>
      <c r="K961" t="str">
        <f>VLOOKUP(H961,Outcome!A$2:$B$7,2,FALSE)</f>
        <v>Deceased</v>
      </c>
      <c r="L961">
        <f t="shared" si="28"/>
        <v>1</v>
      </c>
      <c r="M961" t="str">
        <f>IF(Labs!E961&gt;120,"High","Normal")</f>
        <v>High</v>
      </c>
      <c r="N961" t="str">
        <f t="shared" si="29"/>
        <v>High Risk</v>
      </c>
    </row>
    <row r="962" spans="1:14" x14ac:dyDescent="0.3">
      <c r="A962">
        <v>961</v>
      </c>
      <c r="B962" t="s">
        <v>138</v>
      </c>
      <c r="C962">
        <v>54</v>
      </c>
      <c r="D962" t="s">
        <v>10</v>
      </c>
      <c r="E962">
        <v>9</v>
      </c>
      <c r="F962" s="1">
        <v>45185</v>
      </c>
      <c r="G962" s="1">
        <v>45208</v>
      </c>
      <c r="H962">
        <v>3</v>
      </c>
      <c r="I962" s="3">
        <v>163888.48000000001</v>
      </c>
      <c r="J962" t="str">
        <f>VLOOKUP(H962,Diagnosis!$A:$B,2,FALSE)</f>
        <v>Asthma</v>
      </c>
      <c r="K962" t="str">
        <f>VLOOKUP(H962,Outcome!A$2:$B$7,2,FALSE)</f>
        <v>Ongoing Treatment</v>
      </c>
      <c r="L962">
        <f t="shared" si="28"/>
        <v>23</v>
      </c>
      <c r="M962" t="str">
        <f>IF(Labs!E962&gt;120,"High","Normal")</f>
        <v>High</v>
      </c>
      <c r="N962" t="str">
        <f t="shared" si="29"/>
        <v>High Risk</v>
      </c>
    </row>
    <row r="963" spans="1:14" x14ac:dyDescent="0.3">
      <c r="A963">
        <v>962</v>
      </c>
      <c r="B963" t="s">
        <v>570</v>
      </c>
      <c r="C963">
        <v>68</v>
      </c>
      <c r="D963" t="s">
        <v>17</v>
      </c>
      <c r="E963">
        <v>7</v>
      </c>
      <c r="F963" s="1">
        <v>45475</v>
      </c>
      <c r="G963" s="1">
        <v>45495</v>
      </c>
      <c r="H963">
        <v>1</v>
      </c>
      <c r="I963" s="3">
        <v>99135.49</v>
      </c>
      <c r="J963" t="str">
        <f>VLOOKUP(H963,Diagnosis!$A:$B,2,FALSE)</f>
        <v>Diabetes</v>
      </c>
      <c r="K963" t="str">
        <f>VLOOKUP(H963,Outcome!A$2:$B$7,2,FALSE)</f>
        <v>Recovered</v>
      </c>
      <c r="L963">
        <f t="shared" ref="L963:L1001" si="30">DATEDIF(F963,G963,"d")</f>
        <v>20</v>
      </c>
      <c r="M963" t="str">
        <f>IF(Labs!E963&gt;120,"High","Normal")</f>
        <v>High</v>
      </c>
      <c r="N963" t="str">
        <f t="shared" si="29"/>
        <v>High Risk</v>
      </c>
    </row>
    <row r="964" spans="1:14" x14ac:dyDescent="0.3">
      <c r="A964">
        <v>963</v>
      </c>
      <c r="B964" t="s">
        <v>157</v>
      </c>
      <c r="C964">
        <v>90</v>
      </c>
      <c r="D964" t="s">
        <v>10</v>
      </c>
      <c r="E964">
        <v>7</v>
      </c>
      <c r="F964" s="1">
        <v>46150</v>
      </c>
      <c r="G964" s="1">
        <v>46156</v>
      </c>
      <c r="H964">
        <v>5</v>
      </c>
      <c r="I964" s="3">
        <v>17459.86</v>
      </c>
      <c r="J964" t="str">
        <f>VLOOKUP(H964,Diagnosis!$A:$B,2,FALSE)</f>
        <v>Heart Disease</v>
      </c>
      <c r="K964" t="str">
        <f>VLOOKUP(H964,Outcome!A$2:$B$7,2,FALSE)</f>
        <v>Readmitted</v>
      </c>
      <c r="L964">
        <f t="shared" si="30"/>
        <v>6</v>
      </c>
      <c r="M964" t="str">
        <f>IF(Labs!E964&gt;120,"High","Normal")</f>
        <v>High</v>
      </c>
      <c r="N964" t="str">
        <f t="shared" ref="N964:N1000" si="31">IF(OR(C964&gt;65,H964&lt;&gt;1),"High Risk","low risk")</f>
        <v>High Risk</v>
      </c>
    </row>
    <row r="965" spans="1:14" x14ac:dyDescent="0.3">
      <c r="A965">
        <v>964</v>
      </c>
      <c r="B965" t="s">
        <v>179</v>
      </c>
      <c r="C965">
        <v>50</v>
      </c>
      <c r="D965" t="s">
        <v>17</v>
      </c>
      <c r="E965">
        <v>9</v>
      </c>
      <c r="F965" s="1">
        <v>45669</v>
      </c>
      <c r="G965" s="1">
        <v>45678</v>
      </c>
      <c r="H965">
        <v>1</v>
      </c>
      <c r="I965" s="3">
        <v>93321.71</v>
      </c>
      <c r="J965" t="str">
        <f>VLOOKUP(H965,Diagnosis!$A:$B,2,FALSE)</f>
        <v>Diabetes</v>
      </c>
      <c r="K965" t="str">
        <f>VLOOKUP(H965,Outcome!A$2:$B$7,2,FALSE)</f>
        <v>Recovered</v>
      </c>
      <c r="L965">
        <f t="shared" si="30"/>
        <v>9</v>
      </c>
      <c r="M965" t="str">
        <f>IF(Labs!E965&gt;120,"High","Normal")</f>
        <v>High</v>
      </c>
      <c r="N965" t="str">
        <f t="shared" si="31"/>
        <v>low risk</v>
      </c>
    </row>
    <row r="966" spans="1:14" x14ac:dyDescent="0.3">
      <c r="A966">
        <v>965</v>
      </c>
      <c r="B966" t="s">
        <v>181</v>
      </c>
      <c r="C966">
        <v>44</v>
      </c>
      <c r="D966" t="s">
        <v>17</v>
      </c>
      <c r="E966">
        <v>1</v>
      </c>
      <c r="F966" s="1">
        <v>44619</v>
      </c>
      <c r="G966" s="1">
        <v>44647</v>
      </c>
      <c r="H966">
        <v>4</v>
      </c>
      <c r="I966" s="3">
        <v>107669.39</v>
      </c>
      <c r="J966" t="str">
        <f>VLOOKUP(H966,Diagnosis!$A:$B,2,FALSE)</f>
        <v>Pneumonia</v>
      </c>
      <c r="K966" t="str">
        <f>VLOOKUP(H966,Outcome!A$2:$B$7,2,FALSE)</f>
        <v>Referred</v>
      </c>
      <c r="L966">
        <f t="shared" si="30"/>
        <v>28</v>
      </c>
      <c r="M966" t="str">
        <f>IF(Labs!E966&gt;120,"High","Normal")</f>
        <v>High</v>
      </c>
      <c r="N966" t="str">
        <f t="shared" si="31"/>
        <v>High Risk</v>
      </c>
    </row>
    <row r="967" spans="1:14" x14ac:dyDescent="0.3">
      <c r="A967">
        <v>966</v>
      </c>
      <c r="B967" t="s">
        <v>284</v>
      </c>
      <c r="C967">
        <v>93</v>
      </c>
      <c r="D967" t="s">
        <v>10</v>
      </c>
      <c r="E967">
        <v>9</v>
      </c>
      <c r="F967" s="1">
        <v>44788</v>
      </c>
      <c r="G967" s="1">
        <v>44811</v>
      </c>
      <c r="H967">
        <v>1</v>
      </c>
      <c r="I967" s="3">
        <v>68703.75</v>
      </c>
      <c r="J967" t="str">
        <f>VLOOKUP(H967,Diagnosis!$A:$B,2,FALSE)</f>
        <v>Diabetes</v>
      </c>
      <c r="K967" t="str">
        <f>VLOOKUP(H967,Outcome!A$2:$B$7,2,FALSE)</f>
        <v>Recovered</v>
      </c>
      <c r="L967">
        <f t="shared" si="30"/>
        <v>23</v>
      </c>
      <c r="M967" t="str">
        <f>IF(Labs!E967&gt;120,"High","Normal")</f>
        <v>High</v>
      </c>
      <c r="N967" t="str">
        <f t="shared" si="31"/>
        <v>High Risk</v>
      </c>
    </row>
    <row r="968" spans="1:14" x14ac:dyDescent="0.3">
      <c r="A968">
        <v>967</v>
      </c>
      <c r="B968" t="s">
        <v>174</v>
      </c>
      <c r="C968">
        <v>16</v>
      </c>
      <c r="D968" t="s">
        <v>17</v>
      </c>
      <c r="E968">
        <v>2</v>
      </c>
      <c r="F968" s="1">
        <v>45481</v>
      </c>
      <c r="G968" s="1">
        <v>45490</v>
      </c>
      <c r="H968">
        <v>2</v>
      </c>
      <c r="I968" s="3">
        <v>3425.38</v>
      </c>
      <c r="J968" t="str">
        <f>VLOOKUP(H968,Diagnosis!$A:$B,2,FALSE)</f>
        <v>Hypertension</v>
      </c>
      <c r="K968" t="str">
        <f>VLOOKUP(H968,Outcome!A$2:$B$7,2,FALSE)</f>
        <v>Improved</v>
      </c>
      <c r="L968">
        <f t="shared" si="30"/>
        <v>9</v>
      </c>
      <c r="M968" t="str">
        <f>IF(Labs!E968&gt;120,"High","Normal")</f>
        <v>High</v>
      </c>
      <c r="N968" t="str">
        <f t="shared" si="31"/>
        <v>High Risk</v>
      </c>
    </row>
    <row r="969" spans="1:14" x14ac:dyDescent="0.3">
      <c r="A969">
        <v>968</v>
      </c>
      <c r="B969" t="s">
        <v>333</v>
      </c>
      <c r="C969">
        <v>75</v>
      </c>
      <c r="D969" t="s">
        <v>17</v>
      </c>
      <c r="E969">
        <v>6</v>
      </c>
      <c r="F969" s="1">
        <v>45174</v>
      </c>
      <c r="G969" s="1">
        <v>45183</v>
      </c>
      <c r="H969">
        <v>3</v>
      </c>
      <c r="I969" s="3">
        <v>147176.56</v>
      </c>
      <c r="J969" t="str">
        <f>VLOOKUP(H969,Diagnosis!$A:$B,2,FALSE)</f>
        <v>Asthma</v>
      </c>
      <c r="K969" t="str">
        <f>VLOOKUP(H969,Outcome!A$2:$B$7,2,FALSE)</f>
        <v>Ongoing Treatment</v>
      </c>
      <c r="L969">
        <f t="shared" si="30"/>
        <v>9</v>
      </c>
      <c r="M969" t="str">
        <f>IF(Labs!E969&gt;120,"High","Normal")</f>
        <v>High</v>
      </c>
      <c r="N969" t="str">
        <f t="shared" si="31"/>
        <v>High Risk</v>
      </c>
    </row>
    <row r="970" spans="1:14" x14ac:dyDescent="0.3">
      <c r="A970">
        <v>969</v>
      </c>
      <c r="B970" t="s">
        <v>467</v>
      </c>
      <c r="C970">
        <v>92</v>
      </c>
      <c r="D970" t="s">
        <v>10</v>
      </c>
      <c r="E970">
        <v>9</v>
      </c>
      <c r="F970" s="1">
        <v>46072</v>
      </c>
      <c r="G970" s="1">
        <v>46079</v>
      </c>
      <c r="H970">
        <v>1</v>
      </c>
      <c r="I970" s="3">
        <v>94170.2</v>
      </c>
      <c r="J970" t="str">
        <f>VLOOKUP(H970,Diagnosis!$A:$B,2,FALSE)</f>
        <v>Diabetes</v>
      </c>
      <c r="K970" t="str">
        <f>VLOOKUP(H970,Outcome!A$2:$B$7,2,FALSE)</f>
        <v>Recovered</v>
      </c>
      <c r="L970">
        <f t="shared" si="30"/>
        <v>7</v>
      </c>
      <c r="M970" t="str">
        <f>IF(Labs!E970&gt;120,"High","Normal")</f>
        <v>High</v>
      </c>
      <c r="N970" t="str">
        <f t="shared" si="31"/>
        <v>High Risk</v>
      </c>
    </row>
    <row r="971" spans="1:14" x14ac:dyDescent="0.3">
      <c r="A971">
        <v>970</v>
      </c>
      <c r="B971" t="s">
        <v>426</v>
      </c>
      <c r="C971">
        <v>59</v>
      </c>
      <c r="D971" t="s">
        <v>17</v>
      </c>
      <c r="E971">
        <v>3</v>
      </c>
      <c r="F971" s="1">
        <v>46019</v>
      </c>
      <c r="G971" s="1">
        <v>46032</v>
      </c>
      <c r="H971">
        <v>4</v>
      </c>
      <c r="I971" s="3">
        <v>17045.62</v>
      </c>
      <c r="J971" t="str">
        <f>VLOOKUP(H971,Diagnosis!$A:$B,2,FALSE)</f>
        <v>Pneumonia</v>
      </c>
      <c r="K971" t="str">
        <f>VLOOKUP(H971,Outcome!A$2:$B$7,2,FALSE)</f>
        <v>Referred</v>
      </c>
      <c r="L971">
        <f t="shared" si="30"/>
        <v>13</v>
      </c>
      <c r="M971" t="str">
        <f>IF(Labs!E971&gt;120,"High","Normal")</f>
        <v>High</v>
      </c>
      <c r="N971" t="str">
        <f t="shared" si="31"/>
        <v>High Risk</v>
      </c>
    </row>
    <row r="972" spans="1:14" x14ac:dyDescent="0.3">
      <c r="A972">
        <v>971</v>
      </c>
      <c r="B972" t="s">
        <v>571</v>
      </c>
      <c r="C972">
        <v>17</v>
      </c>
      <c r="D972" t="s">
        <v>10</v>
      </c>
      <c r="E972">
        <v>4</v>
      </c>
      <c r="F972" s="1">
        <v>45475</v>
      </c>
      <c r="G972" s="1">
        <v>45477</v>
      </c>
      <c r="H972">
        <v>2</v>
      </c>
      <c r="I972" s="3">
        <v>95910.37</v>
      </c>
      <c r="J972" t="str">
        <f>VLOOKUP(H972,Diagnosis!$A:$B,2,FALSE)</f>
        <v>Hypertension</v>
      </c>
      <c r="K972" t="str">
        <f>VLOOKUP(H972,Outcome!A$2:$B$7,2,FALSE)</f>
        <v>Improved</v>
      </c>
      <c r="L972">
        <f t="shared" si="30"/>
        <v>2</v>
      </c>
      <c r="M972" t="str">
        <f>IF(Labs!E972&gt;120,"High","Normal")</f>
        <v>High</v>
      </c>
      <c r="N972" t="str">
        <f t="shared" si="31"/>
        <v>High Risk</v>
      </c>
    </row>
    <row r="973" spans="1:14" x14ac:dyDescent="0.3">
      <c r="A973">
        <v>972</v>
      </c>
      <c r="B973" t="s">
        <v>139</v>
      </c>
      <c r="C973">
        <v>67</v>
      </c>
      <c r="D973" t="s">
        <v>10</v>
      </c>
      <c r="E973">
        <v>5</v>
      </c>
      <c r="F973" s="1">
        <v>45758</v>
      </c>
      <c r="G973" s="1">
        <v>45773</v>
      </c>
      <c r="H973">
        <v>2</v>
      </c>
      <c r="I973" s="3">
        <v>179380.84</v>
      </c>
      <c r="J973" t="str">
        <f>VLOOKUP(H973,Diagnosis!$A:$B,2,FALSE)</f>
        <v>Hypertension</v>
      </c>
      <c r="K973" t="str">
        <f>VLOOKUP(H973,Outcome!A$2:$B$7,2,FALSE)</f>
        <v>Improved</v>
      </c>
      <c r="L973">
        <f t="shared" si="30"/>
        <v>15</v>
      </c>
      <c r="M973" t="str">
        <f>IF(Labs!E973&gt;120,"High","Normal")</f>
        <v>High</v>
      </c>
      <c r="N973" t="str">
        <f t="shared" si="31"/>
        <v>High Risk</v>
      </c>
    </row>
    <row r="974" spans="1:14" x14ac:dyDescent="0.3">
      <c r="A974">
        <v>973</v>
      </c>
      <c r="B974" t="s">
        <v>489</v>
      </c>
      <c r="C974">
        <v>21</v>
      </c>
      <c r="D974" t="s">
        <v>17</v>
      </c>
      <c r="E974">
        <v>9</v>
      </c>
      <c r="F974" s="1">
        <v>44822</v>
      </c>
      <c r="G974" s="1">
        <v>44837</v>
      </c>
      <c r="H974">
        <v>3</v>
      </c>
      <c r="I974" s="3">
        <v>25465.87</v>
      </c>
      <c r="J974" t="str">
        <f>VLOOKUP(H974,Diagnosis!$A:$B,2,FALSE)</f>
        <v>Asthma</v>
      </c>
      <c r="K974" t="str">
        <f>VLOOKUP(H974,Outcome!A$2:$B$7,2,FALSE)</f>
        <v>Ongoing Treatment</v>
      </c>
      <c r="L974">
        <f t="shared" si="30"/>
        <v>15</v>
      </c>
      <c r="M974" t="str">
        <f>IF(Labs!E974&gt;120,"High","Normal")</f>
        <v>High</v>
      </c>
      <c r="N974" t="str">
        <f t="shared" si="31"/>
        <v>High Risk</v>
      </c>
    </row>
    <row r="975" spans="1:14" x14ac:dyDescent="0.3">
      <c r="A975">
        <v>974</v>
      </c>
      <c r="B975" t="s">
        <v>572</v>
      </c>
      <c r="C975">
        <v>16</v>
      </c>
      <c r="D975" t="s">
        <v>17</v>
      </c>
      <c r="E975">
        <v>8</v>
      </c>
      <c r="F975" s="1">
        <v>45531</v>
      </c>
      <c r="G975" s="1">
        <v>45532</v>
      </c>
      <c r="H975">
        <v>3</v>
      </c>
      <c r="I975" s="3">
        <v>170072.35</v>
      </c>
      <c r="J975" t="str">
        <f>VLOOKUP(H975,Diagnosis!$A:$B,2,FALSE)</f>
        <v>Asthma</v>
      </c>
      <c r="K975" t="str">
        <f>VLOOKUP(H975,Outcome!A$2:$B$7,2,FALSE)</f>
        <v>Ongoing Treatment</v>
      </c>
      <c r="L975">
        <f t="shared" si="30"/>
        <v>1</v>
      </c>
      <c r="M975" t="str">
        <f>IF(Labs!E975&gt;120,"High","Normal")</f>
        <v>High</v>
      </c>
      <c r="N975" t="str">
        <f t="shared" si="31"/>
        <v>High Risk</v>
      </c>
    </row>
    <row r="976" spans="1:14" x14ac:dyDescent="0.3">
      <c r="A976">
        <v>975</v>
      </c>
      <c r="B976" t="s">
        <v>397</v>
      </c>
      <c r="C976">
        <v>78</v>
      </c>
      <c r="D976" t="s">
        <v>10</v>
      </c>
      <c r="E976">
        <v>2</v>
      </c>
      <c r="F976" s="1">
        <v>44809</v>
      </c>
      <c r="G976" s="1">
        <v>44820</v>
      </c>
      <c r="H976">
        <v>2</v>
      </c>
      <c r="I976" s="3">
        <v>9650.08</v>
      </c>
      <c r="J976" t="str">
        <f>VLOOKUP(H976,Diagnosis!$A:$B,2,FALSE)</f>
        <v>Hypertension</v>
      </c>
      <c r="K976" t="str">
        <f>VLOOKUP(H976,Outcome!A$2:$B$7,2,FALSE)</f>
        <v>Improved</v>
      </c>
      <c r="L976">
        <f t="shared" si="30"/>
        <v>11</v>
      </c>
      <c r="M976" t="str">
        <f>IF(Labs!E976&gt;120,"High","Normal")</f>
        <v>High</v>
      </c>
      <c r="N976" t="str">
        <f t="shared" si="31"/>
        <v>High Risk</v>
      </c>
    </row>
    <row r="977" spans="1:14" x14ac:dyDescent="0.3">
      <c r="A977">
        <v>976</v>
      </c>
      <c r="B977" t="s">
        <v>439</v>
      </c>
      <c r="C977">
        <v>48</v>
      </c>
      <c r="D977" t="s">
        <v>10</v>
      </c>
      <c r="E977">
        <v>6</v>
      </c>
      <c r="F977" s="1">
        <v>45183</v>
      </c>
      <c r="G977" s="1">
        <v>45192</v>
      </c>
      <c r="H977">
        <v>2</v>
      </c>
      <c r="I977" s="3">
        <v>142938.66</v>
      </c>
      <c r="J977" t="str">
        <f>VLOOKUP(H977,Diagnosis!$A:$B,2,FALSE)</f>
        <v>Hypertension</v>
      </c>
      <c r="K977" t="str">
        <f>VLOOKUP(H977,Outcome!A$2:$B$7,2,FALSE)</f>
        <v>Improved</v>
      </c>
      <c r="L977">
        <f t="shared" si="30"/>
        <v>9</v>
      </c>
      <c r="M977" t="str">
        <f>IF(Labs!E977&gt;120,"High","Normal")</f>
        <v>High</v>
      </c>
      <c r="N977" t="str">
        <f t="shared" si="31"/>
        <v>High Risk</v>
      </c>
    </row>
    <row r="978" spans="1:14" x14ac:dyDescent="0.3">
      <c r="A978">
        <v>977</v>
      </c>
      <c r="B978" t="s">
        <v>573</v>
      </c>
      <c r="C978">
        <v>54</v>
      </c>
      <c r="D978" t="s">
        <v>17</v>
      </c>
      <c r="E978">
        <v>5</v>
      </c>
      <c r="F978" s="1">
        <v>45142</v>
      </c>
      <c r="G978" s="1">
        <v>45148</v>
      </c>
      <c r="H978">
        <v>1</v>
      </c>
      <c r="I978" s="3">
        <v>133789.71</v>
      </c>
      <c r="J978" t="str">
        <f>VLOOKUP(H978,Diagnosis!$A:$B,2,FALSE)</f>
        <v>Diabetes</v>
      </c>
      <c r="K978" t="str">
        <f>VLOOKUP(H978,Outcome!A$2:$B$7,2,FALSE)</f>
        <v>Recovered</v>
      </c>
      <c r="L978">
        <f t="shared" si="30"/>
        <v>6</v>
      </c>
      <c r="M978" t="str">
        <f>IF(Labs!E978&gt;120,"High","Normal")</f>
        <v>High</v>
      </c>
      <c r="N978" t="str">
        <f t="shared" si="31"/>
        <v>low risk</v>
      </c>
    </row>
    <row r="979" spans="1:14" x14ac:dyDescent="0.3">
      <c r="A979">
        <v>978</v>
      </c>
      <c r="B979" t="s">
        <v>51</v>
      </c>
      <c r="C979">
        <v>71</v>
      </c>
      <c r="D979" t="s">
        <v>10</v>
      </c>
      <c r="E979">
        <v>2</v>
      </c>
      <c r="F979" s="1">
        <v>44653</v>
      </c>
      <c r="G979" s="1">
        <v>44666</v>
      </c>
      <c r="H979">
        <v>2</v>
      </c>
      <c r="I979" s="3">
        <v>57472.08</v>
      </c>
      <c r="J979" t="str">
        <f>VLOOKUP(H979,Diagnosis!$A:$B,2,FALSE)</f>
        <v>Hypertension</v>
      </c>
      <c r="K979" t="str">
        <f>VLOOKUP(H979,Outcome!A$2:$B$7,2,FALSE)</f>
        <v>Improved</v>
      </c>
      <c r="L979">
        <f t="shared" si="30"/>
        <v>13</v>
      </c>
      <c r="M979" t="str">
        <f>IF(Labs!E979&gt;120,"High","Normal")</f>
        <v>High</v>
      </c>
      <c r="N979" t="str">
        <f t="shared" si="31"/>
        <v>High Risk</v>
      </c>
    </row>
    <row r="980" spans="1:14" x14ac:dyDescent="0.3">
      <c r="A980">
        <v>979</v>
      </c>
      <c r="B980" t="s">
        <v>213</v>
      </c>
      <c r="C980">
        <v>49</v>
      </c>
      <c r="D980" t="s">
        <v>10</v>
      </c>
      <c r="E980">
        <v>10</v>
      </c>
      <c r="F980" s="1">
        <v>44833</v>
      </c>
      <c r="G980" s="1">
        <v>44857</v>
      </c>
      <c r="H980">
        <v>1</v>
      </c>
      <c r="I980" s="3">
        <v>115471.7</v>
      </c>
      <c r="J980" t="str">
        <f>VLOOKUP(H980,Diagnosis!$A:$B,2,FALSE)</f>
        <v>Diabetes</v>
      </c>
      <c r="K980" t="str">
        <f>VLOOKUP(H980,Outcome!A$2:$B$7,2,FALSE)</f>
        <v>Recovered</v>
      </c>
      <c r="L980">
        <f t="shared" si="30"/>
        <v>24</v>
      </c>
      <c r="M980" t="str">
        <f>IF(Labs!E980&gt;120,"High","Normal")</f>
        <v>High</v>
      </c>
      <c r="N980" t="str">
        <f t="shared" si="31"/>
        <v>low risk</v>
      </c>
    </row>
    <row r="981" spans="1:14" x14ac:dyDescent="0.3">
      <c r="A981">
        <v>980</v>
      </c>
      <c r="B981" t="s">
        <v>369</v>
      </c>
      <c r="C981">
        <v>20</v>
      </c>
      <c r="D981" t="s">
        <v>10</v>
      </c>
      <c r="E981">
        <v>2</v>
      </c>
      <c r="F981" s="1">
        <v>46200</v>
      </c>
      <c r="G981" s="1">
        <v>46219</v>
      </c>
      <c r="H981">
        <v>3</v>
      </c>
      <c r="I981" s="3">
        <v>75209.03</v>
      </c>
      <c r="J981" t="str">
        <f>VLOOKUP(H981,Diagnosis!$A:$B,2,FALSE)</f>
        <v>Asthma</v>
      </c>
      <c r="K981" t="str">
        <f>VLOOKUP(H981,Outcome!A$2:$B$7,2,FALSE)</f>
        <v>Ongoing Treatment</v>
      </c>
      <c r="L981">
        <f t="shared" si="30"/>
        <v>19</v>
      </c>
      <c r="M981" t="str">
        <f>IF(Labs!E981&gt;120,"High","Normal")</f>
        <v>High</v>
      </c>
      <c r="N981" t="str">
        <f t="shared" si="31"/>
        <v>High Risk</v>
      </c>
    </row>
    <row r="982" spans="1:14" x14ac:dyDescent="0.3">
      <c r="A982">
        <v>981</v>
      </c>
      <c r="B982" t="s">
        <v>574</v>
      </c>
      <c r="C982">
        <v>44</v>
      </c>
      <c r="D982" t="s">
        <v>17</v>
      </c>
      <c r="E982">
        <v>8</v>
      </c>
      <c r="F982" s="1">
        <v>46069</v>
      </c>
      <c r="G982" s="1">
        <v>46077</v>
      </c>
      <c r="H982">
        <v>2</v>
      </c>
      <c r="I982" s="3">
        <v>156206.76</v>
      </c>
      <c r="J982" t="str">
        <f>VLOOKUP(H982,Diagnosis!$A:$B,2,FALSE)</f>
        <v>Hypertension</v>
      </c>
      <c r="K982" t="str">
        <f>VLOOKUP(H982,Outcome!A$2:$B$7,2,FALSE)</f>
        <v>Improved</v>
      </c>
      <c r="L982">
        <f t="shared" si="30"/>
        <v>8</v>
      </c>
      <c r="M982" t="str">
        <f>IF(Labs!E982&gt;120,"High","Normal")</f>
        <v>High</v>
      </c>
      <c r="N982" t="str">
        <f t="shared" si="31"/>
        <v>High Risk</v>
      </c>
    </row>
    <row r="983" spans="1:14" x14ac:dyDescent="0.3">
      <c r="A983">
        <v>982</v>
      </c>
      <c r="B983" t="s">
        <v>480</v>
      </c>
      <c r="C983">
        <v>81</v>
      </c>
      <c r="D983" t="s">
        <v>10</v>
      </c>
      <c r="E983">
        <v>9</v>
      </c>
      <c r="F983" s="1">
        <v>45883</v>
      </c>
      <c r="G983" s="1">
        <v>45886</v>
      </c>
      <c r="H983">
        <v>2</v>
      </c>
      <c r="I983" s="3">
        <v>17614.490000000002</v>
      </c>
      <c r="J983" t="str">
        <f>VLOOKUP(H983,Diagnosis!$A:$B,2,FALSE)</f>
        <v>Hypertension</v>
      </c>
      <c r="K983" t="str">
        <f>VLOOKUP(H983,Outcome!A$2:$B$7,2,FALSE)</f>
        <v>Improved</v>
      </c>
      <c r="L983">
        <f t="shared" si="30"/>
        <v>3</v>
      </c>
      <c r="M983" t="str">
        <f>IF(Labs!E983&gt;120,"High","Normal")</f>
        <v>High</v>
      </c>
      <c r="N983" t="str">
        <f t="shared" si="31"/>
        <v>High Risk</v>
      </c>
    </row>
    <row r="984" spans="1:14" x14ac:dyDescent="0.3">
      <c r="A984">
        <v>983</v>
      </c>
      <c r="B984" t="s">
        <v>575</v>
      </c>
      <c r="C984">
        <v>74</v>
      </c>
      <c r="D984" t="s">
        <v>17</v>
      </c>
      <c r="E984">
        <v>10</v>
      </c>
      <c r="F984" s="1">
        <v>45630</v>
      </c>
      <c r="G984" s="1">
        <v>45636</v>
      </c>
      <c r="H984">
        <v>3</v>
      </c>
      <c r="I984" s="3">
        <v>91718.39</v>
      </c>
      <c r="J984" t="str">
        <f>VLOOKUP(H984,Diagnosis!$A:$B,2,FALSE)</f>
        <v>Asthma</v>
      </c>
      <c r="K984" t="str">
        <f>VLOOKUP(H984,Outcome!A$2:$B$7,2,FALSE)</f>
        <v>Ongoing Treatment</v>
      </c>
      <c r="L984">
        <f t="shared" si="30"/>
        <v>6</v>
      </c>
      <c r="M984" t="str">
        <f>IF(Labs!E984&gt;120,"High","Normal")</f>
        <v>High</v>
      </c>
      <c r="N984" t="str">
        <f t="shared" si="31"/>
        <v>High Risk</v>
      </c>
    </row>
    <row r="985" spans="1:14" x14ac:dyDescent="0.3">
      <c r="A985">
        <v>984</v>
      </c>
      <c r="B985" t="s">
        <v>527</v>
      </c>
      <c r="C985">
        <v>85</v>
      </c>
      <c r="D985" t="s">
        <v>17</v>
      </c>
      <c r="E985">
        <v>1</v>
      </c>
      <c r="F985" s="1">
        <v>45125</v>
      </c>
      <c r="G985" s="1">
        <v>45150</v>
      </c>
      <c r="H985">
        <v>1</v>
      </c>
      <c r="I985" s="3">
        <v>149770.07</v>
      </c>
      <c r="J985" t="str">
        <f>VLOOKUP(H985,Diagnosis!$A:$B,2,FALSE)</f>
        <v>Diabetes</v>
      </c>
      <c r="K985" t="str">
        <f>VLOOKUP(H985,Outcome!A$2:$B$7,2,FALSE)</f>
        <v>Recovered</v>
      </c>
      <c r="L985">
        <f t="shared" si="30"/>
        <v>25</v>
      </c>
      <c r="M985" t="str">
        <f>IF(Labs!E985&gt;120,"High","Normal")</f>
        <v>High</v>
      </c>
      <c r="N985" t="str">
        <f t="shared" si="31"/>
        <v>High Risk</v>
      </c>
    </row>
    <row r="986" spans="1:14" x14ac:dyDescent="0.3">
      <c r="A986">
        <v>985</v>
      </c>
      <c r="B986" t="s">
        <v>559</v>
      </c>
      <c r="C986">
        <v>11</v>
      </c>
      <c r="D986" t="s">
        <v>10</v>
      </c>
      <c r="E986">
        <v>7</v>
      </c>
      <c r="F986" s="1">
        <v>45768</v>
      </c>
      <c r="G986" s="1">
        <v>45769</v>
      </c>
      <c r="H986">
        <v>2</v>
      </c>
      <c r="I986" s="3">
        <v>168258.16</v>
      </c>
      <c r="J986" t="str">
        <f>VLOOKUP(H986,Diagnosis!$A:$B,2,FALSE)</f>
        <v>Hypertension</v>
      </c>
      <c r="K986" t="str">
        <f>VLOOKUP(H986,Outcome!A$2:$B$7,2,FALSE)</f>
        <v>Improved</v>
      </c>
      <c r="L986">
        <f t="shared" si="30"/>
        <v>1</v>
      </c>
      <c r="M986" t="str">
        <f>IF(Labs!E986&gt;120,"High","Normal")</f>
        <v>High</v>
      </c>
      <c r="N986" t="str">
        <f t="shared" si="31"/>
        <v>High Risk</v>
      </c>
    </row>
    <row r="987" spans="1:14" x14ac:dyDescent="0.3">
      <c r="A987">
        <v>986</v>
      </c>
      <c r="B987" t="s">
        <v>272</v>
      </c>
      <c r="C987">
        <v>24</v>
      </c>
      <c r="D987" t="s">
        <v>10</v>
      </c>
      <c r="E987">
        <v>1</v>
      </c>
      <c r="F987" s="1">
        <v>45643</v>
      </c>
      <c r="G987" s="1">
        <v>45653</v>
      </c>
      <c r="H987">
        <v>2</v>
      </c>
      <c r="I987" s="3">
        <v>18656.95</v>
      </c>
      <c r="J987" t="str">
        <f>VLOOKUP(H987,Diagnosis!$A:$B,2,FALSE)</f>
        <v>Hypertension</v>
      </c>
      <c r="K987" t="str">
        <f>VLOOKUP(H987,Outcome!A$2:$B$7,2,FALSE)</f>
        <v>Improved</v>
      </c>
      <c r="L987">
        <f t="shared" si="30"/>
        <v>10</v>
      </c>
      <c r="M987" t="str">
        <f>IF(Labs!E987&gt;120,"High","Normal")</f>
        <v>High</v>
      </c>
      <c r="N987" t="str">
        <f t="shared" si="31"/>
        <v>High Risk</v>
      </c>
    </row>
    <row r="988" spans="1:14" x14ac:dyDescent="0.3">
      <c r="A988">
        <v>987</v>
      </c>
      <c r="B988" t="s">
        <v>402</v>
      </c>
      <c r="C988">
        <v>22</v>
      </c>
      <c r="D988" t="s">
        <v>10</v>
      </c>
      <c r="E988">
        <v>3</v>
      </c>
      <c r="F988" s="1">
        <v>44936</v>
      </c>
      <c r="G988" s="1">
        <v>44944</v>
      </c>
      <c r="H988">
        <v>3</v>
      </c>
      <c r="I988" s="3">
        <v>29875.360000000001</v>
      </c>
      <c r="J988" t="str">
        <f>VLOOKUP(H988,Diagnosis!$A:$B,2,FALSE)</f>
        <v>Asthma</v>
      </c>
      <c r="K988" t="str">
        <f>VLOOKUP(H988,Outcome!A$2:$B$7,2,FALSE)</f>
        <v>Ongoing Treatment</v>
      </c>
      <c r="L988">
        <f t="shared" si="30"/>
        <v>8</v>
      </c>
      <c r="M988" t="str">
        <f>IF(Labs!E988&gt;120,"High","Normal")</f>
        <v>High</v>
      </c>
      <c r="N988" t="str">
        <f t="shared" si="31"/>
        <v>High Risk</v>
      </c>
    </row>
    <row r="989" spans="1:14" x14ac:dyDescent="0.3">
      <c r="A989">
        <v>988</v>
      </c>
      <c r="B989" t="s">
        <v>172</v>
      </c>
      <c r="C989">
        <v>8</v>
      </c>
      <c r="D989" t="s">
        <v>10</v>
      </c>
      <c r="E989">
        <v>3</v>
      </c>
      <c r="F989" s="1">
        <v>44617</v>
      </c>
      <c r="G989" s="1">
        <v>44639</v>
      </c>
      <c r="H989">
        <v>1</v>
      </c>
      <c r="I989" s="3">
        <v>71714.3</v>
      </c>
      <c r="J989" t="str">
        <f>VLOOKUP(H989,Diagnosis!$A:$B,2,FALSE)</f>
        <v>Diabetes</v>
      </c>
      <c r="K989" t="str">
        <f>VLOOKUP(H989,Outcome!A$2:$B$7,2,FALSE)</f>
        <v>Recovered</v>
      </c>
      <c r="L989">
        <f t="shared" si="30"/>
        <v>22</v>
      </c>
      <c r="M989" t="str">
        <f>IF(Labs!E989&gt;120,"High","Normal")</f>
        <v>High</v>
      </c>
      <c r="N989" t="str">
        <f t="shared" si="31"/>
        <v>low risk</v>
      </c>
    </row>
    <row r="990" spans="1:14" x14ac:dyDescent="0.3">
      <c r="A990">
        <v>989</v>
      </c>
      <c r="B990" t="s">
        <v>576</v>
      </c>
      <c r="C990">
        <v>53</v>
      </c>
      <c r="D990" t="s">
        <v>10</v>
      </c>
      <c r="E990">
        <v>5</v>
      </c>
      <c r="F990" s="1">
        <v>45331</v>
      </c>
      <c r="G990" s="1">
        <v>45361</v>
      </c>
      <c r="H990">
        <v>4</v>
      </c>
      <c r="I990" s="3">
        <v>23971.51</v>
      </c>
      <c r="J990" t="str">
        <f>VLOOKUP(H990,Diagnosis!$A:$B,2,FALSE)</f>
        <v>Pneumonia</v>
      </c>
      <c r="K990" t="str">
        <f>VLOOKUP(H990,Outcome!A$2:$B$7,2,FALSE)</f>
        <v>Referred</v>
      </c>
      <c r="L990">
        <f t="shared" si="30"/>
        <v>30</v>
      </c>
      <c r="M990" t="str">
        <f>IF(Labs!E990&gt;120,"High","Normal")</f>
        <v>High</v>
      </c>
      <c r="N990" t="str">
        <f t="shared" si="31"/>
        <v>High Risk</v>
      </c>
    </row>
    <row r="991" spans="1:14" x14ac:dyDescent="0.3">
      <c r="A991">
        <v>990</v>
      </c>
      <c r="B991" t="s">
        <v>405</v>
      </c>
      <c r="C991">
        <v>77</v>
      </c>
      <c r="D991" t="s">
        <v>17</v>
      </c>
      <c r="E991">
        <v>8</v>
      </c>
      <c r="F991" s="1">
        <v>45603</v>
      </c>
      <c r="G991" s="1">
        <v>45627</v>
      </c>
      <c r="H991">
        <v>2</v>
      </c>
      <c r="I991" s="3">
        <v>171010.88</v>
      </c>
      <c r="J991" t="str">
        <f>VLOOKUP(H991,Diagnosis!$A:$B,2,FALSE)</f>
        <v>Hypertension</v>
      </c>
      <c r="K991" t="str">
        <f>VLOOKUP(H991,Outcome!A$2:$B$7,2,FALSE)</f>
        <v>Improved</v>
      </c>
      <c r="L991">
        <f t="shared" si="30"/>
        <v>24</v>
      </c>
      <c r="M991" t="str">
        <f>IF(Labs!E991&gt;120,"High","Normal")</f>
        <v>High</v>
      </c>
      <c r="N991" t="str">
        <f t="shared" si="31"/>
        <v>High Risk</v>
      </c>
    </row>
    <row r="992" spans="1:14" x14ac:dyDescent="0.3">
      <c r="A992">
        <v>991</v>
      </c>
      <c r="B992" t="s">
        <v>132</v>
      </c>
      <c r="C992">
        <v>41</v>
      </c>
      <c r="D992" t="s">
        <v>10</v>
      </c>
      <c r="E992">
        <v>9</v>
      </c>
      <c r="F992" s="1">
        <v>45395</v>
      </c>
      <c r="G992" s="1">
        <v>45397</v>
      </c>
      <c r="H992">
        <v>2</v>
      </c>
      <c r="I992" s="3">
        <v>74830.149999999994</v>
      </c>
      <c r="J992" t="str">
        <f>VLOOKUP(H992,Diagnosis!$A:$B,2,FALSE)</f>
        <v>Hypertension</v>
      </c>
      <c r="K992" t="str">
        <f>VLOOKUP(H992,Outcome!A$2:$B$7,2,FALSE)</f>
        <v>Improved</v>
      </c>
      <c r="L992">
        <f t="shared" si="30"/>
        <v>2</v>
      </c>
      <c r="M992" t="str">
        <f>IF(Labs!E992&gt;120,"High","Normal")</f>
        <v>High</v>
      </c>
      <c r="N992" t="str">
        <f t="shared" si="31"/>
        <v>High Risk</v>
      </c>
    </row>
    <row r="993" spans="1:14" x14ac:dyDescent="0.3">
      <c r="A993">
        <v>992</v>
      </c>
      <c r="B993" t="s">
        <v>234</v>
      </c>
      <c r="C993">
        <v>35</v>
      </c>
      <c r="D993" t="s">
        <v>17</v>
      </c>
      <c r="E993">
        <v>4</v>
      </c>
      <c r="F993" s="1">
        <v>46124</v>
      </c>
      <c r="G993" s="1">
        <v>46141</v>
      </c>
      <c r="H993">
        <v>3</v>
      </c>
      <c r="I993" s="3">
        <v>24788.91</v>
      </c>
      <c r="J993" t="str">
        <f>VLOOKUP(H993,Diagnosis!$A:$B,2,FALSE)</f>
        <v>Asthma</v>
      </c>
      <c r="K993" t="str">
        <f>VLOOKUP(H993,Outcome!A$2:$B$7,2,FALSE)</f>
        <v>Ongoing Treatment</v>
      </c>
      <c r="L993">
        <f t="shared" si="30"/>
        <v>17</v>
      </c>
      <c r="M993" t="str">
        <f>IF(Labs!E993&gt;120,"High","Normal")</f>
        <v>High</v>
      </c>
      <c r="N993" t="str">
        <f t="shared" si="31"/>
        <v>High Risk</v>
      </c>
    </row>
    <row r="994" spans="1:14" x14ac:dyDescent="0.3">
      <c r="A994">
        <v>993</v>
      </c>
      <c r="B994" t="s">
        <v>418</v>
      </c>
      <c r="C994">
        <v>58</v>
      </c>
      <c r="D994" t="s">
        <v>17</v>
      </c>
      <c r="E994">
        <v>9</v>
      </c>
      <c r="F994" s="1">
        <v>44978</v>
      </c>
      <c r="G994" s="1">
        <v>45003</v>
      </c>
      <c r="H994">
        <v>6</v>
      </c>
      <c r="I994" s="3">
        <v>68761.679999999993</v>
      </c>
      <c r="J994" t="str">
        <f>VLOOKUP(H994,Diagnosis!$A:$B,2,FALSE)</f>
        <v>Kidney Disease</v>
      </c>
      <c r="K994" t="str">
        <f>VLOOKUP(H994,Outcome!A$2:$B$7,2,FALSE)</f>
        <v>Deceased</v>
      </c>
      <c r="L994">
        <f t="shared" si="30"/>
        <v>25</v>
      </c>
      <c r="M994" t="str">
        <f>IF(Labs!E994&gt;120,"High","Normal")</f>
        <v>High</v>
      </c>
      <c r="N994" t="str">
        <f t="shared" si="31"/>
        <v>High Risk</v>
      </c>
    </row>
    <row r="995" spans="1:14" x14ac:dyDescent="0.3">
      <c r="A995">
        <v>994</v>
      </c>
      <c r="B995" t="s">
        <v>577</v>
      </c>
      <c r="C995">
        <v>69</v>
      </c>
      <c r="D995" t="s">
        <v>10</v>
      </c>
      <c r="E995">
        <v>9</v>
      </c>
      <c r="F995" s="1">
        <v>45487</v>
      </c>
      <c r="G995" s="1">
        <v>45488</v>
      </c>
      <c r="H995">
        <v>1</v>
      </c>
      <c r="I995" s="3">
        <v>84975.74</v>
      </c>
      <c r="J995" t="str">
        <f>VLOOKUP(H995,Diagnosis!$A:$B,2,FALSE)</f>
        <v>Diabetes</v>
      </c>
      <c r="K995" t="str">
        <f>VLOOKUP(H995,Outcome!A$2:$B$7,2,FALSE)</f>
        <v>Recovered</v>
      </c>
      <c r="L995">
        <f t="shared" si="30"/>
        <v>1</v>
      </c>
      <c r="M995" t="str">
        <f>IF(Labs!E995&gt;120,"High","Normal")</f>
        <v>High</v>
      </c>
      <c r="N995" t="str">
        <f t="shared" si="31"/>
        <v>High Risk</v>
      </c>
    </row>
    <row r="996" spans="1:14" x14ac:dyDescent="0.3">
      <c r="A996">
        <v>995</v>
      </c>
      <c r="B996" t="s">
        <v>375</v>
      </c>
      <c r="C996">
        <v>84</v>
      </c>
      <c r="D996" t="s">
        <v>17</v>
      </c>
      <c r="E996">
        <v>1</v>
      </c>
      <c r="F996" s="1">
        <v>44685</v>
      </c>
      <c r="G996" s="1">
        <v>44714</v>
      </c>
      <c r="H996">
        <v>5</v>
      </c>
      <c r="I996" s="3">
        <v>51011.27</v>
      </c>
      <c r="J996" t="str">
        <f>VLOOKUP(H996,Diagnosis!$A:$B,2,FALSE)</f>
        <v>Heart Disease</v>
      </c>
      <c r="K996" t="str">
        <f>VLOOKUP(H996,Outcome!A$2:$B$7,2,FALSE)</f>
        <v>Readmitted</v>
      </c>
      <c r="L996">
        <f t="shared" si="30"/>
        <v>29</v>
      </c>
      <c r="M996" t="str">
        <f>IF(Labs!E996&gt;120,"High","Normal")</f>
        <v>High</v>
      </c>
      <c r="N996" t="str">
        <f t="shared" si="31"/>
        <v>High Risk</v>
      </c>
    </row>
    <row r="997" spans="1:14" x14ac:dyDescent="0.3">
      <c r="A997">
        <v>996</v>
      </c>
      <c r="B997" t="s">
        <v>578</v>
      </c>
      <c r="C997">
        <v>45</v>
      </c>
      <c r="D997" t="s">
        <v>17</v>
      </c>
      <c r="E997">
        <v>10</v>
      </c>
      <c r="F997" s="1">
        <v>46283</v>
      </c>
      <c r="G997" s="1">
        <v>46299</v>
      </c>
      <c r="H997">
        <v>1</v>
      </c>
      <c r="I997" s="3">
        <v>31151.39</v>
      </c>
      <c r="J997" t="str">
        <f>VLOOKUP(H997,Diagnosis!$A:$B,2,FALSE)</f>
        <v>Diabetes</v>
      </c>
      <c r="K997" t="str">
        <f>VLOOKUP(H997,Outcome!A$2:$B$7,2,FALSE)</f>
        <v>Recovered</v>
      </c>
      <c r="L997">
        <f t="shared" si="30"/>
        <v>16</v>
      </c>
      <c r="M997" t="str">
        <f>IF(Labs!E997&gt;120,"High","Normal")</f>
        <v>High</v>
      </c>
      <c r="N997" t="str">
        <f t="shared" si="31"/>
        <v>low risk</v>
      </c>
    </row>
    <row r="998" spans="1:14" x14ac:dyDescent="0.3">
      <c r="A998">
        <v>997</v>
      </c>
      <c r="B998" t="s">
        <v>403</v>
      </c>
      <c r="C998">
        <v>9</v>
      </c>
      <c r="D998" t="s">
        <v>10</v>
      </c>
      <c r="E998">
        <v>2</v>
      </c>
      <c r="F998" s="1">
        <v>45371</v>
      </c>
      <c r="G998" s="1">
        <v>45393</v>
      </c>
      <c r="H998">
        <v>1</v>
      </c>
      <c r="I998" s="3">
        <v>27287.919999999998</v>
      </c>
      <c r="J998" t="str">
        <f>VLOOKUP(H998,Diagnosis!$A:$B,2,FALSE)</f>
        <v>Diabetes</v>
      </c>
      <c r="K998" t="str">
        <f>VLOOKUP(H998,Outcome!A$2:$B$7,2,FALSE)</f>
        <v>Recovered</v>
      </c>
      <c r="L998">
        <f t="shared" si="30"/>
        <v>22</v>
      </c>
      <c r="M998" t="str">
        <f>IF(Labs!E998&gt;120,"High","Normal")</f>
        <v>High</v>
      </c>
      <c r="N998" t="str">
        <f t="shared" si="31"/>
        <v>low risk</v>
      </c>
    </row>
    <row r="999" spans="1:14" x14ac:dyDescent="0.3">
      <c r="A999">
        <v>998</v>
      </c>
      <c r="B999" t="s">
        <v>579</v>
      </c>
      <c r="C999">
        <v>56</v>
      </c>
      <c r="D999" t="s">
        <v>17</v>
      </c>
      <c r="E999">
        <v>10</v>
      </c>
      <c r="F999" s="1">
        <v>45595</v>
      </c>
      <c r="G999" s="1">
        <v>45625</v>
      </c>
      <c r="H999">
        <v>4</v>
      </c>
      <c r="I999" s="3">
        <v>159397.85999999999</v>
      </c>
      <c r="J999" t="str">
        <f>VLOOKUP(H999,Diagnosis!$A:$B,2,FALSE)</f>
        <v>Pneumonia</v>
      </c>
      <c r="K999" t="str">
        <f>VLOOKUP(H999,Outcome!A$2:$B$7,2,FALSE)</f>
        <v>Referred</v>
      </c>
      <c r="L999">
        <f t="shared" si="30"/>
        <v>30</v>
      </c>
      <c r="M999" t="str">
        <f>IF(Labs!E999&gt;120,"High","Normal")</f>
        <v>High</v>
      </c>
      <c r="N999" t="str">
        <f t="shared" si="31"/>
        <v>High Risk</v>
      </c>
    </row>
    <row r="1000" spans="1:14" x14ac:dyDescent="0.3">
      <c r="A1000">
        <v>999</v>
      </c>
      <c r="B1000" t="s">
        <v>580</v>
      </c>
      <c r="C1000">
        <v>91</v>
      </c>
      <c r="D1000" t="s">
        <v>10</v>
      </c>
      <c r="E1000">
        <v>5</v>
      </c>
      <c r="F1000" s="1">
        <v>45065</v>
      </c>
      <c r="G1000" s="1">
        <v>45086</v>
      </c>
      <c r="H1000">
        <v>6</v>
      </c>
      <c r="I1000" s="3">
        <v>63139.29</v>
      </c>
      <c r="J1000" t="str">
        <f>VLOOKUP(H1000,Diagnosis!$A:$B,2,FALSE)</f>
        <v>Kidney Disease</v>
      </c>
      <c r="K1000" t="str">
        <f>VLOOKUP(H1000,Outcome!A$2:$B$7,2,FALSE)</f>
        <v>Deceased</v>
      </c>
      <c r="L1000">
        <f t="shared" si="30"/>
        <v>21</v>
      </c>
      <c r="M1000" t="str">
        <f>IF(Labs!E1000&gt;120,"High","Normal")</f>
        <v>High</v>
      </c>
      <c r="N1000" t="str">
        <f t="shared" si="31"/>
        <v>High Risk</v>
      </c>
    </row>
    <row r="1001" spans="1:14" x14ac:dyDescent="0.3">
      <c r="A1001">
        <v>1000</v>
      </c>
      <c r="B1001" t="s">
        <v>46</v>
      </c>
      <c r="C1001">
        <v>43</v>
      </c>
      <c r="D1001" t="s">
        <v>17</v>
      </c>
      <c r="E1001">
        <v>3</v>
      </c>
      <c r="F1001" s="1">
        <v>45885</v>
      </c>
      <c r="G1001" s="1">
        <v>45914</v>
      </c>
      <c r="H1001">
        <v>1</v>
      </c>
      <c r="I1001" s="3">
        <v>87083.89</v>
      </c>
      <c r="J1001" t="str">
        <f>VLOOKUP(H1001,Diagnosis!$A:$B,2,FALSE)</f>
        <v>Diabetes</v>
      </c>
      <c r="K1001" t="str">
        <f>VLOOKUP(H1001,Outcome!A$2:$B$7,2,FALSE)</f>
        <v>Recovered</v>
      </c>
      <c r="L1001">
        <f t="shared" si="30"/>
        <v>29</v>
      </c>
      <c r="M1001" t="str">
        <f>IF(Labs!E1001&gt;120,"High","Normal")</f>
        <v>High</v>
      </c>
    </row>
  </sheetData>
  <autoFilter ref="A1:I1001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13" customWidth="1"/>
    <col min="2" max="2" width="17" customWidth="1"/>
  </cols>
  <sheetData>
    <row r="1" spans="1:2" ht="24" customHeight="1" x14ac:dyDescent="0.3">
      <c r="A1" s="2" t="s">
        <v>4</v>
      </c>
      <c r="B1" s="2" t="s">
        <v>581</v>
      </c>
    </row>
    <row r="2" spans="1:2" x14ac:dyDescent="0.3">
      <c r="A2">
        <v>1</v>
      </c>
      <c r="B2" t="s">
        <v>582</v>
      </c>
    </row>
    <row r="3" spans="1:2" x14ac:dyDescent="0.3">
      <c r="A3">
        <v>2</v>
      </c>
      <c r="B3" t="s">
        <v>583</v>
      </c>
    </row>
    <row r="4" spans="1:2" x14ac:dyDescent="0.3">
      <c r="A4">
        <v>3</v>
      </c>
      <c r="B4" t="s">
        <v>584</v>
      </c>
    </row>
    <row r="5" spans="1:2" x14ac:dyDescent="0.3">
      <c r="A5">
        <v>4</v>
      </c>
      <c r="B5" t="s">
        <v>585</v>
      </c>
    </row>
    <row r="6" spans="1:2" x14ac:dyDescent="0.3">
      <c r="A6">
        <v>5</v>
      </c>
      <c r="B6" t="s">
        <v>586</v>
      </c>
    </row>
    <row r="7" spans="1:2" x14ac:dyDescent="0.3">
      <c r="A7">
        <v>6</v>
      </c>
      <c r="B7" t="s">
        <v>587</v>
      </c>
    </row>
    <row r="8" spans="1:2" x14ac:dyDescent="0.3">
      <c r="A8">
        <v>7</v>
      </c>
      <c r="B8" t="s">
        <v>588</v>
      </c>
    </row>
    <row r="9" spans="1:2" x14ac:dyDescent="0.3">
      <c r="A9">
        <v>8</v>
      </c>
      <c r="B9" t="s">
        <v>589</v>
      </c>
    </row>
    <row r="10" spans="1:2" x14ac:dyDescent="0.3">
      <c r="A10">
        <v>9</v>
      </c>
      <c r="B10" t="s">
        <v>590</v>
      </c>
    </row>
    <row r="11" spans="1:2" x14ac:dyDescent="0.3">
      <c r="A11">
        <v>10</v>
      </c>
      <c r="B11" t="s">
        <v>591</v>
      </c>
    </row>
  </sheetData>
  <autoFilter ref="A1:B11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2" customWidth="1"/>
    <col min="2" max="2" width="19" customWidth="1"/>
  </cols>
  <sheetData>
    <row r="1" spans="1:2" ht="24" customHeight="1" x14ac:dyDescent="0.3">
      <c r="A1" s="2" t="s">
        <v>7</v>
      </c>
      <c r="B1" s="2" t="s">
        <v>592</v>
      </c>
    </row>
    <row r="2" spans="1:2" x14ac:dyDescent="0.3">
      <c r="A2">
        <v>1</v>
      </c>
      <c r="B2" t="s">
        <v>593</v>
      </c>
    </row>
    <row r="3" spans="1:2" x14ac:dyDescent="0.3">
      <c r="A3">
        <v>2</v>
      </c>
      <c r="B3" t="s">
        <v>594</v>
      </c>
    </row>
    <row r="4" spans="1:2" x14ac:dyDescent="0.3">
      <c r="A4">
        <v>3</v>
      </c>
      <c r="B4" t="s">
        <v>595</v>
      </c>
    </row>
    <row r="5" spans="1:2" x14ac:dyDescent="0.3">
      <c r="A5">
        <v>4</v>
      </c>
      <c r="B5" t="s">
        <v>596</v>
      </c>
    </row>
    <row r="6" spans="1:2" x14ac:dyDescent="0.3">
      <c r="A6">
        <v>5</v>
      </c>
      <c r="B6" t="s">
        <v>597</v>
      </c>
    </row>
    <row r="7" spans="1:2" x14ac:dyDescent="0.3">
      <c r="A7">
        <v>6</v>
      </c>
      <c r="B7" t="s">
        <v>598</v>
      </c>
    </row>
  </sheetData>
  <autoFilter ref="A1:B7" xr:uid="{00000000-0009-0000-0000-00000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01"/>
  <sheetViews>
    <sheetView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6" customWidth="1"/>
    <col min="4" max="4" width="12" customWidth="1"/>
    <col min="5" max="5" width="13" customWidth="1"/>
  </cols>
  <sheetData>
    <row r="1" spans="1:5" ht="24" customHeight="1" x14ac:dyDescent="0.3">
      <c r="A1" s="2" t="s">
        <v>599</v>
      </c>
      <c r="B1" s="2" t="s">
        <v>0</v>
      </c>
      <c r="C1" s="2" t="s">
        <v>600</v>
      </c>
      <c r="D1" s="2" t="s">
        <v>601</v>
      </c>
      <c r="E1" s="2" t="s">
        <v>602</v>
      </c>
    </row>
    <row r="2" spans="1:5" x14ac:dyDescent="0.3">
      <c r="A2">
        <v>1</v>
      </c>
      <c r="B2">
        <v>1</v>
      </c>
      <c r="C2" t="s">
        <v>603</v>
      </c>
      <c r="D2">
        <v>167.82</v>
      </c>
      <c r="E2" t="s">
        <v>604</v>
      </c>
    </row>
    <row r="3" spans="1:5" x14ac:dyDescent="0.3">
      <c r="A3">
        <v>2</v>
      </c>
      <c r="B3">
        <v>1</v>
      </c>
      <c r="C3" t="s">
        <v>605</v>
      </c>
      <c r="D3">
        <v>259.3</v>
      </c>
      <c r="E3" t="s">
        <v>606</v>
      </c>
    </row>
    <row r="4" spans="1:5" x14ac:dyDescent="0.3">
      <c r="A4">
        <v>3</v>
      </c>
      <c r="B4">
        <v>1</v>
      </c>
      <c r="C4" t="s">
        <v>607</v>
      </c>
      <c r="D4">
        <v>138.76</v>
      </c>
      <c r="E4" t="s">
        <v>608</v>
      </c>
    </row>
    <row r="5" spans="1:5" x14ac:dyDescent="0.3">
      <c r="A5">
        <v>4</v>
      </c>
      <c r="B5">
        <v>2</v>
      </c>
      <c r="C5" t="s">
        <v>607</v>
      </c>
      <c r="D5">
        <v>145.32</v>
      </c>
      <c r="E5" t="s">
        <v>608</v>
      </c>
    </row>
    <row r="6" spans="1:5" x14ac:dyDescent="0.3">
      <c r="A6">
        <v>5</v>
      </c>
      <c r="B6">
        <v>2</v>
      </c>
      <c r="C6" t="s">
        <v>609</v>
      </c>
      <c r="D6">
        <v>13.02</v>
      </c>
      <c r="E6" t="s">
        <v>610</v>
      </c>
    </row>
    <row r="7" spans="1:5" x14ac:dyDescent="0.3">
      <c r="A7">
        <v>6</v>
      </c>
      <c r="B7">
        <v>2</v>
      </c>
      <c r="C7" t="s">
        <v>611</v>
      </c>
      <c r="D7">
        <v>7.81</v>
      </c>
      <c r="E7" t="s">
        <v>612</v>
      </c>
    </row>
    <row r="8" spans="1:5" x14ac:dyDescent="0.3">
      <c r="A8">
        <v>7</v>
      </c>
      <c r="B8">
        <v>3</v>
      </c>
      <c r="C8" t="s">
        <v>603</v>
      </c>
      <c r="D8">
        <v>130.30000000000001</v>
      </c>
      <c r="E8" t="s">
        <v>604</v>
      </c>
    </row>
    <row r="9" spans="1:5" x14ac:dyDescent="0.3">
      <c r="A9">
        <v>8</v>
      </c>
      <c r="B9">
        <v>3</v>
      </c>
      <c r="C9" t="s">
        <v>613</v>
      </c>
      <c r="D9">
        <v>5.56</v>
      </c>
      <c r="E9" t="s">
        <v>614</v>
      </c>
    </row>
    <row r="10" spans="1:5" x14ac:dyDescent="0.3">
      <c r="A10">
        <v>9</v>
      </c>
      <c r="B10">
        <v>3</v>
      </c>
      <c r="C10" t="s">
        <v>611</v>
      </c>
      <c r="D10">
        <v>15.69</v>
      </c>
      <c r="E10" t="s">
        <v>612</v>
      </c>
    </row>
    <row r="11" spans="1:5" x14ac:dyDescent="0.3">
      <c r="A11">
        <v>10</v>
      </c>
      <c r="B11">
        <v>4</v>
      </c>
      <c r="C11" t="s">
        <v>615</v>
      </c>
      <c r="D11">
        <v>393.7</v>
      </c>
      <c r="E11" t="s">
        <v>616</v>
      </c>
    </row>
    <row r="12" spans="1:5" x14ac:dyDescent="0.3">
      <c r="A12">
        <v>11</v>
      </c>
      <c r="B12">
        <v>4</v>
      </c>
      <c r="C12" t="s">
        <v>607</v>
      </c>
      <c r="D12">
        <v>145.86000000000001</v>
      </c>
      <c r="E12" t="s">
        <v>608</v>
      </c>
    </row>
    <row r="13" spans="1:5" x14ac:dyDescent="0.3">
      <c r="A13">
        <v>12</v>
      </c>
      <c r="B13">
        <v>4</v>
      </c>
      <c r="C13" t="s">
        <v>605</v>
      </c>
      <c r="D13">
        <v>316.76</v>
      </c>
      <c r="E13" t="s">
        <v>606</v>
      </c>
    </row>
    <row r="14" spans="1:5" x14ac:dyDescent="0.3">
      <c r="A14">
        <v>13</v>
      </c>
      <c r="B14">
        <v>5</v>
      </c>
      <c r="C14" t="s">
        <v>611</v>
      </c>
      <c r="D14">
        <v>16.829999999999998</v>
      </c>
      <c r="E14" t="s">
        <v>612</v>
      </c>
    </row>
    <row r="15" spans="1:5" x14ac:dyDescent="0.3">
      <c r="A15">
        <v>14</v>
      </c>
      <c r="B15">
        <v>5</v>
      </c>
      <c r="C15" t="s">
        <v>613</v>
      </c>
      <c r="D15">
        <v>4.3099999999999996</v>
      </c>
      <c r="E15" t="s">
        <v>614</v>
      </c>
    </row>
    <row r="16" spans="1:5" x14ac:dyDescent="0.3">
      <c r="A16">
        <v>15</v>
      </c>
      <c r="B16">
        <v>5</v>
      </c>
      <c r="C16" t="s">
        <v>615</v>
      </c>
      <c r="D16">
        <v>177.53</v>
      </c>
      <c r="E16" t="s">
        <v>616</v>
      </c>
    </row>
    <row r="17" spans="1:5" x14ac:dyDescent="0.3">
      <c r="A17">
        <v>16</v>
      </c>
      <c r="B17">
        <v>6</v>
      </c>
      <c r="C17" t="s">
        <v>603</v>
      </c>
      <c r="D17">
        <v>100.43</v>
      </c>
      <c r="E17" t="s">
        <v>604</v>
      </c>
    </row>
    <row r="18" spans="1:5" x14ac:dyDescent="0.3">
      <c r="A18">
        <v>17</v>
      </c>
      <c r="B18">
        <v>6</v>
      </c>
      <c r="C18" t="s">
        <v>617</v>
      </c>
      <c r="D18">
        <v>13.61</v>
      </c>
      <c r="E18" t="s">
        <v>618</v>
      </c>
    </row>
    <row r="19" spans="1:5" x14ac:dyDescent="0.3">
      <c r="A19">
        <v>18</v>
      </c>
      <c r="B19">
        <v>6</v>
      </c>
      <c r="C19" t="s">
        <v>615</v>
      </c>
      <c r="D19">
        <v>318.83</v>
      </c>
      <c r="E19" t="s">
        <v>616</v>
      </c>
    </row>
    <row r="20" spans="1:5" x14ac:dyDescent="0.3">
      <c r="A20">
        <v>19</v>
      </c>
      <c r="B20">
        <v>7</v>
      </c>
      <c r="C20" t="s">
        <v>619</v>
      </c>
      <c r="D20">
        <v>3.89</v>
      </c>
      <c r="E20" t="s">
        <v>620</v>
      </c>
    </row>
    <row r="21" spans="1:5" x14ac:dyDescent="0.3">
      <c r="A21">
        <v>20</v>
      </c>
      <c r="B21">
        <v>7</v>
      </c>
      <c r="C21" t="s">
        <v>621</v>
      </c>
      <c r="D21">
        <v>4.29</v>
      </c>
      <c r="E21" t="s">
        <v>622</v>
      </c>
    </row>
    <row r="22" spans="1:5" x14ac:dyDescent="0.3">
      <c r="A22">
        <v>21</v>
      </c>
      <c r="B22">
        <v>7</v>
      </c>
      <c r="C22" t="s">
        <v>613</v>
      </c>
      <c r="D22">
        <v>4.4800000000000004</v>
      </c>
      <c r="E22" t="s">
        <v>614</v>
      </c>
    </row>
    <row r="23" spans="1:5" x14ac:dyDescent="0.3">
      <c r="A23">
        <v>22</v>
      </c>
      <c r="B23">
        <v>8</v>
      </c>
      <c r="C23" t="s">
        <v>621</v>
      </c>
      <c r="D23">
        <v>5.57</v>
      </c>
      <c r="E23" t="s">
        <v>622</v>
      </c>
    </row>
    <row r="24" spans="1:5" x14ac:dyDescent="0.3">
      <c r="A24">
        <v>23</v>
      </c>
      <c r="B24">
        <v>8</v>
      </c>
      <c r="C24" t="s">
        <v>619</v>
      </c>
      <c r="D24">
        <v>3.37</v>
      </c>
      <c r="E24" t="s">
        <v>620</v>
      </c>
    </row>
    <row r="25" spans="1:5" x14ac:dyDescent="0.3">
      <c r="A25">
        <v>24</v>
      </c>
      <c r="B25">
        <v>8</v>
      </c>
      <c r="C25" t="s">
        <v>603</v>
      </c>
      <c r="D25">
        <v>138.28</v>
      </c>
      <c r="E25" t="s">
        <v>604</v>
      </c>
    </row>
    <row r="26" spans="1:5" x14ac:dyDescent="0.3">
      <c r="A26">
        <v>25</v>
      </c>
      <c r="B26">
        <v>9</v>
      </c>
      <c r="C26" t="s">
        <v>617</v>
      </c>
      <c r="D26">
        <v>5.22</v>
      </c>
      <c r="E26" t="s">
        <v>618</v>
      </c>
    </row>
    <row r="27" spans="1:5" x14ac:dyDescent="0.3">
      <c r="A27">
        <v>26</v>
      </c>
      <c r="B27">
        <v>9</v>
      </c>
      <c r="C27" t="s">
        <v>609</v>
      </c>
      <c r="D27">
        <v>3.96</v>
      </c>
      <c r="E27" t="s">
        <v>610</v>
      </c>
    </row>
    <row r="28" spans="1:5" x14ac:dyDescent="0.3">
      <c r="A28">
        <v>27</v>
      </c>
      <c r="B28">
        <v>9</v>
      </c>
      <c r="C28" t="s">
        <v>613</v>
      </c>
      <c r="D28">
        <v>5.31</v>
      </c>
      <c r="E28" t="s">
        <v>614</v>
      </c>
    </row>
    <row r="29" spans="1:5" x14ac:dyDescent="0.3">
      <c r="A29">
        <v>28</v>
      </c>
      <c r="B29">
        <v>10</v>
      </c>
      <c r="C29" t="s">
        <v>621</v>
      </c>
      <c r="D29">
        <v>8.7100000000000009</v>
      </c>
      <c r="E29" t="s">
        <v>622</v>
      </c>
    </row>
    <row r="30" spans="1:5" x14ac:dyDescent="0.3">
      <c r="A30">
        <v>29</v>
      </c>
      <c r="B30">
        <v>10</v>
      </c>
      <c r="C30" t="s">
        <v>605</v>
      </c>
      <c r="D30">
        <v>269.19</v>
      </c>
      <c r="E30" t="s">
        <v>606</v>
      </c>
    </row>
    <row r="31" spans="1:5" x14ac:dyDescent="0.3">
      <c r="A31">
        <v>30</v>
      </c>
      <c r="B31">
        <v>10</v>
      </c>
      <c r="C31" t="s">
        <v>611</v>
      </c>
      <c r="D31">
        <v>8.34</v>
      </c>
      <c r="E31" t="s">
        <v>612</v>
      </c>
    </row>
    <row r="32" spans="1:5" x14ac:dyDescent="0.3">
      <c r="A32">
        <v>31</v>
      </c>
      <c r="B32">
        <v>11</v>
      </c>
      <c r="C32" t="s">
        <v>621</v>
      </c>
      <c r="D32">
        <v>5.53</v>
      </c>
      <c r="E32" t="s">
        <v>622</v>
      </c>
    </row>
    <row r="33" spans="1:5" x14ac:dyDescent="0.3">
      <c r="A33">
        <v>32</v>
      </c>
      <c r="B33">
        <v>11</v>
      </c>
      <c r="C33" t="s">
        <v>619</v>
      </c>
      <c r="D33">
        <v>2.87</v>
      </c>
      <c r="E33" t="s">
        <v>620</v>
      </c>
    </row>
    <row r="34" spans="1:5" x14ac:dyDescent="0.3">
      <c r="A34">
        <v>33</v>
      </c>
      <c r="B34">
        <v>11</v>
      </c>
      <c r="C34" t="s">
        <v>617</v>
      </c>
      <c r="D34">
        <v>15.9</v>
      </c>
      <c r="E34" t="s">
        <v>618</v>
      </c>
    </row>
    <row r="35" spans="1:5" x14ac:dyDescent="0.3">
      <c r="A35">
        <v>34</v>
      </c>
      <c r="B35">
        <v>12</v>
      </c>
      <c r="C35" t="s">
        <v>609</v>
      </c>
      <c r="D35">
        <v>0.14000000000000001</v>
      </c>
      <c r="E35" t="s">
        <v>610</v>
      </c>
    </row>
    <row r="36" spans="1:5" x14ac:dyDescent="0.3">
      <c r="A36">
        <v>35</v>
      </c>
      <c r="B36">
        <v>12</v>
      </c>
      <c r="C36" t="s">
        <v>617</v>
      </c>
      <c r="D36">
        <v>8.5500000000000007</v>
      </c>
      <c r="E36" t="s">
        <v>618</v>
      </c>
    </row>
    <row r="37" spans="1:5" x14ac:dyDescent="0.3">
      <c r="A37">
        <v>36</v>
      </c>
      <c r="B37">
        <v>12</v>
      </c>
      <c r="C37" t="s">
        <v>613</v>
      </c>
      <c r="D37">
        <v>5.09</v>
      </c>
      <c r="E37" t="s">
        <v>614</v>
      </c>
    </row>
    <row r="38" spans="1:5" x14ac:dyDescent="0.3">
      <c r="A38">
        <v>37</v>
      </c>
      <c r="B38">
        <v>13</v>
      </c>
      <c r="C38" t="s">
        <v>603</v>
      </c>
      <c r="D38">
        <v>221.2</v>
      </c>
      <c r="E38" t="s">
        <v>604</v>
      </c>
    </row>
    <row r="39" spans="1:5" x14ac:dyDescent="0.3">
      <c r="A39">
        <v>38</v>
      </c>
      <c r="B39">
        <v>13</v>
      </c>
      <c r="C39" t="s">
        <v>615</v>
      </c>
      <c r="D39">
        <v>242.41</v>
      </c>
      <c r="E39" t="s">
        <v>616</v>
      </c>
    </row>
    <row r="40" spans="1:5" x14ac:dyDescent="0.3">
      <c r="A40">
        <v>39</v>
      </c>
      <c r="B40">
        <v>13</v>
      </c>
      <c r="C40" t="s">
        <v>607</v>
      </c>
      <c r="D40">
        <v>130.68</v>
      </c>
      <c r="E40" t="s">
        <v>608</v>
      </c>
    </row>
    <row r="41" spans="1:5" x14ac:dyDescent="0.3">
      <c r="A41">
        <v>40</v>
      </c>
      <c r="B41">
        <v>14</v>
      </c>
      <c r="C41" t="s">
        <v>609</v>
      </c>
      <c r="D41">
        <v>7.29</v>
      </c>
      <c r="E41" t="s">
        <v>610</v>
      </c>
    </row>
    <row r="42" spans="1:5" x14ac:dyDescent="0.3">
      <c r="A42">
        <v>41</v>
      </c>
      <c r="B42">
        <v>14</v>
      </c>
      <c r="C42" t="s">
        <v>613</v>
      </c>
      <c r="D42">
        <v>5.38</v>
      </c>
      <c r="E42" t="s">
        <v>614</v>
      </c>
    </row>
    <row r="43" spans="1:5" x14ac:dyDescent="0.3">
      <c r="A43">
        <v>42</v>
      </c>
      <c r="B43">
        <v>14</v>
      </c>
      <c r="C43" t="s">
        <v>621</v>
      </c>
      <c r="D43">
        <v>11.07</v>
      </c>
      <c r="E43" t="s">
        <v>622</v>
      </c>
    </row>
    <row r="44" spans="1:5" x14ac:dyDescent="0.3">
      <c r="A44">
        <v>43</v>
      </c>
      <c r="B44">
        <v>15</v>
      </c>
      <c r="C44" t="s">
        <v>619</v>
      </c>
      <c r="D44">
        <v>3.71</v>
      </c>
      <c r="E44" t="s">
        <v>620</v>
      </c>
    </row>
    <row r="45" spans="1:5" x14ac:dyDescent="0.3">
      <c r="A45">
        <v>44</v>
      </c>
      <c r="B45">
        <v>15</v>
      </c>
      <c r="C45" t="s">
        <v>603</v>
      </c>
      <c r="D45">
        <v>163.5</v>
      </c>
      <c r="E45" t="s">
        <v>604</v>
      </c>
    </row>
    <row r="46" spans="1:5" x14ac:dyDescent="0.3">
      <c r="A46">
        <v>45</v>
      </c>
      <c r="B46">
        <v>15</v>
      </c>
      <c r="C46" t="s">
        <v>617</v>
      </c>
      <c r="D46">
        <v>7.11</v>
      </c>
      <c r="E46" t="s">
        <v>618</v>
      </c>
    </row>
    <row r="47" spans="1:5" x14ac:dyDescent="0.3">
      <c r="A47">
        <v>46</v>
      </c>
      <c r="B47">
        <v>16</v>
      </c>
      <c r="C47" t="s">
        <v>607</v>
      </c>
      <c r="D47">
        <v>129.80000000000001</v>
      </c>
      <c r="E47" t="s">
        <v>608</v>
      </c>
    </row>
    <row r="48" spans="1:5" x14ac:dyDescent="0.3">
      <c r="A48">
        <v>47</v>
      </c>
      <c r="B48">
        <v>16</v>
      </c>
      <c r="C48" t="s">
        <v>619</v>
      </c>
      <c r="D48">
        <v>2.5</v>
      </c>
      <c r="E48" t="s">
        <v>620</v>
      </c>
    </row>
    <row r="49" spans="1:5" x14ac:dyDescent="0.3">
      <c r="A49">
        <v>48</v>
      </c>
      <c r="B49">
        <v>16</v>
      </c>
      <c r="C49" t="s">
        <v>615</v>
      </c>
      <c r="D49">
        <v>108.88</v>
      </c>
      <c r="E49" t="s">
        <v>616</v>
      </c>
    </row>
    <row r="50" spans="1:5" x14ac:dyDescent="0.3">
      <c r="A50">
        <v>49</v>
      </c>
      <c r="B50">
        <v>17</v>
      </c>
      <c r="C50" t="s">
        <v>619</v>
      </c>
      <c r="D50">
        <v>3.71</v>
      </c>
      <c r="E50" t="s">
        <v>620</v>
      </c>
    </row>
    <row r="51" spans="1:5" x14ac:dyDescent="0.3">
      <c r="A51">
        <v>50</v>
      </c>
      <c r="B51">
        <v>17</v>
      </c>
      <c r="C51" t="s">
        <v>607</v>
      </c>
      <c r="D51">
        <v>132.33000000000001</v>
      </c>
      <c r="E51" t="s">
        <v>608</v>
      </c>
    </row>
    <row r="52" spans="1:5" x14ac:dyDescent="0.3">
      <c r="A52">
        <v>51</v>
      </c>
      <c r="B52">
        <v>17</v>
      </c>
      <c r="C52" t="s">
        <v>611</v>
      </c>
      <c r="D52">
        <v>10.46</v>
      </c>
      <c r="E52" t="s">
        <v>612</v>
      </c>
    </row>
    <row r="53" spans="1:5" x14ac:dyDescent="0.3">
      <c r="A53">
        <v>52</v>
      </c>
      <c r="B53">
        <v>18</v>
      </c>
      <c r="C53" t="s">
        <v>611</v>
      </c>
      <c r="D53">
        <v>12.04</v>
      </c>
      <c r="E53" t="s">
        <v>612</v>
      </c>
    </row>
    <row r="54" spans="1:5" x14ac:dyDescent="0.3">
      <c r="A54">
        <v>53</v>
      </c>
      <c r="B54">
        <v>18</v>
      </c>
      <c r="C54" t="s">
        <v>621</v>
      </c>
      <c r="D54">
        <v>10.46</v>
      </c>
      <c r="E54" t="s">
        <v>622</v>
      </c>
    </row>
    <row r="55" spans="1:5" x14ac:dyDescent="0.3">
      <c r="A55">
        <v>54</v>
      </c>
      <c r="B55">
        <v>18</v>
      </c>
      <c r="C55" t="s">
        <v>603</v>
      </c>
      <c r="D55">
        <v>174.62</v>
      </c>
      <c r="E55" t="s">
        <v>604</v>
      </c>
    </row>
    <row r="56" spans="1:5" x14ac:dyDescent="0.3">
      <c r="A56">
        <v>55</v>
      </c>
      <c r="B56">
        <v>19</v>
      </c>
      <c r="C56" t="s">
        <v>615</v>
      </c>
      <c r="D56">
        <v>137.74</v>
      </c>
      <c r="E56" t="s">
        <v>616</v>
      </c>
    </row>
    <row r="57" spans="1:5" x14ac:dyDescent="0.3">
      <c r="A57">
        <v>56</v>
      </c>
      <c r="B57">
        <v>19</v>
      </c>
      <c r="C57" t="s">
        <v>617</v>
      </c>
      <c r="D57">
        <v>6.1</v>
      </c>
      <c r="E57" t="s">
        <v>618</v>
      </c>
    </row>
    <row r="58" spans="1:5" x14ac:dyDescent="0.3">
      <c r="A58">
        <v>57</v>
      </c>
      <c r="B58">
        <v>19</v>
      </c>
      <c r="C58" t="s">
        <v>619</v>
      </c>
      <c r="D58">
        <v>1.69</v>
      </c>
      <c r="E58" t="s">
        <v>620</v>
      </c>
    </row>
    <row r="59" spans="1:5" x14ac:dyDescent="0.3">
      <c r="A59">
        <v>58</v>
      </c>
      <c r="B59">
        <v>20</v>
      </c>
      <c r="C59" t="s">
        <v>603</v>
      </c>
      <c r="D59">
        <v>239.56</v>
      </c>
      <c r="E59" t="s">
        <v>604</v>
      </c>
    </row>
    <row r="60" spans="1:5" x14ac:dyDescent="0.3">
      <c r="A60">
        <v>59</v>
      </c>
      <c r="B60">
        <v>20</v>
      </c>
      <c r="C60" t="s">
        <v>615</v>
      </c>
      <c r="D60">
        <v>371.51</v>
      </c>
      <c r="E60" t="s">
        <v>616</v>
      </c>
    </row>
    <row r="61" spans="1:5" x14ac:dyDescent="0.3">
      <c r="A61">
        <v>60</v>
      </c>
      <c r="B61">
        <v>20</v>
      </c>
      <c r="C61" t="s">
        <v>619</v>
      </c>
      <c r="D61">
        <v>2.67</v>
      </c>
      <c r="E61" t="s">
        <v>620</v>
      </c>
    </row>
    <row r="62" spans="1:5" x14ac:dyDescent="0.3">
      <c r="A62">
        <v>61</v>
      </c>
      <c r="B62">
        <v>21</v>
      </c>
      <c r="C62" t="s">
        <v>611</v>
      </c>
      <c r="D62">
        <v>7.9</v>
      </c>
      <c r="E62" t="s">
        <v>612</v>
      </c>
    </row>
    <row r="63" spans="1:5" x14ac:dyDescent="0.3">
      <c r="A63">
        <v>62</v>
      </c>
      <c r="B63">
        <v>21</v>
      </c>
      <c r="C63" t="s">
        <v>613</v>
      </c>
      <c r="D63">
        <v>3.01</v>
      </c>
      <c r="E63" t="s">
        <v>614</v>
      </c>
    </row>
    <row r="64" spans="1:5" x14ac:dyDescent="0.3">
      <c r="A64">
        <v>63</v>
      </c>
      <c r="B64">
        <v>21</v>
      </c>
      <c r="C64" t="s">
        <v>621</v>
      </c>
      <c r="D64">
        <v>4.2699999999999996</v>
      </c>
      <c r="E64" t="s">
        <v>622</v>
      </c>
    </row>
    <row r="65" spans="1:5" x14ac:dyDescent="0.3">
      <c r="A65">
        <v>64</v>
      </c>
      <c r="B65">
        <v>22</v>
      </c>
      <c r="C65" t="s">
        <v>615</v>
      </c>
      <c r="D65">
        <v>121.7</v>
      </c>
      <c r="E65" t="s">
        <v>616</v>
      </c>
    </row>
    <row r="66" spans="1:5" x14ac:dyDescent="0.3">
      <c r="A66">
        <v>65</v>
      </c>
      <c r="B66">
        <v>22</v>
      </c>
      <c r="C66" t="s">
        <v>611</v>
      </c>
      <c r="D66">
        <v>15.43</v>
      </c>
      <c r="E66" t="s">
        <v>612</v>
      </c>
    </row>
    <row r="67" spans="1:5" x14ac:dyDescent="0.3">
      <c r="A67">
        <v>66</v>
      </c>
      <c r="B67">
        <v>22</v>
      </c>
      <c r="C67" t="s">
        <v>605</v>
      </c>
      <c r="D67">
        <v>130.96</v>
      </c>
      <c r="E67" t="s">
        <v>606</v>
      </c>
    </row>
    <row r="68" spans="1:5" x14ac:dyDescent="0.3">
      <c r="A68">
        <v>67</v>
      </c>
      <c r="B68">
        <v>23</v>
      </c>
      <c r="C68" t="s">
        <v>621</v>
      </c>
      <c r="D68">
        <v>4.8099999999999996</v>
      </c>
      <c r="E68" t="s">
        <v>622</v>
      </c>
    </row>
    <row r="69" spans="1:5" x14ac:dyDescent="0.3">
      <c r="A69">
        <v>68</v>
      </c>
      <c r="B69">
        <v>23</v>
      </c>
      <c r="C69" t="s">
        <v>607</v>
      </c>
      <c r="D69">
        <v>129.22999999999999</v>
      </c>
      <c r="E69" t="s">
        <v>608</v>
      </c>
    </row>
    <row r="70" spans="1:5" x14ac:dyDescent="0.3">
      <c r="A70">
        <v>69</v>
      </c>
      <c r="B70">
        <v>23</v>
      </c>
      <c r="C70" t="s">
        <v>611</v>
      </c>
      <c r="D70">
        <v>7.55</v>
      </c>
      <c r="E70" t="s">
        <v>612</v>
      </c>
    </row>
    <row r="71" spans="1:5" x14ac:dyDescent="0.3">
      <c r="A71">
        <v>70</v>
      </c>
      <c r="B71">
        <v>24</v>
      </c>
      <c r="C71" t="s">
        <v>607</v>
      </c>
      <c r="D71">
        <v>141.58000000000001</v>
      </c>
      <c r="E71" t="s">
        <v>608</v>
      </c>
    </row>
    <row r="72" spans="1:5" x14ac:dyDescent="0.3">
      <c r="A72">
        <v>71</v>
      </c>
      <c r="B72">
        <v>24</v>
      </c>
      <c r="C72" t="s">
        <v>621</v>
      </c>
      <c r="D72">
        <v>7.29</v>
      </c>
      <c r="E72" t="s">
        <v>622</v>
      </c>
    </row>
    <row r="73" spans="1:5" x14ac:dyDescent="0.3">
      <c r="A73">
        <v>72</v>
      </c>
      <c r="B73">
        <v>24</v>
      </c>
      <c r="C73" t="s">
        <v>611</v>
      </c>
      <c r="D73">
        <v>16.079999999999998</v>
      </c>
      <c r="E73" t="s">
        <v>612</v>
      </c>
    </row>
    <row r="74" spans="1:5" x14ac:dyDescent="0.3">
      <c r="A74">
        <v>73</v>
      </c>
      <c r="B74">
        <v>25</v>
      </c>
      <c r="C74" t="s">
        <v>621</v>
      </c>
      <c r="D74">
        <v>7.07</v>
      </c>
      <c r="E74" t="s">
        <v>622</v>
      </c>
    </row>
    <row r="75" spans="1:5" x14ac:dyDescent="0.3">
      <c r="A75">
        <v>74</v>
      </c>
      <c r="B75">
        <v>25</v>
      </c>
      <c r="C75" t="s">
        <v>603</v>
      </c>
      <c r="D75">
        <v>212.11</v>
      </c>
      <c r="E75" t="s">
        <v>604</v>
      </c>
    </row>
    <row r="76" spans="1:5" x14ac:dyDescent="0.3">
      <c r="A76">
        <v>75</v>
      </c>
      <c r="B76">
        <v>25</v>
      </c>
      <c r="C76" t="s">
        <v>613</v>
      </c>
      <c r="D76">
        <v>5.79</v>
      </c>
      <c r="E76" t="s">
        <v>614</v>
      </c>
    </row>
    <row r="77" spans="1:5" x14ac:dyDescent="0.3">
      <c r="A77">
        <v>76</v>
      </c>
      <c r="B77">
        <v>26</v>
      </c>
      <c r="C77" t="s">
        <v>621</v>
      </c>
      <c r="D77">
        <v>9.2100000000000009</v>
      </c>
      <c r="E77" t="s">
        <v>622</v>
      </c>
    </row>
    <row r="78" spans="1:5" x14ac:dyDescent="0.3">
      <c r="A78">
        <v>77</v>
      </c>
      <c r="B78">
        <v>26</v>
      </c>
      <c r="C78" t="s">
        <v>611</v>
      </c>
      <c r="D78">
        <v>14.1</v>
      </c>
      <c r="E78" t="s">
        <v>612</v>
      </c>
    </row>
    <row r="79" spans="1:5" x14ac:dyDescent="0.3">
      <c r="A79">
        <v>78</v>
      </c>
      <c r="B79">
        <v>26</v>
      </c>
      <c r="C79" t="s">
        <v>615</v>
      </c>
      <c r="D79">
        <v>109.09</v>
      </c>
      <c r="E79" t="s">
        <v>616</v>
      </c>
    </row>
    <row r="80" spans="1:5" x14ac:dyDescent="0.3">
      <c r="A80">
        <v>79</v>
      </c>
      <c r="B80">
        <v>27</v>
      </c>
      <c r="C80" t="s">
        <v>609</v>
      </c>
      <c r="D80">
        <v>2.25</v>
      </c>
      <c r="E80" t="s">
        <v>610</v>
      </c>
    </row>
    <row r="81" spans="1:5" x14ac:dyDescent="0.3">
      <c r="A81">
        <v>80</v>
      </c>
      <c r="B81">
        <v>27</v>
      </c>
      <c r="C81" t="s">
        <v>615</v>
      </c>
      <c r="D81">
        <v>104.3</v>
      </c>
      <c r="E81" t="s">
        <v>616</v>
      </c>
    </row>
    <row r="82" spans="1:5" x14ac:dyDescent="0.3">
      <c r="A82">
        <v>81</v>
      </c>
      <c r="B82">
        <v>27</v>
      </c>
      <c r="C82" t="s">
        <v>619</v>
      </c>
      <c r="D82">
        <v>3</v>
      </c>
      <c r="E82" t="s">
        <v>620</v>
      </c>
    </row>
    <row r="83" spans="1:5" x14ac:dyDescent="0.3">
      <c r="A83">
        <v>82</v>
      </c>
      <c r="B83">
        <v>28</v>
      </c>
      <c r="C83" t="s">
        <v>621</v>
      </c>
      <c r="D83">
        <v>9.1</v>
      </c>
      <c r="E83" t="s">
        <v>622</v>
      </c>
    </row>
    <row r="84" spans="1:5" x14ac:dyDescent="0.3">
      <c r="A84">
        <v>83</v>
      </c>
      <c r="B84">
        <v>28</v>
      </c>
      <c r="C84" t="s">
        <v>619</v>
      </c>
      <c r="D84">
        <v>1.4</v>
      </c>
      <c r="E84" t="s">
        <v>620</v>
      </c>
    </row>
    <row r="85" spans="1:5" x14ac:dyDescent="0.3">
      <c r="A85">
        <v>84</v>
      </c>
      <c r="B85">
        <v>28</v>
      </c>
      <c r="C85" t="s">
        <v>605</v>
      </c>
      <c r="D85">
        <v>204.2</v>
      </c>
      <c r="E85" t="s">
        <v>606</v>
      </c>
    </row>
    <row r="86" spans="1:5" x14ac:dyDescent="0.3">
      <c r="A86">
        <v>85</v>
      </c>
      <c r="B86">
        <v>29</v>
      </c>
      <c r="C86" t="s">
        <v>621</v>
      </c>
      <c r="D86">
        <v>5.95</v>
      </c>
      <c r="E86" t="s">
        <v>622</v>
      </c>
    </row>
    <row r="87" spans="1:5" x14ac:dyDescent="0.3">
      <c r="A87">
        <v>86</v>
      </c>
      <c r="B87">
        <v>29</v>
      </c>
      <c r="C87" t="s">
        <v>613</v>
      </c>
      <c r="D87">
        <v>5.51</v>
      </c>
      <c r="E87" t="s">
        <v>614</v>
      </c>
    </row>
    <row r="88" spans="1:5" x14ac:dyDescent="0.3">
      <c r="A88">
        <v>87</v>
      </c>
      <c r="B88">
        <v>29</v>
      </c>
      <c r="C88" t="s">
        <v>605</v>
      </c>
      <c r="D88">
        <v>132.1</v>
      </c>
      <c r="E88" t="s">
        <v>606</v>
      </c>
    </row>
    <row r="89" spans="1:5" x14ac:dyDescent="0.3">
      <c r="A89">
        <v>88</v>
      </c>
      <c r="B89">
        <v>30</v>
      </c>
      <c r="C89" t="s">
        <v>617</v>
      </c>
      <c r="D89">
        <v>7.05</v>
      </c>
      <c r="E89" t="s">
        <v>618</v>
      </c>
    </row>
    <row r="90" spans="1:5" x14ac:dyDescent="0.3">
      <c r="A90">
        <v>89</v>
      </c>
      <c r="B90">
        <v>30</v>
      </c>
      <c r="C90" t="s">
        <v>607</v>
      </c>
      <c r="D90">
        <v>147.47</v>
      </c>
      <c r="E90" t="s">
        <v>608</v>
      </c>
    </row>
    <row r="91" spans="1:5" x14ac:dyDescent="0.3">
      <c r="A91">
        <v>90</v>
      </c>
      <c r="B91">
        <v>30</v>
      </c>
      <c r="C91" t="s">
        <v>615</v>
      </c>
      <c r="D91">
        <v>371.42</v>
      </c>
      <c r="E91" t="s">
        <v>616</v>
      </c>
    </row>
    <row r="92" spans="1:5" x14ac:dyDescent="0.3">
      <c r="A92">
        <v>91</v>
      </c>
      <c r="B92">
        <v>31</v>
      </c>
      <c r="C92" t="s">
        <v>605</v>
      </c>
      <c r="D92">
        <v>240.67</v>
      </c>
      <c r="E92" t="s">
        <v>606</v>
      </c>
    </row>
    <row r="93" spans="1:5" x14ac:dyDescent="0.3">
      <c r="A93">
        <v>92</v>
      </c>
      <c r="B93">
        <v>31</v>
      </c>
      <c r="C93" t="s">
        <v>613</v>
      </c>
      <c r="D93">
        <v>3.79</v>
      </c>
      <c r="E93" t="s">
        <v>614</v>
      </c>
    </row>
    <row r="94" spans="1:5" x14ac:dyDescent="0.3">
      <c r="A94">
        <v>93</v>
      </c>
      <c r="B94">
        <v>31</v>
      </c>
      <c r="C94" t="s">
        <v>617</v>
      </c>
      <c r="D94">
        <v>15.61</v>
      </c>
      <c r="E94" t="s">
        <v>618</v>
      </c>
    </row>
    <row r="95" spans="1:5" x14ac:dyDescent="0.3">
      <c r="A95">
        <v>94</v>
      </c>
      <c r="B95">
        <v>32</v>
      </c>
      <c r="C95" t="s">
        <v>609</v>
      </c>
      <c r="D95">
        <v>4.82</v>
      </c>
      <c r="E95" t="s">
        <v>610</v>
      </c>
    </row>
    <row r="96" spans="1:5" x14ac:dyDescent="0.3">
      <c r="A96">
        <v>95</v>
      </c>
      <c r="B96">
        <v>32</v>
      </c>
      <c r="C96" t="s">
        <v>605</v>
      </c>
      <c r="D96">
        <v>283.83999999999997</v>
      </c>
      <c r="E96" t="s">
        <v>606</v>
      </c>
    </row>
    <row r="97" spans="1:5" x14ac:dyDescent="0.3">
      <c r="A97">
        <v>96</v>
      </c>
      <c r="B97">
        <v>32</v>
      </c>
      <c r="C97" t="s">
        <v>603</v>
      </c>
      <c r="D97">
        <v>168.5</v>
      </c>
      <c r="E97" t="s">
        <v>604</v>
      </c>
    </row>
    <row r="98" spans="1:5" x14ac:dyDescent="0.3">
      <c r="A98">
        <v>97</v>
      </c>
      <c r="B98">
        <v>33</v>
      </c>
      <c r="C98" t="s">
        <v>603</v>
      </c>
      <c r="D98">
        <v>101.15</v>
      </c>
      <c r="E98" t="s">
        <v>604</v>
      </c>
    </row>
    <row r="99" spans="1:5" x14ac:dyDescent="0.3">
      <c r="A99">
        <v>98</v>
      </c>
      <c r="B99">
        <v>33</v>
      </c>
      <c r="C99" t="s">
        <v>607</v>
      </c>
      <c r="D99">
        <v>132.41</v>
      </c>
      <c r="E99" t="s">
        <v>608</v>
      </c>
    </row>
    <row r="100" spans="1:5" x14ac:dyDescent="0.3">
      <c r="A100">
        <v>99</v>
      </c>
      <c r="B100">
        <v>33</v>
      </c>
      <c r="C100" t="s">
        <v>615</v>
      </c>
      <c r="D100">
        <v>417.98</v>
      </c>
      <c r="E100" t="s">
        <v>616</v>
      </c>
    </row>
    <row r="101" spans="1:5" x14ac:dyDescent="0.3">
      <c r="A101">
        <v>100</v>
      </c>
      <c r="B101">
        <v>34</v>
      </c>
      <c r="C101" t="s">
        <v>611</v>
      </c>
      <c r="D101">
        <v>14.01</v>
      </c>
      <c r="E101" t="s">
        <v>612</v>
      </c>
    </row>
    <row r="102" spans="1:5" x14ac:dyDescent="0.3">
      <c r="A102">
        <v>101</v>
      </c>
      <c r="B102">
        <v>34</v>
      </c>
      <c r="C102" t="s">
        <v>615</v>
      </c>
      <c r="D102">
        <v>343.17</v>
      </c>
      <c r="E102" t="s">
        <v>616</v>
      </c>
    </row>
    <row r="103" spans="1:5" x14ac:dyDescent="0.3">
      <c r="A103">
        <v>102</v>
      </c>
      <c r="B103">
        <v>34</v>
      </c>
      <c r="C103" t="s">
        <v>619</v>
      </c>
      <c r="D103">
        <v>3.94</v>
      </c>
      <c r="E103" t="s">
        <v>620</v>
      </c>
    </row>
    <row r="104" spans="1:5" x14ac:dyDescent="0.3">
      <c r="A104">
        <v>103</v>
      </c>
      <c r="B104">
        <v>35</v>
      </c>
      <c r="C104" t="s">
        <v>621</v>
      </c>
      <c r="D104">
        <v>8.93</v>
      </c>
      <c r="E104" t="s">
        <v>622</v>
      </c>
    </row>
    <row r="105" spans="1:5" x14ac:dyDescent="0.3">
      <c r="A105">
        <v>104</v>
      </c>
      <c r="B105">
        <v>35</v>
      </c>
      <c r="C105" t="s">
        <v>615</v>
      </c>
      <c r="D105">
        <v>246.54</v>
      </c>
      <c r="E105" t="s">
        <v>616</v>
      </c>
    </row>
    <row r="106" spans="1:5" x14ac:dyDescent="0.3">
      <c r="A106">
        <v>105</v>
      </c>
      <c r="B106">
        <v>35</v>
      </c>
      <c r="C106" t="s">
        <v>609</v>
      </c>
      <c r="D106">
        <v>3.33</v>
      </c>
      <c r="E106" t="s">
        <v>610</v>
      </c>
    </row>
    <row r="107" spans="1:5" x14ac:dyDescent="0.3">
      <c r="A107">
        <v>106</v>
      </c>
      <c r="B107">
        <v>36</v>
      </c>
      <c r="C107" t="s">
        <v>613</v>
      </c>
      <c r="D107">
        <v>3.55</v>
      </c>
      <c r="E107" t="s">
        <v>614</v>
      </c>
    </row>
    <row r="108" spans="1:5" x14ac:dyDescent="0.3">
      <c r="A108">
        <v>107</v>
      </c>
      <c r="B108">
        <v>36</v>
      </c>
      <c r="C108" t="s">
        <v>603</v>
      </c>
      <c r="D108">
        <v>65.680000000000007</v>
      </c>
      <c r="E108" t="s">
        <v>604</v>
      </c>
    </row>
    <row r="109" spans="1:5" x14ac:dyDescent="0.3">
      <c r="A109">
        <v>108</v>
      </c>
      <c r="B109">
        <v>36</v>
      </c>
      <c r="C109" t="s">
        <v>621</v>
      </c>
      <c r="D109">
        <v>5.78</v>
      </c>
      <c r="E109" t="s">
        <v>622</v>
      </c>
    </row>
    <row r="110" spans="1:5" x14ac:dyDescent="0.3">
      <c r="A110">
        <v>109</v>
      </c>
      <c r="B110">
        <v>37</v>
      </c>
      <c r="C110" t="s">
        <v>619</v>
      </c>
      <c r="D110">
        <v>1.34</v>
      </c>
      <c r="E110" t="s">
        <v>620</v>
      </c>
    </row>
    <row r="111" spans="1:5" x14ac:dyDescent="0.3">
      <c r="A111">
        <v>110</v>
      </c>
      <c r="B111">
        <v>37</v>
      </c>
      <c r="C111" t="s">
        <v>613</v>
      </c>
      <c r="D111">
        <v>5.3</v>
      </c>
      <c r="E111" t="s">
        <v>614</v>
      </c>
    </row>
    <row r="112" spans="1:5" x14ac:dyDescent="0.3">
      <c r="A112">
        <v>111</v>
      </c>
      <c r="B112">
        <v>37</v>
      </c>
      <c r="C112" t="s">
        <v>621</v>
      </c>
      <c r="D112">
        <v>11.62</v>
      </c>
      <c r="E112" t="s">
        <v>622</v>
      </c>
    </row>
    <row r="113" spans="1:5" x14ac:dyDescent="0.3">
      <c r="A113">
        <v>112</v>
      </c>
      <c r="B113">
        <v>38</v>
      </c>
      <c r="C113" t="s">
        <v>615</v>
      </c>
      <c r="D113">
        <v>240.11</v>
      </c>
      <c r="E113" t="s">
        <v>616</v>
      </c>
    </row>
    <row r="114" spans="1:5" x14ac:dyDescent="0.3">
      <c r="A114">
        <v>113</v>
      </c>
      <c r="B114">
        <v>38</v>
      </c>
      <c r="C114" t="s">
        <v>607</v>
      </c>
      <c r="D114">
        <v>146.16999999999999</v>
      </c>
      <c r="E114" t="s">
        <v>608</v>
      </c>
    </row>
    <row r="115" spans="1:5" x14ac:dyDescent="0.3">
      <c r="A115">
        <v>114</v>
      </c>
      <c r="B115">
        <v>38</v>
      </c>
      <c r="C115" t="s">
        <v>619</v>
      </c>
      <c r="D115">
        <v>0.52</v>
      </c>
      <c r="E115" t="s">
        <v>620</v>
      </c>
    </row>
    <row r="116" spans="1:5" x14ac:dyDescent="0.3">
      <c r="A116">
        <v>115</v>
      </c>
      <c r="B116">
        <v>39</v>
      </c>
      <c r="C116" t="s">
        <v>603</v>
      </c>
      <c r="D116">
        <v>70.55</v>
      </c>
      <c r="E116" t="s">
        <v>604</v>
      </c>
    </row>
    <row r="117" spans="1:5" x14ac:dyDescent="0.3">
      <c r="A117">
        <v>116</v>
      </c>
      <c r="B117">
        <v>39</v>
      </c>
      <c r="C117" t="s">
        <v>611</v>
      </c>
      <c r="D117">
        <v>8.2100000000000009</v>
      </c>
      <c r="E117" t="s">
        <v>612</v>
      </c>
    </row>
    <row r="118" spans="1:5" x14ac:dyDescent="0.3">
      <c r="A118">
        <v>117</v>
      </c>
      <c r="B118">
        <v>39</v>
      </c>
      <c r="C118" t="s">
        <v>615</v>
      </c>
      <c r="D118">
        <v>201.7</v>
      </c>
      <c r="E118" t="s">
        <v>616</v>
      </c>
    </row>
    <row r="119" spans="1:5" x14ac:dyDescent="0.3">
      <c r="A119">
        <v>118</v>
      </c>
      <c r="B119">
        <v>40</v>
      </c>
      <c r="C119" t="s">
        <v>619</v>
      </c>
      <c r="D119">
        <v>3.91</v>
      </c>
      <c r="E119" t="s">
        <v>620</v>
      </c>
    </row>
    <row r="120" spans="1:5" x14ac:dyDescent="0.3">
      <c r="A120">
        <v>119</v>
      </c>
      <c r="B120">
        <v>40</v>
      </c>
      <c r="C120" t="s">
        <v>615</v>
      </c>
      <c r="D120">
        <v>169.69</v>
      </c>
      <c r="E120" t="s">
        <v>616</v>
      </c>
    </row>
    <row r="121" spans="1:5" x14ac:dyDescent="0.3">
      <c r="A121">
        <v>120</v>
      </c>
      <c r="B121">
        <v>40</v>
      </c>
      <c r="C121" t="s">
        <v>603</v>
      </c>
      <c r="D121">
        <v>117.56</v>
      </c>
      <c r="E121" t="s">
        <v>604</v>
      </c>
    </row>
    <row r="122" spans="1:5" x14ac:dyDescent="0.3">
      <c r="A122">
        <v>121</v>
      </c>
      <c r="B122">
        <v>41</v>
      </c>
      <c r="C122" t="s">
        <v>619</v>
      </c>
      <c r="D122">
        <v>1.69</v>
      </c>
      <c r="E122" t="s">
        <v>620</v>
      </c>
    </row>
    <row r="123" spans="1:5" x14ac:dyDescent="0.3">
      <c r="A123">
        <v>122</v>
      </c>
      <c r="B123">
        <v>41</v>
      </c>
      <c r="C123" t="s">
        <v>617</v>
      </c>
      <c r="D123">
        <v>10.210000000000001</v>
      </c>
      <c r="E123" t="s">
        <v>618</v>
      </c>
    </row>
    <row r="124" spans="1:5" x14ac:dyDescent="0.3">
      <c r="A124">
        <v>123</v>
      </c>
      <c r="B124">
        <v>41</v>
      </c>
      <c r="C124" t="s">
        <v>605</v>
      </c>
      <c r="D124">
        <v>155.71</v>
      </c>
      <c r="E124" t="s">
        <v>606</v>
      </c>
    </row>
    <row r="125" spans="1:5" x14ac:dyDescent="0.3">
      <c r="A125">
        <v>124</v>
      </c>
      <c r="B125">
        <v>42</v>
      </c>
      <c r="C125" t="s">
        <v>603</v>
      </c>
      <c r="D125">
        <v>233.47</v>
      </c>
      <c r="E125" t="s">
        <v>604</v>
      </c>
    </row>
    <row r="126" spans="1:5" x14ac:dyDescent="0.3">
      <c r="A126">
        <v>125</v>
      </c>
      <c r="B126">
        <v>42</v>
      </c>
      <c r="C126" t="s">
        <v>605</v>
      </c>
      <c r="D126">
        <v>124.2</v>
      </c>
      <c r="E126" t="s">
        <v>606</v>
      </c>
    </row>
    <row r="127" spans="1:5" x14ac:dyDescent="0.3">
      <c r="A127">
        <v>126</v>
      </c>
      <c r="B127">
        <v>42</v>
      </c>
      <c r="C127" t="s">
        <v>617</v>
      </c>
      <c r="D127">
        <v>11.81</v>
      </c>
      <c r="E127" t="s">
        <v>618</v>
      </c>
    </row>
    <row r="128" spans="1:5" x14ac:dyDescent="0.3">
      <c r="A128">
        <v>127</v>
      </c>
      <c r="B128">
        <v>43</v>
      </c>
      <c r="C128" t="s">
        <v>607</v>
      </c>
      <c r="D128">
        <v>148.59</v>
      </c>
      <c r="E128" t="s">
        <v>608</v>
      </c>
    </row>
    <row r="129" spans="1:5" x14ac:dyDescent="0.3">
      <c r="A129">
        <v>128</v>
      </c>
      <c r="B129">
        <v>43</v>
      </c>
      <c r="C129" t="s">
        <v>611</v>
      </c>
      <c r="D129">
        <v>10.199999999999999</v>
      </c>
      <c r="E129" t="s">
        <v>612</v>
      </c>
    </row>
    <row r="130" spans="1:5" x14ac:dyDescent="0.3">
      <c r="A130">
        <v>129</v>
      </c>
      <c r="B130">
        <v>43</v>
      </c>
      <c r="C130" t="s">
        <v>615</v>
      </c>
      <c r="D130">
        <v>184.05</v>
      </c>
      <c r="E130" t="s">
        <v>616</v>
      </c>
    </row>
    <row r="131" spans="1:5" x14ac:dyDescent="0.3">
      <c r="A131">
        <v>130</v>
      </c>
      <c r="B131">
        <v>44</v>
      </c>
      <c r="C131" t="s">
        <v>615</v>
      </c>
      <c r="D131">
        <v>407.44</v>
      </c>
      <c r="E131" t="s">
        <v>616</v>
      </c>
    </row>
    <row r="132" spans="1:5" x14ac:dyDescent="0.3">
      <c r="A132">
        <v>131</v>
      </c>
      <c r="B132">
        <v>44</v>
      </c>
      <c r="C132" t="s">
        <v>605</v>
      </c>
      <c r="D132">
        <v>133.08000000000001</v>
      </c>
      <c r="E132" t="s">
        <v>606</v>
      </c>
    </row>
    <row r="133" spans="1:5" x14ac:dyDescent="0.3">
      <c r="A133">
        <v>132</v>
      </c>
      <c r="B133">
        <v>44</v>
      </c>
      <c r="C133" t="s">
        <v>607</v>
      </c>
      <c r="D133">
        <v>131.18</v>
      </c>
      <c r="E133" t="s">
        <v>608</v>
      </c>
    </row>
    <row r="134" spans="1:5" x14ac:dyDescent="0.3">
      <c r="A134">
        <v>133</v>
      </c>
      <c r="B134">
        <v>45</v>
      </c>
      <c r="C134" t="s">
        <v>605</v>
      </c>
      <c r="D134">
        <v>226.51</v>
      </c>
      <c r="E134" t="s">
        <v>606</v>
      </c>
    </row>
    <row r="135" spans="1:5" x14ac:dyDescent="0.3">
      <c r="A135">
        <v>134</v>
      </c>
      <c r="B135">
        <v>45</v>
      </c>
      <c r="C135" t="s">
        <v>619</v>
      </c>
      <c r="D135">
        <v>2.93</v>
      </c>
      <c r="E135" t="s">
        <v>620</v>
      </c>
    </row>
    <row r="136" spans="1:5" x14ac:dyDescent="0.3">
      <c r="A136">
        <v>135</v>
      </c>
      <c r="B136">
        <v>45</v>
      </c>
      <c r="C136" t="s">
        <v>609</v>
      </c>
      <c r="D136">
        <v>6.43</v>
      </c>
      <c r="E136" t="s">
        <v>610</v>
      </c>
    </row>
    <row r="137" spans="1:5" x14ac:dyDescent="0.3">
      <c r="A137">
        <v>136</v>
      </c>
      <c r="B137">
        <v>46</v>
      </c>
      <c r="C137" t="s">
        <v>607</v>
      </c>
      <c r="D137">
        <v>144.79</v>
      </c>
      <c r="E137" t="s">
        <v>608</v>
      </c>
    </row>
    <row r="138" spans="1:5" x14ac:dyDescent="0.3">
      <c r="A138">
        <v>137</v>
      </c>
      <c r="B138">
        <v>46</v>
      </c>
      <c r="C138" t="s">
        <v>619</v>
      </c>
      <c r="D138">
        <v>2.56</v>
      </c>
      <c r="E138" t="s">
        <v>620</v>
      </c>
    </row>
    <row r="139" spans="1:5" x14ac:dyDescent="0.3">
      <c r="A139">
        <v>138</v>
      </c>
      <c r="B139">
        <v>46</v>
      </c>
      <c r="C139" t="s">
        <v>603</v>
      </c>
      <c r="D139">
        <v>223.07</v>
      </c>
      <c r="E139" t="s">
        <v>604</v>
      </c>
    </row>
    <row r="140" spans="1:5" x14ac:dyDescent="0.3">
      <c r="A140">
        <v>139</v>
      </c>
      <c r="B140">
        <v>47</v>
      </c>
      <c r="C140" t="s">
        <v>617</v>
      </c>
      <c r="D140">
        <v>6.21</v>
      </c>
      <c r="E140" t="s">
        <v>618</v>
      </c>
    </row>
    <row r="141" spans="1:5" x14ac:dyDescent="0.3">
      <c r="A141">
        <v>140</v>
      </c>
      <c r="B141">
        <v>47</v>
      </c>
      <c r="C141" t="s">
        <v>605</v>
      </c>
      <c r="D141">
        <v>245.89</v>
      </c>
      <c r="E141" t="s">
        <v>606</v>
      </c>
    </row>
    <row r="142" spans="1:5" x14ac:dyDescent="0.3">
      <c r="A142">
        <v>141</v>
      </c>
      <c r="B142">
        <v>47</v>
      </c>
      <c r="C142" t="s">
        <v>615</v>
      </c>
      <c r="D142">
        <v>198.03</v>
      </c>
      <c r="E142" t="s">
        <v>616</v>
      </c>
    </row>
    <row r="143" spans="1:5" x14ac:dyDescent="0.3">
      <c r="A143">
        <v>142</v>
      </c>
      <c r="B143">
        <v>48</v>
      </c>
      <c r="C143" t="s">
        <v>605</v>
      </c>
      <c r="D143">
        <v>161.85</v>
      </c>
      <c r="E143" t="s">
        <v>606</v>
      </c>
    </row>
    <row r="144" spans="1:5" x14ac:dyDescent="0.3">
      <c r="A144">
        <v>143</v>
      </c>
      <c r="B144">
        <v>48</v>
      </c>
      <c r="C144" t="s">
        <v>609</v>
      </c>
      <c r="D144">
        <v>1.72</v>
      </c>
      <c r="E144" t="s">
        <v>610</v>
      </c>
    </row>
    <row r="145" spans="1:5" x14ac:dyDescent="0.3">
      <c r="A145">
        <v>144</v>
      </c>
      <c r="B145">
        <v>48</v>
      </c>
      <c r="C145" t="s">
        <v>613</v>
      </c>
      <c r="D145">
        <v>4.4000000000000004</v>
      </c>
      <c r="E145" t="s">
        <v>614</v>
      </c>
    </row>
    <row r="146" spans="1:5" x14ac:dyDescent="0.3">
      <c r="A146">
        <v>145</v>
      </c>
      <c r="B146">
        <v>49</v>
      </c>
      <c r="C146" t="s">
        <v>621</v>
      </c>
      <c r="D146">
        <v>8.07</v>
      </c>
      <c r="E146" t="s">
        <v>622</v>
      </c>
    </row>
    <row r="147" spans="1:5" x14ac:dyDescent="0.3">
      <c r="A147">
        <v>146</v>
      </c>
      <c r="B147">
        <v>49</v>
      </c>
      <c r="C147" t="s">
        <v>611</v>
      </c>
      <c r="D147">
        <v>14.89</v>
      </c>
      <c r="E147" t="s">
        <v>612</v>
      </c>
    </row>
    <row r="148" spans="1:5" x14ac:dyDescent="0.3">
      <c r="A148">
        <v>147</v>
      </c>
      <c r="B148">
        <v>49</v>
      </c>
      <c r="C148" t="s">
        <v>605</v>
      </c>
      <c r="D148">
        <v>249.01</v>
      </c>
      <c r="E148" t="s">
        <v>606</v>
      </c>
    </row>
    <row r="149" spans="1:5" x14ac:dyDescent="0.3">
      <c r="A149">
        <v>148</v>
      </c>
      <c r="B149">
        <v>50</v>
      </c>
      <c r="C149" t="s">
        <v>609</v>
      </c>
      <c r="D149">
        <v>10.43</v>
      </c>
      <c r="E149" t="s">
        <v>610</v>
      </c>
    </row>
    <row r="150" spans="1:5" x14ac:dyDescent="0.3">
      <c r="A150">
        <v>149</v>
      </c>
      <c r="B150">
        <v>50</v>
      </c>
      <c r="C150" t="s">
        <v>615</v>
      </c>
      <c r="D150">
        <v>162.65</v>
      </c>
      <c r="E150" t="s">
        <v>616</v>
      </c>
    </row>
    <row r="151" spans="1:5" x14ac:dyDescent="0.3">
      <c r="A151">
        <v>150</v>
      </c>
      <c r="B151">
        <v>50</v>
      </c>
      <c r="C151" t="s">
        <v>613</v>
      </c>
      <c r="D151">
        <v>5.22</v>
      </c>
      <c r="E151" t="s">
        <v>614</v>
      </c>
    </row>
    <row r="152" spans="1:5" x14ac:dyDescent="0.3">
      <c r="A152">
        <v>151</v>
      </c>
      <c r="B152">
        <v>51</v>
      </c>
      <c r="C152" t="s">
        <v>609</v>
      </c>
      <c r="D152">
        <v>9.5299999999999994</v>
      </c>
      <c r="E152" t="s">
        <v>610</v>
      </c>
    </row>
    <row r="153" spans="1:5" x14ac:dyDescent="0.3">
      <c r="A153">
        <v>152</v>
      </c>
      <c r="B153">
        <v>51</v>
      </c>
      <c r="C153" t="s">
        <v>613</v>
      </c>
      <c r="D153">
        <v>4.78</v>
      </c>
      <c r="E153" t="s">
        <v>614</v>
      </c>
    </row>
    <row r="154" spans="1:5" x14ac:dyDescent="0.3">
      <c r="A154">
        <v>153</v>
      </c>
      <c r="B154">
        <v>51</v>
      </c>
      <c r="C154" t="s">
        <v>621</v>
      </c>
      <c r="D154">
        <v>9.1</v>
      </c>
      <c r="E154" t="s">
        <v>622</v>
      </c>
    </row>
    <row r="155" spans="1:5" x14ac:dyDescent="0.3">
      <c r="A155">
        <v>154</v>
      </c>
      <c r="B155">
        <v>52</v>
      </c>
      <c r="C155" t="s">
        <v>621</v>
      </c>
      <c r="D155">
        <v>5.76</v>
      </c>
      <c r="E155" t="s">
        <v>622</v>
      </c>
    </row>
    <row r="156" spans="1:5" x14ac:dyDescent="0.3">
      <c r="A156">
        <v>155</v>
      </c>
      <c r="B156">
        <v>52</v>
      </c>
      <c r="C156" t="s">
        <v>603</v>
      </c>
      <c r="D156">
        <v>102.56</v>
      </c>
      <c r="E156" t="s">
        <v>604</v>
      </c>
    </row>
    <row r="157" spans="1:5" x14ac:dyDescent="0.3">
      <c r="A157">
        <v>156</v>
      </c>
      <c r="B157">
        <v>52</v>
      </c>
      <c r="C157" t="s">
        <v>619</v>
      </c>
      <c r="D157">
        <v>3.52</v>
      </c>
      <c r="E157" t="s">
        <v>620</v>
      </c>
    </row>
    <row r="158" spans="1:5" x14ac:dyDescent="0.3">
      <c r="A158">
        <v>157</v>
      </c>
      <c r="B158">
        <v>53</v>
      </c>
      <c r="C158" t="s">
        <v>607</v>
      </c>
      <c r="D158">
        <v>137.35</v>
      </c>
      <c r="E158" t="s">
        <v>608</v>
      </c>
    </row>
    <row r="159" spans="1:5" x14ac:dyDescent="0.3">
      <c r="A159">
        <v>158</v>
      </c>
      <c r="B159">
        <v>53</v>
      </c>
      <c r="C159" t="s">
        <v>619</v>
      </c>
      <c r="D159">
        <v>1.82</v>
      </c>
      <c r="E159" t="s">
        <v>620</v>
      </c>
    </row>
    <row r="160" spans="1:5" x14ac:dyDescent="0.3">
      <c r="A160">
        <v>159</v>
      </c>
      <c r="B160">
        <v>53</v>
      </c>
      <c r="C160" t="s">
        <v>617</v>
      </c>
      <c r="D160">
        <v>5.04</v>
      </c>
      <c r="E160" t="s">
        <v>618</v>
      </c>
    </row>
    <row r="161" spans="1:5" x14ac:dyDescent="0.3">
      <c r="A161">
        <v>160</v>
      </c>
      <c r="B161">
        <v>54</v>
      </c>
      <c r="C161" t="s">
        <v>615</v>
      </c>
      <c r="D161">
        <v>147.02000000000001</v>
      </c>
      <c r="E161" t="s">
        <v>616</v>
      </c>
    </row>
    <row r="162" spans="1:5" x14ac:dyDescent="0.3">
      <c r="A162">
        <v>161</v>
      </c>
      <c r="B162">
        <v>54</v>
      </c>
      <c r="C162" t="s">
        <v>617</v>
      </c>
      <c r="D162">
        <v>4.09</v>
      </c>
      <c r="E162" t="s">
        <v>618</v>
      </c>
    </row>
    <row r="163" spans="1:5" x14ac:dyDescent="0.3">
      <c r="A163">
        <v>162</v>
      </c>
      <c r="B163">
        <v>54</v>
      </c>
      <c r="C163" t="s">
        <v>611</v>
      </c>
      <c r="D163">
        <v>11.67</v>
      </c>
      <c r="E163" t="s">
        <v>612</v>
      </c>
    </row>
    <row r="164" spans="1:5" x14ac:dyDescent="0.3">
      <c r="A164">
        <v>163</v>
      </c>
      <c r="B164">
        <v>55</v>
      </c>
      <c r="C164" t="s">
        <v>615</v>
      </c>
      <c r="D164">
        <v>262.83999999999997</v>
      </c>
      <c r="E164" t="s">
        <v>616</v>
      </c>
    </row>
    <row r="165" spans="1:5" x14ac:dyDescent="0.3">
      <c r="A165">
        <v>164</v>
      </c>
      <c r="B165">
        <v>55</v>
      </c>
      <c r="C165" t="s">
        <v>619</v>
      </c>
      <c r="D165">
        <v>2.67</v>
      </c>
      <c r="E165" t="s">
        <v>620</v>
      </c>
    </row>
    <row r="166" spans="1:5" x14ac:dyDescent="0.3">
      <c r="A166">
        <v>165</v>
      </c>
      <c r="B166">
        <v>55</v>
      </c>
      <c r="C166" t="s">
        <v>603</v>
      </c>
      <c r="D166">
        <v>143.83000000000001</v>
      </c>
      <c r="E166" t="s">
        <v>604</v>
      </c>
    </row>
    <row r="167" spans="1:5" x14ac:dyDescent="0.3">
      <c r="A167">
        <v>166</v>
      </c>
      <c r="B167">
        <v>56</v>
      </c>
      <c r="C167" t="s">
        <v>613</v>
      </c>
      <c r="D167">
        <v>4.05</v>
      </c>
      <c r="E167" t="s">
        <v>614</v>
      </c>
    </row>
    <row r="168" spans="1:5" x14ac:dyDescent="0.3">
      <c r="A168">
        <v>167</v>
      </c>
      <c r="B168">
        <v>56</v>
      </c>
      <c r="C168" t="s">
        <v>607</v>
      </c>
      <c r="D168">
        <v>138.94999999999999</v>
      </c>
      <c r="E168" t="s">
        <v>608</v>
      </c>
    </row>
    <row r="169" spans="1:5" x14ac:dyDescent="0.3">
      <c r="A169">
        <v>168</v>
      </c>
      <c r="B169">
        <v>56</v>
      </c>
      <c r="C169" t="s">
        <v>609</v>
      </c>
      <c r="D169">
        <v>5.53</v>
      </c>
      <c r="E169" t="s">
        <v>610</v>
      </c>
    </row>
    <row r="170" spans="1:5" x14ac:dyDescent="0.3">
      <c r="A170">
        <v>169</v>
      </c>
      <c r="B170">
        <v>57</v>
      </c>
      <c r="C170" t="s">
        <v>603</v>
      </c>
      <c r="D170">
        <v>108.25</v>
      </c>
      <c r="E170" t="s">
        <v>604</v>
      </c>
    </row>
    <row r="171" spans="1:5" x14ac:dyDescent="0.3">
      <c r="A171">
        <v>170</v>
      </c>
      <c r="B171">
        <v>57</v>
      </c>
      <c r="C171" t="s">
        <v>605</v>
      </c>
      <c r="D171">
        <v>249.07</v>
      </c>
      <c r="E171" t="s">
        <v>606</v>
      </c>
    </row>
    <row r="172" spans="1:5" x14ac:dyDescent="0.3">
      <c r="A172">
        <v>171</v>
      </c>
      <c r="B172">
        <v>57</v>
      </c>
      <c r="C172" t="s">
        <v>613</v>
      </c>
      <c r="D172">
        <v>4.0199999999999996</v>
      </c>
      <c r="E172" t="s">
        <v>614</v>
      </c>
    </row>
    <row r="173" spans="1:5" x14ac:dyDescent="0.3">
      <c r="A173">
        <v>172</v>
      </c>
      <c r="B173">
        <v>58</v>
      </c>
      <c r="C173" t="s">
        <v>611</v>
      </c>
      <c r="D173">
        <v>15.25</v>
      </c>
      <c r="E173" t="s">
        <v>612</v>
      </c>
    </row>
    <row r="174" spans="1:5" x14ac:dyDescent="0.3">
      <c r="A174">
        <v>173</v>
      </c>
      <c r="B174">
        <v>58</v>
      </c>
      <c r="C174" t="s">
        <v>617</v>
      </c>
      <c r="D174">
        <v>15.05</v>
      </c>
      <c r="E174" t="s">
        <v>618</v>
      </c>
    </row>
    <row r="175" spans="1:5" x14ac:dyDescent="0.3">
      <c r="A175">
        <v>174</v>
      </c>
      <c r="B175">
        <v>58</v>
      </c>
      <c r="C175" t="s">
        <v>621</v>
      </c>
      <c r="D175">
        <v>4.79</v>
      </c>
      <c r="E175" t="s">
        <v>622</v>
      </c>
    </row>
    <row r="176" spans="1:5" x14ac:dyDescent="0.3">
      <c r="A176">
        <v>175</v>
      </c>
      <c r="B176">
        <v>59</v>
      </c>
      <c r="C176" t="s">
        <v>611</v>
      </c>
      <c r="D176">
        <v>12.73</v>
      </c>
      <c r="E176" t="s">
        <v>612</v>
      </c>
    </row>
    <row r="177" spans="1:5" x14ac:dyDescent="0.3">
      <c r="A177">
        <v>176</v>
      </c>
      <c r="B177">
        <v>59</v>
      </c>
      <c r="C177" t="s">
        <v>615</v>
      </c>
      <c r="D177">
        <v>216.82</v>
      </c>
      <c r="E177" t="s">
        <v>616</v>
      </c>
    </row>
    <row r="178" spans="1:5" x14ac:dyDescent="0.3">
      <c r="A178">
        <v>177</v>
      </c>
      <c r="B178">
        <v>59</v>
      </c>
      <c r="C178" t="s">
        <v>603</v>
      </c>
      <c r="D178">
        <v>189.89</v>
      </c>
      <c r="E178" t="s">
        <v>604</v>
      </c>
    </row>
    <row r="179" spans="1:5" x14ac:dyDescent="0.3">
      <c r="A179">
        <v>178</v>
      </c>
      <c r="B179">
        <v>60</v>
      </c>
      <c r="C179" t="s">
        <v>617</v>
      </c>
      <c r="D179">
        <v>5.48</v>
      </c>
      <c r="E179" t="s">
        <v>618</v>
      </c>
    </row>
    <row r="180" spans="1:5" x14ac:dyDescent="0.3">
      <c r="A180">
        <v>179</v>
      </c>
      <c r="B180">
        <v>60</v>
      </c>
      <c r="C180" t="s">
        <v>621</v>
      </c>
      <c r="D180">
        <v>8.83</v>
      </c>
      <c r="E180" t="s">
        <v>622</v>
      </c>
    </row>
    <row r="181" spans="1:5" x14ac:dyDescent="0.3">
      <c r="A181">
        <v>180</v>
      </c>
      <c r="B181">
        <v>60</v>
      </c>
      <c r="C181" t="s">
        <v>609</v>
      </c>
      <c r="D181">
        <v>2.84</v>
      </c>
      <c r="E181" t="s">
        <v>610</v>
      </c>
    </row>
    <row r="182" spans="1:5" x14ac:dyDescent="0.3">
      <c r="A182">
        <v>181</v>
      </c>
      <c r="B182">
        <v>61</v>
      </c>
      <c r="C182" t="s">
        <v>609</v>
      </c>
      <c r="D182">
        <v>15.42</v>
      </c>
      <c r="E182" t="s">
        <v>610</v>
      </c>
    </row>
    <row r="183" spans="1:5" x14ac:dyDescent="0.3">
      <c r="A183">
        <v>182</v>
      </c>
      <c r="B183">
        <v>61</v>
      </c>
      <c r="C183" t="s">
        <v>617</v>
      </c>
      <c r="D183">
        <v>6.66</v>
      </c>
      <c r="E183" t="s">
        <v>618</v>
      </c>
    </row>
    <row r="184" spans="1:5" x14ac:dyDescent="0.3">
      <c r="A184">
        <v>183</v>
      </c>
      <c r="B184">
        <v>61</v>
      </c>
      <c r="C184" t="s">
        <v>603</v>
      </c>
      <c r="D184">
        <v>129.13</v>
      </c>
      <c r="E184" t="s">
        <v>604</v>
      </c>
    </row>
    <row r="185" spans="1:5" x14ac:dyDescent="0.3">
      <c r="A185">
        <v>184</v>
      </c>
      <c r="B185">
        <v>62</v>
      </c>
      <c r="C185" t="s">
        <v>607</v>
      </c>
      <c r="D185">
        <v>138.38</v>
      </c>
      <c r="E185" t="s">
        <v>608</v>
      </c>
    </row>
    <row r="186" spans="1:5" x14ac:dyDescent="0.3">
      <c r="A186">
        <v>185</v>
      </c>
      <c r="B186">
        <v>62</v>
      </c>
      <c r="C186" t="s">
        <v>621</v>
      </c>
      <c r="D186">
        <v>8.1</v>
      </c>
      <c r="E186" t="s">
        <v>622</v>
      </c>
    </row>
    <row r="187" spans="1:5" x14ac:dyDescent="0.3">
      <c r="A187">
        <v>186</v>
      </c>
      <c r="B187">
        <v>62</v>
      </c>
      <c r="C187" t="s">
        <v>603</v>
      </c>
      <c r="D187">
        <v>205.81</v>
      </c>
      <c r="E187" t="s">
        <v>604</v>
      </c>
    </row>
    <row r="188" spans="1:5" x14ac:dyDescent="0.3">
      <c r="A188">
        <v>187</v>
      </c>
      <c r="B188">
        <v>63</v>
      </c>
      <c r="C188" t="s">
        <v>605</v>
      </c>
      <c r="D188">
        <v>165.39</v>
      </c>
      <c r="E188" t="s">
        <v>606</v>
      </c>
    </row>
    <row r="189" spans="1:5" x14ac:dyDescent="0.3">
      <c r="A189">
        <v>188</v>
      </c>
      <c r="B189">
        <v>63</v>
      </c>
      <c r="C189" t="s">
        <v>607</v>
      </c>
      <c r="D189">
        <v>144.47999999999999</v>
      </c>
      <c r="E189" t="s">
        <v>608</v>
      </c>
    </row>
    <row r="190" spans="1:5" x14ac:dyDescent="0.3">
      <c r="A190">
        <v>189</v>
      </c>
      <c r="B190">
        <v>63</v>
      </c>
      <c r="C190" t="s">
        <v>619</v>
      </c>
      <c r="D190">
        <v>2.16</v>
      </c>
      <c r="E190" t="s">
        <v>620</v>
      </c>
    </row>
    <row r="191" spans="1:5" x14ac:dyDescent="0.3">
      <c r="A191">
        <v>190</v>
      </c>
      <c r="B191">
        <v>64</v>
      </c>
      <c r="C191" t="s">
        <v>609</v>
      </c>
      <c r="D191">
        <v>14.48</v>
      </c>
      <c r="E191" t="s">
        <v>610</v>
      </c>
    </row>
    <row r="192" spans="1:5" x14ac:dyDescent="0.3">
      <c r="A192">
        <v>191</v>
      </c>
      <c r="B192">
        <v>64</v>
      </c>
      <c r="C192" t="s">
        <v>621</v>
      </c>
      <c r="D192">
        <v>7.69</v>
      </c>
      <c r="E192" t="s">
        <v>622</v>
      </c>
    </row>
    <row r="193" spans="1:5" x14ac:dyDescent="0.3">
      <c r="A193">
        <v>192</v>
      </c>
      <c r="B193">
        <v>64</v>
      </c>
      <c r="C193" t="s">
        <v>613</v>
      </c>
      <c r="D193">
        <v>5.49</v>
      </c>
      <c r="E193" t="s">
        <v>614</v>
      </c>
    </row>
    <row r="194" spans="1:5" x14ac:dyDescent="0.3">
      <c r="A194">
        <v>193</v>
      </c>
      <c r="B194">
        <v>65</v>
      </c>
      <c r="C194" t="s">
        <v>615</v>
      </c>
      <c r="D194">
        <v>369.55</v>
      </c>
      <c r="E194" t="s">
        <v>616</v>
      </c>
    </row>
    <row r="195" spans="1:5" x14ac:dyDescent="0.3">
      <c r="A195">
        <v>194</v>
      </c>
      <c r="B195">
        <v>65</v>
      </c>
      <c r="C195" t="s">
        <v>619</v>
      </c>
      <c r="D195">
        <v>2.94</v>
      </c>
      <c r="E195" t="s">
        <v>620</v>
      </c>
    </row>
    <row r="196" spans="1:5" x14ac:dyDescent="0.3">
      <c r="A196">
        <v>195</v>
      </c>
      <c r="B196">
        <v>65</v>
      </c>
      <c r="C196" t="s">
        <v>607</v>
      </c>
      <c r="D196">
        <v>132.61000000000001</v>
      </c>
      <c r="E196" t="s">
        <v>608</v>
      </c>
    </row>
    <row r="197" spans="1:5" x14ac:dyDescent="0.3">
      <c r="A197">
        <v>196</v>
      </c>
      <c r="B197">
        <v>66</v>
      </c>
      <c r="C197" t="s">
        <v>613</v>
      </c>
      <c r="D197">
        <v>4.07</v>
      </c>
      <c r="E197" t="s">
        <v>614</v>
      </c>
    </row>
    <row r="198" spans="1:5" x14ac:dyDescent="0.3">
      <c r="A198">
        <v>197</v>
      </c>
      <c r="B198">
        <v>66</v>
      </c>
      <c r="C198" t="s">
        <v>609</v>
      </c>
      <c r="D198">
        <v>11.59</v>
      </c>
      <c r="E198" t="s">
        <v>610</v>
      </c>
    </row>
    <row r="199" spans="1:5" x14ac:dyDescent="0.3">
      <c r="A199">
        <v>198</v>
      </c>
      <c r="B199">
        <v>66</v>
      </c>
      <c r="C199" t="s">
        <v>603</v>
      </c>
      <c r="D199">
        <v>88.74</v>
      </c>
      <c r="E199" t="s">
        <v>604</v>
      </c>
    </row>
    <row r="200" spans="1:5" x14ac:dyDescent="0.3">
      <c r="A200">
        <v>199</v>
      </c>
      <c r="B200">
        <v>67</v>
      </c>
      <c r="C200" t="s">
        <v>603</v>
      </c>
      <c r="D200">
        <v>127.87</v>
      </c>
      <c r="E200" t="s">
        <v>604</v>
      </c>
    </row>
    <row r="201" spans="1:5" x14ac:dyDescent="0.3">
      <c r="A201">
        <v>200</v>
      </c>
      <c r="B201">
        <v>67</v>
      </c>
      <c r="C201" t="s">
        <v>613</v>
      </c>
      <c r="D201">
        <v>4.2300000000000004</v>
      </c>
      <c r="E201" t="s">
        <v>614</v>
      </c>
    </row>
    <row r="202" spans="1:5" x14ac:dyDescent="0.3">
      <c r="A202">
        <v>201</v>
      </c>
      <c r="B202">
        <v>67</v>
      </c>
      <c r="C202" t="s">
        <v>615</v>
      </c>
      <c r="D202">
        <v>340.02</v>
      </c>
      <c r="E202" t="s">
        <v>616</v>
      </c>
    </row>
    <row r="203" spans="1:5" x14ac:dyDescent="0.3">
      <c r="A203">
        <v>202</v>
      </c>
      <c r="B203">
        <v>68</v>
      </c>
      <c r="C203" t="s">
        <v>607</v>
      </c>
      <c r="D203">
        <v>135.16999999999999</v>
      </c>
      <c r="E203" t="s">
        <v>608</v>
      </c>
    </row>
    <row r="204" spans="1:5" x14ac:dyDescent="0.3">
      <c r="A204">
        <v>203</v>
      </c>
      <c r="B204">
        <v>68</v>
      </c>
      <c r="C204" t="s">
        <v>609</v>
      </c>
      <c r="D204">
        <v>0.56000000000000005</v>
      </c>
      <c r="E204" t="s">
        <v>610</v>
      </c>
    </row>
    <row r="205" spans="1:5" x14ac:dyDescent="0.3">
      <c r="A205">
        <v>204</v>
      </c>
      <c r="B205">
        <v>68</v>
      </c>
      <c r="C205" t="s">
        <v>617</v>
      </c>
      <c r="D205">
        <v>13.21</v>
      </c>
      <c r="E205" t="s">
        <v>618</v>
      </c>
    </row>
    <row r="206" spans="1:5" x14ac:dyDescent="0.3">
      <c r="A206">
        <v>205</v>
      </c>
      <c r="B206">
        <v>69</v>
      </c>
      <c r="C206" t="s">
        <v>605</v>
      </c>
      <c r="D206">
        <v>233.64</v>
      </c>
      <c r="E206" t="s">
        <v>606</v>
      </c>
    </row>
    <row r="207" spans="1:5" x14ac:dyDescent="0.3">
      <c r="A207">
        <v>206</v>
      </c>
      <c r="B207">
        <v>69</v>
      </c>
      <c r="C207" t="s">
        <v>621</v>
      </c>
      <c r="D207">
        <v>10.39</v>
      </c>
      <c r="E207" t="s">
        <v>622</v>
      </c>
    </row>
    <row r="208" spans="1:5" x14ac:dyDescent="0.3">
      <c r="A208">
        <v>207</v>
      </c>
      <c r="B208">
        <v>69</v>
      </c>
      <c r="C208" t="s">
        <v>615</v>
      </c>
      <c r="D208">
        <v>419.81</v>
      </c>
      <c r="E208" t="s">
        <v>616</v>
      </c>
    </row>
    <row r="209" spans="1:5" x14ac:dyDescent="0.3">
      <c r="A209">
        <v>208</v>
      </c>
      <c r="B209">
        <v>70</v>
      </c>
      <c r="C209" t="s">
        <v>621</v>
      </c>
      <c r="D209">
        <v>5.63</v>
      </c>
      <c r="E209" t="s">
        <v>622</v>
      </c>
    </row>
    <row r="210" spans="1:5" x14ac:dyDescent="0.3">
      <c r="A210">
        <v>209</v>
      </c>
      <c r="B210">
        <v>70</v>
      </c>
      <c r="C210" t="s">
        <v>607</v>
      </c>
      <c r="D210">
        <v>136.59</v>
      </c>
      <c r="E210" t="s">
        <v>608</v>
      </c>
    </row>
    <row r="211" spans="1:5" x14ac:dyDescent="0.3">
      <c r="A211">
        <v>210</v>
      </c>
      <c r="B211">
        <v>70</v>
      </c>
      <c r="C211" t="s">
        <v>609</v>
      </c>
      <c r="D211">
        <v>10.74</v>
      </c>
      <c r="E211" t="s">
        <v>610</v>
      </c>
    </row>
    <row r="212" spans="1:5" x14ac:dyDescent="0.3">
      <c r="A212">
        <v>211</v>
      </c>
      <c r="B212">
        <v>71</v>
      </c>
      <c r="C212" t="s">
        <v>619</v>
      </c>
      <c r="D212">
        <v>1.65</v>
      </c>
      <c r="E212" t="s">
        <v>620</v>
      </c>
    </row>
    <row r="213" spans="1:5" x14ac:dyDescent="0.3">
      <c r="A213">
        <v>212</v>
      </c>
      <c r="B213">
        <v>71</v>
      </c>
      <c r="C213" t="s">
        <v>613</v>
      </c>
      <c r="D213">
        <v>6.07</v>
      </c>
      <c r="E213" t="s">
        <v>614</v>
      </c>
    </row>
    <row r="214" spans="1:5" x14ac:dyDescent="0.3">
      <c r="A214">
        <v>213</v>
      </c>
      <c r="B214">
        <v>71</v>
      </c>
      <c r="C214" t="s">
        <v>611</v>
      </c>
      <c r="D214">
        <v>13.71</v>
      </c>
      <c r="E214" t="s">
        <v>612</v>
      </c>
    </row>
    <row r="215" spans="1:5" x14ac:dyDescent="0.3">
      <c r="A215">
        <v>214</v>
      </c>
      <c r="B215">
        <v>72</v>
      </c>
      <c r="C215" t="s">
        <v>617</v>
      </c>
      <c r="D215">
        <v>4.3600000000000003</v>
      </c>
      <c r="E215" t="s">
        <v>618</v>
      </c>
    </row>
    <row r="216" spans="1:5" x14ac:dyDescent="0.3">
      <c r="A216">
        <v>215</v>
      </c>
      <c r="B216">
        <v>72</v>
      </c>
      <c r="C216" t="s">
        <v>611</v>
      </c>
      <c r="D216">
        <v>12.81</v>
      </c>
      <c r="E216" t="s">
        <v>612</v>
      </c>
    </row>
    <row r="217" spans="1:5" x14ac:dyDescent="0.3">
      <c r="A217">
        <v>216</v>
      </c>
      <c r="B217">
        <v>72</v>
      </c>
      <c r="C217" t="s">
        <v>605</v>
      </c>
      <c r="D217">
        <v>126.41</v>
      </c>
      <c r="E217" t="s">
        <v>606</v>
      </c>
    </row>
    <row r="218" spans="1:5" x14ac:dyDescent="0.3">
      <c r="A218">
        <v>217</v>
      </c>
      <c r="B218">
        <v>73</v>
      </c>
      <c r="C218" t="s">
        <v>621</v>
      </c>
      <c r="D218">
        <v>5.49</v>
      </c>
      <c r="E218" t="s">
        <v>622</v>
      </c>
    </row>
    <row r="219" spans="1:5" x14ac:dyDescent="0.3">
      <c r="A219">
        <v>218</v>
      </c>
      <c r="B219">
        <v>73</v>
      </c>
      <c r="C219" t="s">
        <v>613</v>
      </c>
      <c r="D219">
        <v>3.04</v>
      </c>
      <c r="E219" t="s">
        <v>614</v>
      </c>
    </row>
    <row r="220" spans="1:5" x14ac:dyDescent="0.3">
      <c r="A220">
        <v>219</v>
      </c>
      <c r="B220">
        <v>73</v>
      </c>
      <c r="C220" t="s">
        <v>603</v>
      </c>
      <c r="D220">
        <v>243.15</v>
      </c>
      <c r="E220" t="s">
        <v>604</v>
      </c>
    </row>
    <row r="221" spans="1:5" x14ac:dyDescent="0.3">
      <c r="A221">
        <v>220</v>
      </c>
      <c r="B221">
        <v>74</v>
      </c>
      <c r="C221" t="s">
        <v>617</v>
      </c>
      <c r="D221">
        <v>6.78</v>
      </c>
      <c r="E221" t="s">
        <v>618</v>
      </c>
    </row>
    <row r="222" spans="1:5" x14ac:dyDescent="0.3">
      <c r="A222">
        <v>221</v>
      </c>
      <c r="B222">
        <v>74</v>
      </c>
      <c r="C222" t="s">
        <v>619</v>
      </c>
      <c r="D222">
        <v>2.34</v>
      </c>
      <c r="E222" t="s">
        <v>620</v>
      </c>
    </row>
    <row r="223" spans="1:5" x14ac:dyDescent="0.3">
      <c r="A223">
        <v>222</v>
      </c>
      <c r="B223">
        <v>74</v>
      </c>
      <c r="C223" t="s">
        <v>609</v>
      </c>
      <c r="D223">
        <v>9.15</v>
      </c>
      <c r="E223" t="s">
        <v>610</v>
      </c>
    </row>
    <row r="224" spans="1:5" x14ac:dyDescent="0.3">
      <c r="A224">
        <v>223</v>
      </c>
      <c r="B224">
        <v>75</v>
      </c>
      <c r="C224" t="s">
        <v>615</v>
      </c>
      <c r="D224">
        <v>160.13999999999999</v>
      </c>
      <c r="E224" t="s">
        <v>616</v>
      </c>
    </row>
    <row r="225" spans="1:5" x14ac:dyDescent="0.3">
      <c r="A225">
        <v>224</v>
      </c>
      <c r="B225">
        <v>75</v>
      </c>
      <c r="C225" t="s">
        <v>609</v>
      </c>
      <c r="D225">
        <v>17.21</v>
      </c>
      <c r="E225" t="s">
        <v>610</v>
      </c>
    </row>
    <row r="226" spans="1:5" x14ac:dyDescent="0.3">
      <c r="A226">
        <v>225</v>
      </c>
      <c r="B226">
        <v>75</v>
      </c>
      <c r="C226" t="s">
        <v>603</v>
      </c>
      <c r="D226">
        <v>141.01</v>
      </c>
      <c r="E226" t="s">
        <v>604</v>
      </c>
    </row>
    <row r="227" spans="1:5" x14ac:dyDescent="0.3">
      <c r="A227">
        <v>226</v>
      </c>
      <c r="B227">
        <v>76</v>
      </c>
      <c r="C227" t="s">
        <v>605</v>
      </c>
      <c r="D227">
        <v>227.29</v>
      </c>
      <c r="E227" t="s">
        <v>606</v>
      </c>
    </row>
    <row r="228" spans="1:5" x14ac:dyDescent="0.3">
      <c r="A228">
        <v>227</v>
      </c>
      <c r="B228">
        <v>76</v>
      </c>
      <c r="C228" t="s">
        <v>611</v>
      </c>
      <c r="D228">
        <v>12.02</v>
      </c>
      <c r="E228" t="s">
        <v>612</v>
      </c>
    </row>
    <row r="229" spans="1:5" x14ac:dyDescent="0.3">
      <c r="A229">
        <v>228</v>
      </c>
      <c r="B229">
        <v>76</v>
      </c>
      <c r="C229" t="s">
        <v>621</v>
      </c>
      <c r="D229">
        <v>4.55</v>
      </c>
      <c r="E229" t="s">
        <v>622</v>
      </c>
    </row>
    <row r="230" spans="1:5" x14ac:dyDescent="0.3">
      <c r="A230">
        <v>229</v>
      </c>
      <c r="B230">
        <v>77</v>
      </c>
      <c r="C230" t="s">
        <v>619</v>
      </c>
      <c r="D230">
        <v>1.58</v>
      </c>
      <c r="E230" t="s">
        <v>620</v>
      </c>
    </row>
    <row r="231" spans="1:5" x14ac:dyDescent="0.3">
      <c r="A231">
        <v>230</v>
      </c>
      <c r="B231">
        <v>77</v>
      </c>
      <c r="C231" t="s">
        <v>605</v>
      </c>
      <c r="D231">
        <v>283.58</v>
      </c>
      <c r="E231" t="s">
        <v>606</v>
      </c>
    </row>
    <row r="232" spans="1:5" x14ac:dyDescent="0.3">
      <c r="A232">
        <v>231</v>
      </c>
      <c r="B232">
        <v>77</v>
      </c>
      <c r="C232" t="s">
        <v>621</v>
      </c>
      <c r="D232">
        <v>9.32</v>
      </c>
      <c r="E232" t="s">
        <v>622</v>
      </c>
    </row>
    <row r="233" spans="1:5" x14ac:dyDescent="0.3">
      <c r="A233">
        <v>232</v>
      </c>
      <c r="B233">
        <v>78</v>
      </c>
      <c r="C233" t="s">
        <v>605</v>
      </c>
      <c r="D233">
        <v>220.5</v>
      </c>
      <c r="E233" t="s">
        <v>606</v>
      </c>
    </row>
    <row r="234" spans="1:5" x14ac:dyDescent="0.3">
      <c r="A234">
        <v>233</v>
      </c>
      <c r="B234">
        <v>78</v>
      </c>
      <c r="C234" t="s">
        <v>617</v>
      </c>
      <c r="D234">
        <v>11.9</v>
      </c>
      <c r="E234" t="s">
        <v>618</v>
      </c>
    </row>
    <row r="235" spans="1:5" x14ac:dyDescent="0.3">
      <c r="A235">
        <v>234</v>
      </c>
      <c r="B235">
        <v>78</v>
      </c>
      <c r="C235" t="s">
        <v>619</v>
      </c>
      <c r="D235">
        <v>1.46</v>
      </c>
      <c r="E235" t="s">
        <v>620</v>
      </c>
    </row>
    <row r="236" spans="1:5" x14ac:dyDescent="0.3">
      <c r="A236">
        <v>235</v>
      </c>
      <c r="B236">
        <v>79</v>
      </c>
      <c r="C236" t="s">
        <v>603</v>
      </c>
      <c r="D236">
        <v>76.83</v>
      </c>
      <c r="E236" t="s">
        <v>604</v>
      </c>
    </row>
    <row r="237" spans="1:5" x14ac:dyDescent="0.3">
      <c r="A237">
        <v>236</v>
      </c>
      <c r="B237">
        <v>79</v>
      </c>
      <c r="C237" t="s">
        <v>605</v>
      </c>
      <c r="D237">
        <v>199.85</v>
      </c>
      <c r="E237" t="s">
        <v>606</v>
      </c>
    </row>
    <row r="238" spans="1:5" x14ac:dyDescent="0.3">
      <c r="A238">
        <v>237</v>
      </c>
      <c r="B238">
        <v>79</v>
      </c>
      <c r="C238" t="s">
        <v>613</v>
      </c>
      <c r="D238">
        <v>5.55</v>
      </c>
      <c r="E238" t="s">
        <v>614</v>
      </c>
    </row>
    <row r="239" spans="1:5" x14ac:dyDescent="0.3">
      <c r="A239">
        <v>238</v>
      </c>
      <c r="B239">
        <v>80</v>
      </c>
      <c r="C239" t="s">
        <v>609</v>
      </c>
      <c r="D239">
        <v>9.26</v>
      </c>
      <c r="E239" t="s">
        <v>610</v>
      </c>
    </row>
    <row r="240" spans="1:5" x14ac:dyDescent="0.3">
      <c r="A240">
        <v>239</v>
      </c>
      <c r="B240">
        <v>80</v>
      </c>
      <c r="C240" t="s">
        <v>615</v>
      </c>
      <c r="D240">
        <v>301.64999999999998</v>
      </c>
      <c r="E240" t="s">
        <v>616</v>
      </c>
    </row>
    <row r="241" spans="1:5" x14ac:dyDescent="0.3">
      <c r="A241">
        <v>240</v>
      </c>
      <c r="B241">
        <v>80</v>
      </c>
      <c r="C241" t="s">
        <v>613</v>
      </c>
      <c r="D241">
        <v>5.31</v>
      </c>
      <c r="E241" t="s">
        <v>614</v>
      </c>
    </row>
    <row r="242" spans="1:5" x14ac:dyDescent="0.3">
      <c r="A242">
        <v>241</v>
      </c>
      <c r="B242">
        <v>81</v>
      </c>
      <c r="C242" t="s">
        <v>617</v>
      </c>
      <c r="D242">
        <v>12.1</v>
      </c>
      <c r="E242" t="s">
        <v>618</v>
      </c>
    </row>
    <row r="243" spans="1:5" x14ac:dyDescent="0.3">
      <c r="A243">
        <v>242</v>
      </c>
      <c r="B243">
        <v>81</v>
      </c>
      <c r="C243" t="s">
        <v>613</v>
      </c>
      <c r="D243">
        <v>5.22</v>
      </c>
      <c r="E243" t="s">
        <v>614</v>
      </c>
    </row>
    <row r="244" spans="1:5" x14ac:dyDescent="0.3">
      <c r="A244">
        <v>243</v>
      </c>
      <c r="B244">
        <v>81</v>
      </c>
      <c r="C244" t="s">
        <v>615</v>
      </c>
      <c r="D244">
        <v>204.11</v>
      </c>
      <c r="E244" t="s">
        <v>616</v>
      </c>
    </row>
    <row r="245" spans="1:5" x14ac:dyDescent="0.3">
      <c r="A245">
        <v>244</v>
      </c>
      <c r="B245">
        <v>82</v>
      </c>
      <c r="C245" t="s">
        <v>621</v>
      </c>
      <c r="D245">
        <v>5.99</v>
      </c>
      <c r="E245" t="s">
        <v>622</v>
      </c>
    </row>
    <row r="246" spans="1:5" x14ac:dyDescent="0.3">
      <c r="A246">
        <v>245</v>
      </c>
      <c r="B246">
        <v>82</v>
      </c>
      <c r="C246" t="s">
        <v>605</v>
      </c>
      <c r="D246">
        <v>299.99</v>
      </c>
      <c r="E246" t="s">
        <v>606</v>
      </c>
    </row>
    <row r="247" spans="1:5" x14ac:dyDescent="0.3">
      <c r="A247">
        <v>246</v>
      </c>
      <c r="B247">
        <v>82</v>
      </c>
      <c r="C247" t="s">
        <v>607</v>
      </c>
      <c r="D247">
        <v>144.13</v>
      </c>
      <c r="E247" t="s">
        <v>608</v>
      </c>
    </row>
    <row r="248" spans="1:5" x14ac:dyDescent="0.3">
      <c r="A248">
        <v>247</v>
      </c>
      <c r="B248">
        <v>83</v>
      </c>
      <c r="C248" t="s">
        <v>613</v>
      </c>
      <c r="D248">
        <v>5.17</v>
      </c>
      <c r="E248" t="s">
        <v>614</v>
      </c>
    </row>
    <row r="249" spans="1:5" x14ac:dyDescent="0.3">
      <c r="A249">
        <v>248</v>
      </c>
      <c r="B249">
        <v>83</v>
      </c>
      <c r="C249" t="s">
        <v>607</v>
      </c>
      <c r="D249">
        <v>130.1</v>
      </c>
      <c r="E249" t="s">
        <v>608</v>
      </c>
    </row>
    <row r="250" spans="1:5" x14ac:dyDescent="0.3">
      <c r="A250">
        <v>249</v>
      </c>
      <c r="B250">
        <v>83</v>
      </c>
      <c r="C250" t="s">
        <v>605</v>
      </c>
      <c r="D250">
        <v>259.73</v>
      </c>
      <c r="E250" t="s">
        <v>606</v>
      </c>
    </row>
    <row r="251" spans="1:5" x14ac:dyDescent="0.3">
      <c r="A251">
        <v>250</v>
      </c>
      <c r="B251">
        <v>84</v>
      </c>
      <c r="C251" t="s">
        <v>603</v>
      </c>
      <c r="D251">
        <v>115.65</v>
      </c>
      <c r="E251" t="s">
        <v>604</v>
      </c>
    </row>
    <row r="252" spans="1:5" x14ac:dyDescent="0.3">
      <c r="A252">
        <v>251</v>
      </c>
      <c r="B252">
        <v>84</v>
      </c>
      <c r="C252" t="s">
        <v>619</v>
      </c>
      <c r="D252">
        <v>2.7</v>
      </c>
      <c r="E252" t="s">
        <v>620</v>
      </c>
    </row>
    <row r="253" spans="1:5" x14ac:dyDescent="0.3">
      <c r="A253">
        <v>252</v>
      </c>
      <c r="B253">
        <v>84</v>
      </c>
      <c r="C253" t="s">
        <v>605</v>
      </c>
      <c r="D253">
        <v>178.38</v>
      </c>
      <c r="E253" t="s">
        <v>606</v>
      </c>
    </row>
    <row r="254" spans="1:5" x14ac:dyDescent="0.3">
      <c r="A254">
        <v>253</v>
      </c>
      <c r="B254">
        <v>85</v>
      </c>
      <c r="C254" t="s">
        <v>611</v>
      </c>
      <c r="D254">
        <v>11.32</v>
      </c>
      <c r="E254" t="s">
        <v>612</v>
      </c>
    </row>
    <row r="255" spans="1:5" x14ac:dyDescent="0.3">
      <c r="A255">
        <v>254</v>
      </c>
      <c r="B255">
        <v>85</v>
      </c>
      <c r="C255" t="s">
        <v>619</v>
      </c>
      <c r="D255">
        <v>3.17</v>
      </c>
      <c r="E255" t="s">
        <v>620</v>
      </c>
    </row>
    <row r="256" spans="1:5" x14ac:dyDescent="0.3">
      <c r="A256">
        <v>255</v>
      </c>
      <c r="B256">
        <v>85</v>
      </c>
      <c r="C256" t="s">
        <v>613</v>
      </c>
      <c r="D256">
        <v>3.21</v>
      </c>
      <c r="E256" t="s">
        <v>614</v>
      </c>
    </row>
    <row r="257" spans="1:5" x14ac:dyDescent="0.3">
      <c r="A257">
        <v>256</v>
      </c>
      <c r="B257">
        <v>86</v>
      </c>
      <c r="C257" t="s">
        <v>615</v>
      </c>
      <c r="D257">
        <v>276.54000000000002</v>
      </c>
      <c r="E257" t="s">
        <v>616</v>
      </c>
    </row>
    <row r="258" spans="1:5" x14ac:dyDescent="0.3">
      <c r="A258">
        <v>257</v>
      </c>
      <c r="B258">
        <v>86</v>
      </c>
      <c r="C258" t="s">
        <v>611</v>
      </c>
      <c r="D258">
        <v>15.18</v>
      </c>
      <c r="E258" t="s">
        <v>612</v>
      </c>
    </row>
    <row r="259" spans="1:5" x14ac:dyDescent="0.3">
      <c r="A259">
        <v>258</v>
      </c>
      <c r="B259">
        <v>86</v>
      </c>
      <c r="C259" t="s">
        <v>609</v>
      </c>
      <c r="D259">
        <v>8.26</v>
      </c>
      <c r="E259" t="s">
        <v>610</v>
      </c>
    </row>
    <row r="260" spans="1:5" x14ac:dyDescent="0.3">
      <c r="A260">
        <v>259</v>
      </c>
      <c r="B260">
        <v>87</v>
      </c>
      <c r="C260" t="s">
        <v>605</v>
      </c>
      <c r="D260">
        <v>221.21</v>
      </c>
      <c r="E260" t="s">
        <v>606</v>
      </c>
    </row>
    <row r="261" spans="1:5" x14ac:dyDescent="0.3">
      <c r="A261">
        <v>260</v>
      </c>
      <c r="B261">
        <v>87</v>
      </c>
      <c r="C261" t="s">
        <v>617</v>
      </c>
      <c r="D261">
        <v>9.01</v>
      </c>
      <c r="E261" t="s">
        <v>618</v>
      </c>
    </row>
    <row r="262" spans="1:5" x14ac:dyDescent="0.3">
      <c r="A262">
        <v>261</v>
      </c>
      <c r="B262">
        <v>87</v>
      </c>
      <c r="C262" t="s">
        <v>619</v>
      </c>
      <c r="D262">
        <v>0.76</v>
      </c>
      <c r="E262" t="s">
        <v>620</v>
      </c>
    </row>
    <row r="263" spans="1:5" x14ac:dyDescent="0.3">
      <c r="A263">
        <v>262</v>
      </c>
      <c r="B263">
        <v>88</v>
      </c>
      <c r="C263" t="s">
        <v>613</v>
      </c>
      <c r="D263">
        <v>5.34</v>
      </c>
      <c r="E263" t="s">
        <v>614</v>
      </c>
    </row>
    <row r="264" spans="1:5" x14ac:dyDescent="0.3">
      <c r="A264">
        <v>263</v>
      </c>
      <c r="B264">
        <v>88</v>
      </c>
      <c r="C264" t="s">
        <v>607</v>
      </c>
      <c r="D264">
        <v>146.83000000000001</v>
      </c>
      <c r="E264" t="s">
        <v>608</v>
      </c>
    </row>
    <row r="265" spans="1:5" x14ac:dyDescent="0.3">
      <c r="A265">
        <v>264</v>
      </c>
      <c r="B265">
        <v>88</v>
      </c>
      <c r="C265" t="s">
        <v>615</v>
      </c>
      <c r="D265">
        <v>238.84</v>
      </c>
      <c r="E265" t="s">
        <v>616</v>
      </c>
    </row>
    <row r="266" spans="1:5" x14ac:dyDescent="0.3">
      <c r="A266">
        <v>265</v>
      </c>
      <c r="B266">
        <v>89</v>
      </c>
      <c r="C266" t="s">
        <v>603</v>
      </c>
      <c r="D266">
        <v>196.18</v>
      </c>
      <c r="E266" t="s">
        <v>604</v>
      </c>
    </row>
    <row r="267" spans="1:5" x14ac:dyDescent="0.3">
      <c r="A267">
        <v>266</v>
      </c>
      <c r="B267">
        <v>89</v>
      </c>
      <c r="C267" t="s">
        <v>617</v>
      </c>
      <c r="D267">
        <v>4.7699999999999996</v>
      </c>
      <c r="E267" t="s">
        <v>618</v>
      </c>
    </row>
    <row r="268" spans="1:5" x14ac:dyDescent="0.3">
      <c r="A268">
        <v>267</v>
      </c>
      <c r="B268">
        <v>89</v>
      </c>
      <c r="C268" t="s">
        <v>611</v>
      </c>
      <c r="D268">
        <v>14.04</v>
      </c>
      <c r="E268" t="s">
        <v>612</v>
      </c>
    </row>
    <row r="269" spans="1:5" x14ac:dyDescent="0.3">
      <c r="A269">
        <v>268</v>
      </c>
      <c r="B269">
        <v>90</v>
      </c>
      <c r="C269" t="s">
        <v>613</v>
      </c>
      <c r="D269">
        <v>3.03</v>
      </c>
      <c r="E269" t="s">
        <v>614</v>
      </c>
    </row>
    <row r="270" spans="1:5" x14ac:dyDescent="0.3">
      <c r="A270">
        <v>269</v>
      </c>
      <c r="B270">
        <v>90</v>
      </c>
      <c r="C270" t="s">
        <v>621</v>
      </c>
      <c r="D270">
        <v>8.39</v>
      </c>
      <c r="E270" t="s">
        <v>622</v>
      </c>
    </row>
    <row r="271" spans="1:5" x14ac:dyDescent="0.3">
      <c r="A271">
        <v>270</v>
      </c>
      <c r="B271">
        <v>90</v>
      </c>
      <c r="C271" t="s">
        <v>609</v>
      </c>
      <c r="D271">
        <v>4.92</v>
      </c>
      <c r="E271" t="s">
        <v>610</v>
      </c>
    </row>
    <row r="272" spans="1:5" x14ac:dyDescent="0.3">
      <c r="A272">
        <v>271</v>
      </c>
      <c r="B272">
        <v>91</v>
      </c>
      <c r="C272" t="s">
        <v>613</v>
      </c>
      <c r="D272">
        <v>5.59</v>
      </c>
      <c r="E272" t="s">
        <v>614</v>
      </c>
    </row>
    <row r="273" spans="1:5" x14ac:dyDescent="0.3">
      <c r="A273">
        <v>272</v>
      </c>
      <c r="B273">
        <v>91</v>
      </c>
      <c r="C273" t="s">
        <v>605</v>
      </c>
      <c r="D273">
        <v>288.31</v>
      </c>
      <c r="E273" t="s">
        <v>606</v>
      </c>
    </row>
    <row r="274" spans="1:5" x14ac:dyDescent="0.3">
      <c r="A274">
        <v>273</v>
      </c>
      <c r="B274">
        <v>91</v>
      </c>
      <c r="C274" t="s">
        <v>621</v>
      </c>
      <c r="D274">
        <v>5.36</v>
      </c>
      <c r="E274" t="s">
        <v>622</v>
      </c>
    </row>
    <row r="275" spans="1:5" x14ac:dyDescent="0.3">
      <c r="A275">
        <v>274</v>
      </c>
      <c r="B275">
        <v>92</v>
      </c>
      <c r="C275" t="s">
        <v>603</v>
      </c>
      <c r="D275">
        <v>119.42</v>
      </c>
      <c r="E275" t="s">
        <v>604</v>
      </c>
    </row>
    <row r="276" spans="1:5" x14ac:dyDescent="0.3">
      <c r="A276">
        <v>275</v>
      </c>
      <c r="B276">
        <v>92</v>
      </c>
      <c r="C276" t="s">
        <v>611</v>
      </c>
      <c r="D276">
        <v>12.61</v>
      </c>
      <c r="E276" t="s">
        <v>612</v>
      </c>
    </row>
    <row r="277" spans="1:5" x14ac:dyDescent="0.3">
      <c r="A277">
        <v>276</v>
      </c>
      <c r="B277">
        <v>92</v>
      </c>
      <c r="C277" t="s">
        <v>605</v>
      </c>
      <c r="D277">
        <v>198.17</v>
      </c>
      <c r="E277" t="s">
        <v>606</v>
      </c>
    </row>
    <row r="278" spans="1:5" x14ac:dyDescent="0.3">
      <c r="A278">
        <v>277</v>
      </c>
      <c r="B278">
        <v>93</v>
      </c>
      <c r="C278" t="s">
        <v>611</v>
      </c>
      <c r="D278">
        <v>8.61</v>
      </c>
      <c r="E278" t="s">
        <v>612</v>
      </c>
    </row>
    <row r="279" spans="1:5" x14ac:dyDescent="0.3">
      <c r="A279">
        <v>278</v>
      </c>
      <c r="B279">
        <v>93</v>
      </c>
      <c r="C279" t="s">
        <v>603</v>
      </c>
      <c r="D279">
        <v>131.25</v>
      </c>
      <c r="E279" t="s">
        <v>604</v>
      </c>
    </row>
    <row r="280" spans="1:5" x14ac:dyDescent="0.3">
      <c r="A280">
        <v>279</v>
      </c>
      <c r="B280">
        <v>93</v>
      </c>
      <c r="C280" t="s">
        <v>617</v>
      </c>
      <c r="D280">
        <v>5.82</v>
      </c>
      <c r="E280" t="s">
        <v>618</v>
      </c>
    </row>
    <row r="281" spans="1:5" x14ac:dyDescent="0.3">
      <c r="A281">
        <v>280</v>
      </c>
      <c r="B281">
        <v>94</v>
      </c>
      <c r="C281" t="s">
        <v>603</v>
      </c>
      <c r="D281">
        <v>146.78</v>
      </c>
      <c r="E281" t="s">
        <v>604</v>
      </c>
    </row>
    <row r="282" spans="1:5" x14ac:dyDescent="0.3">
      <c r="A282">
        <v>281</v>
      </c>
      <c r="B282">
        <v>94</v>
      </c>
      <c r="C282" t="s">
        <v>609</v>
      </c>
      <c r="D282">
        <v>1.05</v>
      </c>
      <c r="E282" t="s">
        <v>610</v>
      </c>
    </row>
    <row r="283" spans="1:5" x14ac:dyDescent="0.3">
      <c r="A283">
        <v>282</v>
      </c>
      <c r="B283">
        <v>94</v>
      </c>
      <c r="C283" t="s">
        <v>619</v>
      </c>
      <c r="D283">
        <v>2.72</v>
      </c>
      <c r="E283" t="s">
        <v>620</v>
      </c>
    </row>
    <row r="284" spans="1:5" x14ac:dyDescent="0.3">
      <c r="A284">
        <v>283</v>
      </c>
      <c r="B284">
        <v>95</v>
      </c>
      <c r="C284" t="s">
        <v>609</v>
      </c>
      <c r="D284">
        <v>13.84</v>
      </c>
      <c r="E284" t="s">
        <v>610</v>
      </c>
    </row>
    <row r="285" spans="1:5" x14ac:dyDescent="0.3">
      <c r="A285">
        <v>284</v>
      </c>
      <c r="B285">
        <v>95</v>
      </c>
      <c r="C285" t="s">
        <v>611</v>
      </c>
      <c r="D285">
        <v>11.66</v>
      </c>
      <c r="E285" t="s">
        <v>612</v>
      </c>
    </row>
    <row r="286" spans="1:5" x14ac:dyDescent="0.3">
      <c r="A286">
        <v>285</v>
      </c>
      <c r="B286">
        <v>95</v>
      </c>
      <c r="C286" t="s">
        <v>607</v>
      </c>
      <c r="D286">
        <v>141.16</v>
      </c>
      <c r="E286" t="s">
        <v>608</v>
      </c>
    </row>
    <row r="287" spans="1:5" x14ac:dyDescent="0.3">
      <c r="A287">
        <v>286</v>
      </c>
      <c r="B287">
        <v>96</v>
      </c>
      <c r="C287" t="s">
        <v>603</v>
      </c>
      <c r="D287">
        <v>236.83</v>
      </c>
      <c r="E287" t="s">
        <v>604</v>
      </c>
    </row>
    <row r="288" spans="1:5" x14ac:dyDescent="0.3">
      <c r="A288">
        <v>287</v>
      </c>
      <c r="B288">
        <v>96</v>
      </c>
      <c r="C288" t="s">
        <v>607</v>
      </c>
      <c r="D288">
        <v>136.24</v>
      </c>
      <c r="E288" t="s">
        <v>608</v>
      </c>
    </row>
    <row r="289" spans="1:5" x14ac:dyDescent="0.3">
      <c r="A289">
        <v>288</v>
      </c>
      <c r="B289">
        <v>96</v>
      </c>
      <c r="C289" t="s">
        <v>619</v>
      </c>
      <c r="D289">
        <v>1.33</v>
      </c>
      <c r="E289" t="s">
        <v>620</v>
      </c>
    </row>
    <row r="290" spans="1:5" x14ac:dyDescent="0.3">
      <c r="A290">
        <v>289</v>
      </c>
      <c r="B290">
        <v>97</v>
      </c>
      <c r="C290" t="s">
        <v>611</v>
      </c>
      <c r="D290">
        <v>7.29</v>
      </c>
      <c r="E290" t="s">
        <v>612</v>
      </c>
    </row>
    <row r="291" spans="1:5" x14ac:dyDescent="0.3">
      <c r="A291">
        <v>290</v>
      </c>
      <c r="B291">
        <v>97</v>
      </c>
      <c r="C291" t="s">
        <v>603</v>
      </c>
      <c r="D291">
        <v>67.69</v>
      </c>
      <c r="E291" t="s">
        <v>604</v>
      </c>
    </row>
    <row r="292" spans="1:5" x14ac:dyDescent="0.3">
      <c r="A292">
        <v>291</v>
      </c>
      <c r="B292">
        <v>97</v>
      </c>
      <c r="C292" t="s">
        <v>607</v>
      </c>
      <c r="D292">
        <v>146.05000000000001</v>
      </c>
      <c r="E292" t="s">
        <v>608</v>
      </c>
    </row>
    <row r="293" spans="1:5" x14ac:dyDescent="0.3">
      <c r="A293">
        <v>292</v>
      </c>
      <c r="B293">
        <v>98</v>
      </c>
      <c r="C293" t="s">
        <v>611</v>
      </c>
      <c r="D293">
        <v>15.37</v>
      </c>
      <c r="E293" t="s">
        <v>612</v>
      </c>
    </row>
    <row r="294" spans="1:5" x14ac:dyDescent="0.3">
      <c r="A294">
        <v>293</v>
      </c>
      <c r="B294">
        <v>98</v>
      </c>
      <c r="C294" t="s">
        <v>619</v>
      </c>
      <c r="D294">
        <v>3.41</v>
      </c>
      <c r="E294" t="s">
        <v>620</v>
      </c>
    </row>
    <row r="295" spans="1:5" x14ac:dyDescent="0.3">
      <c r="A295">
        <v>294</v>
      </c>
      <c r="B295">
        <v>98</v>
      </c>
      <c r="C295" t="s">
        <v>621</v>
      </c>
      <c r="D295">
        <v>5.34</v>
      </c>
      <c r="E295" t="s">
        <v>622</v>
      </c>
    </row>
    <row r="296" spans="1:5" x14ac:dyDescent="0.3">
      <c r="A296">
        <v>295</v>
      </c>
      <c r="B296">
        <v>99</v>
      </c>
      <c r="C296" t="s">
        <v>605</v>
      </c>
      <c r="D296">
        <v>222.5</v>
      </c>
      <c r="E296" t="s">
        <v>606</v>
      </c>
    </row>
    <row r="297" spans="1:5" x14ac:dyDescent="0.3">
      <c r="A297">
        <v>296</v>
      </c>
      <c r="B297">
        <v>99</v>
      </c>
      <c r="C297" t="s">
        <v>603</v>
      </c>
      <c r="D297">
        <v>215.89</v>
      </c>
      <c r="E297" t="s">
        <v>604</v>
      </c>
    </row>
    <row r="298" spans="1:5" x14ac:dyDescent="0.3">
      <c r="A298">
        <v>297</v>
      </c>
      <c r="B298">
        <v>99</v>
      </c>
      <c r="C298" t="s">
        <v>607</v>
      </c>
      <c r="D298">
        <v>135.1</v>
      </c>
      <c r="E298" t="s">
        <v>608</v>
      </c>
    </row>
    <row r="299" spans="1:5" x14ac:dyDescent="0.3">
      <c r="A299">
        <v>298</v>
      </c>
      <c r="B299">
        <v>100</v>
      </c>
      <c r="C299" t="s">
        <v>619</v>
      </c>
      <c r="D299">
        <v>3.79</v>
      </c>
      <c r="E299" t="s">
        <v>620</v>
      </c>
    </row>
    <row r="300" spans="1:5" x14ac:dyDescent="0.3">
      <c r="A300">
        <v>299</v>
      </c>
      <c r="B300">
        <v>100</v>
      </c>
      <c r="C300" t="s">
        <v>621</v>
      </c>
      <c r="D300">
        <v>4.97</v>
      </c>
      <c r="E300" t="s">
        <v>622</v>
      </c>
    </row>
    <row r="301" spans="1:5" x14ac:dyDescent="0.3">
      <c r="A301">
        <v>300</v>
      </c>
      <c r="B301">
        <v>100</v>
      </c>
      <c r="C301" t="s">
        <v>607</v>
      </c>
      <c r="D301">
        <v>132.69999999999999</v>
      </c>
      <c r="E301" t="s">
        <v>608</v>
      </c>
    </row>
    <row r="302" spans="1:5" x14ac:dyDescent="0.3">
      <c r="A302">
        <v>301</v>
      </c>
      <c r="B302">
        <v>101</v>
      </c>
      <c r="C302" t="s">
        <v>615</v>
      </c>
      <c r="D302">
        <v>105.25</v>
      </c>
      <c r="E302" t="s">
        <v>616</v>
      </c>
    </row>
    <row r="303" spans="1:5" x14ac:dyDescent="0.3">
      <c r="A303">
        <v>302</v>
      </c>
      <c r="B303">
        <v>101</v>
      </c>
      <c r="C303" t="s">
        <v>621</v>
      </c>
      <c r="D303">
        <v>9.23</v>
      </c>
      <c r="E303" t="s">
        <v>622</v>
      </c>
    </row>
    <row r="304" spans="1:5" x14ac:dyDescent="0.3">
      <c r="A304">
        <v>303</v>
      </c>
      <c r="B304">
        <v>101</v>
      </c>
      <c r="C304" t="s">
        <v>605</v>
      </c>
      <c r="D304">
        <v>122.4</v>
      </c>
      <c r="E304" t="s">
        <v>606</v>
      </c>
    </row>
    <row r="305" spans="1:5" x14ac:dyDescent="0.3">
      <c r="A305">
        <v>304</v>
      </c>
      <c r="B305">
        <v>102</v>
      </c>
      <c r="C305" t="s">
        <v>619</v>
      </c>
      <c r="D305">
        <v>0.73</v>
      </c>
      <c r="E305" t="s">
        <v>620</v>
      </c>
    </row>
    <row r="306" spans="1:5" x14ac:dyDescent="0.3">
      <c r="A306">
        <v>305</v>
      </c>
      <c r="B306">
        <v>102</v>
      </c>
      <c r="C306" t="s">
        <v>613</v>
      </c>
      <c r="D306">
        <v>5.57</v>
      </c>
      <c r="E306" t="s">
        <v>614</v>
      </c>
    </row>
    <row r="307" spans="1:5" x14ac:dyDescent="0.3">
      <c r="A307">
        <v>306</v>
      </c>
      <c r="B307">
        <v>102</v>
      </c>
      <c r="C307" t="s">
        <v>621</v>
      </c>
      <c r="D307">
        <v>9.1999999999999993</v>
      </c>
      <c r="E307" t="s">
        <v>622</v>
      </c>
    </row>
    <row r="308" spans="1:5" x14ac:dyDescent="0.3">
      <c r="A308">
        <v>307</v>
      </c>
      <c r="B308">
        <v>103</v>
      </c>
      <c r="C308" t="s">
        <v>615</v>
      </c>
      <c r="D308">
        <v>409.91</v>
      </c>
      <c r="E308" t="s">
        <v>616</v>
      </c>
    </row>
    <row r="309" spans="1:5" x14ac:dyDescent="0.3">
      <c r="A309">
        <v>308</v>
      </c>
      <c r="B309">
        <v>103</v>
      </c>
      <c r="C309" t="s">
        <v>603</v>
      </c>
      <c r="D309">
        <v>141.05000000000001</v>
      </c>
      <c r="E309" t="s">
        <v>604</v>
      </c>
    </row>
    <row r="310" spans="1:5" x14ac:dyDescent="0.3">
      <c r="A310">
        <v>309</v>
      </c>
      <c r="B310">
        <v>103</v>
      </c>
      <c r="C310" t="s">
        <v>611</v>
      </c>
      <c r="D310">
        <v>15.06</v>
      </c>
      <c r="E310" t="s">
        <v>612</v>
      </c>
    </row>
    <row r="311" spans="1:5" x14ac:dyDescent="0.3">
      <c r="A311">
        <v>310</v>
      </c>
      <c r="B311">
        <v>104</v>
      </c>
      <c r="C311" t="s">
        <v>613</v>
      </c>
      <c r="D311">
        <v>3.66</v>
      </c>
      <c r="E311" t="s">
        <v>614</v>
      </c>
    </row>
    <row r="312" spans="1:5" x14ac:dyDescent="0.3">
      <c r="A312">
        <v>311</v>
      </c>
      <c r="B312">
        <v>104</v>
      </c>
      <c r="C312" t="s">
        <v>611</v>
      </c>
      <c r="D312">
        <v>7.99</v>
      </c>
      <c r="E312" t="s">
        <v>612</v>
      </c>
    </row>
    <row r="313" spans="1:5" x14ac:dyDescent="0.3">
      <c r="A313">
        <v>312</v>
      </c>
      <c r="B313">
        <v>104</v>
      </c>
      <c r="C313" t="s">
        <v>605</v>
      </c>
      <c r="D313">
        <v>184.87</v>
      </c>
      <c r="E313" t="s">
        <v>606</v>
      </c>
    </row>
    <row r="314" spans="1:5" x14ac:dyDescent="0.3">
      <c r="A314">
        <v>313</v>
      </c>
      <c r="B314">
        <v>105</v>
      </c>
      <c r="C314" t="s">
        <v>607</v>
      </c>
      <c r="D314">
        <v>131.86000000000001</v>
      </c>
      <c r="E314" t="s">
        <v>608</v>
      </c>
    </row>
    <row r="315" spans="1:5" x14ac:dyDescent="0.3">
      <c r="A315">
        <v>314</v>
      </c>
      <c r="B315">
        <v>105</v>
      </c>
      <c r="C315" t="s">
        <v>605</v>
      </c>
      <c r="D315">
        <v>272.33999999999997</v>
      </c>
      <c r="E315" t="s">
        <v>606</v>
      </c>
    </row>
    <row r="316" spans="1:5" x14ac:dyDescent="0.3">
      <c r="A316">
        <v>315</v>
      </c>
      <c r="B316">
        <v>105</v>
      </c>
      <c r="C316" t="s">
        <v>615</v>
      </c>
      <c r="D316">
        <v>340.67</v>
      </c>
      <c r="E316" t="s">
        <v>616</v>
      </c>
    </row>
    <row r="317" spans="1:5" x14ac:dyDescent="0.3">
      <c r="A317">
        <v>316</v>
      </c>
      <c r="B317">
        <v>106</v>
      </c>
      <c r="C317" t="s">
        <v>613</v>
      </c>
      <c r="D317">
        <v>2.86</v>
      </c>
      <c r="E317" t="s">
        <v>614</v>
      </c>
    </row>
    <row r="318" spans="1:5" x14ac:dyDescent="0.3">
      <c r="A318">
        <v>317</v>
      </c>
      <c r="B318">
        <v>106</v>
      </c>
      <c r="C318" t="s">
        <v>611</v>
      </c>
      <c r="D318">
        <v>16.579999999999998</v>
      </c>
      <c r="E318" t="s">
        <v>612</v>
      </c>
    </row>
    <row r="319" spans="1:5" x14ac:dyDescent="0.3">
      <c r="A319">
        <v>318</v>
      </c>
      <c r="B319">
        <v>106</v>
      </c>
      <c r="C319" t="s">
        <v>615</v>
      </c>
      <c r="D319">
        <v>257.12</v>
      </c>
      <c r="E319" t="s">
        <v>616</v>
      </c>
    </row>
    <row r="320" spans="1:5" x14ac:dyDescent="0.3">
      <c r="A320">
        <v>319</v>
      </c>
      <c r="B320">
        <v>107</v>
      </c>
      <c r="C320" t="s">
        <v>609</v>
      </c>
      <c r="D320">
        <v>4.7300000000000004</v>
      </c>
      <c r="E320" t="s">
        <v>610</v>
      </c>
    </row>
    <row r="321" spans="1:5" x14ac:dyDescent="0.3">
      <c r="A321">
        <v>320</v>
      </c>
      <c r="B321">
        <v>107</v>
      </c>
      <c r="C321" t="s">
        <v>619</v>
      </c>
      <c r="D321">
        <v>2.66</v>
      </c>
      <c r="E321" t="s">
        <v>620</v>
      </c>
    </row>
    <row r="322" spans="1:5" x14ac:dyDescent="0.3">
      <c r="A322">
        <v>321</v>
      </c>
      <c r="B322">
        <v>107</v>
      </c>
      <c r="C322" t="s">
        <v>603</v>
      </c>
      <c r="D322">
        <v>230.9</v>
      </c>
      <c r="E322" t="s">
        <v>604</v>
      </c>
    </row>
    <row r="323" spans="1:5" x14ac:dyDescent="0.3">
      <c r="A323">
        <v>322</v>
      </c>
      <c r="B323">
        <v>108</v>
      </c>
      <c r="C323" t="s">
        <v>617</v>
      </c>
      <c r="D323">
        <v>12.84</v>
      </c>
      <c r="E323" t="s">
        <v>618</v>
      </c>
    </row>
    <row r="324" spans="1:5" x14ac:dyDescent="0.3">
      <c r="A324">
        <v>323</v>
      </c>
      <c r="B324">
        <v>108</v>
      </c>
      <c r="C324" t="s">
        <v>619</v>
      </c>
      <c r="D324">
        <v>2.67</v>
      </c>
      <c r="E324" t="s">
        <v>620</v>
      </c>
    </row>
    <row r="325" spans="1:5" x14ac:dyDescent="0.3">
      <c r="A325">
        <v>324</v>
      </c>
      <c r="B325">
        <v>108</v>
      </c>
      <c r="C325" t="s">
        <v>607</v>
      </c>
      <c r="D325">
        <v>129.32</v>
      </c>
      <c r="E325" t="s">
        <v>608</v>
      </c>
    </row>
    <row r="326" spans="1:5" x14ac:dyDescent="0.3">
      <c r="A326">
        <v>325</v>
      </c>
      <c r="B326">
        <v>109</v>
      </c>
      <c r="C326" t="s">
        <v>615</v>
      </c>
      <c r="D326">
        <v>170.7</v>
      </c>
      <c r="E326" t="s">
        <v>616</v>
      </c>
    </row>
    <row r="327" spans="1:5" x14ac:dyDescent="0.3">
      <c r="A327">
        <v>326</v>
      </c>
      <c r="B327">
        <v>109</v>
      </c>
      <c r="C327" t="s">
        <v>613</v>
      </c>
      <c r="D327">
        <v>4.08</v>
      </c>
      <c r="E327" t="s">
        <v>614</v>
      </c>
    </row>
    <row r="328" spans="1:5" x14ac:dyDescent="0.3">
      <c r="A328">
        <v>327</v>
      </c>
      <c r="B328">
        <v>109</v>
      </c>
      <c r="C328" t="s">
        <v>617</v>
      </c>
      <c r="D328">
        <v>11.35</v>
      </c>
      <c r="E328" t="s">
        <v>618</v>
      </c>
    </row>
    <row r="329" spans="1:5" x14ac:dyDescent="0.3">
      <c r="A329">
        <v>328</v>
      </c>
      <c r="B329">
        <v>110</v>
      </c>
      <c r="C329" t="s">
        <v>619</v>
      </c>
      <c r="D329">
        <v>0.97</v>
      </c>
      <c r="E329" t="s">
        <v>620</v>
      </c>
    </row>
    <row r="330" spans="1:5" x14ac:dyDescent="0.3">
      <c r="A330">
        <v>329</v>
      </c>
      <c r="B330">
        <v>110</v>
      </c>
      <c r="C330" t="s">
        <v>613</v>
      </c>
      <c r="D330">
        <v>3.88</v>
      </c>
      <c r="E330" t="s">
        <v>614</v>
      </c>
    </row>
    <row r="331" spans="1:5" x14ac:dyDescent="0.3">
      <c r="A331">
        <v>330</v>
      </c>
      <c r="B331">
        <v>110</v>
      </c>
      <c r="C331" t="s">
        <v>615</v>
      </c>
      <c r="D331">
        <v>375.44</v>
      </c>
      <c r="E331" t="s">
        <v>616</v>
      </c>
    </row>
    <row r="332" spans="1:5" x14ac:dyDescent="0.3">
      <c r="A332">
        <v>331</v>
      </c>
      <c r="B332">
        <v>111</v>
      </c>
      <c r="C332" t="s">
        <v>603</v>
      </c>
      <c r="D332">
        <v>184.89</v>
      </c>
      <c r="E332" t="s">
        <v>604</v>
      </c>
    </row>
    <row r="333" spans="1:5" x14ac:dyDescent="0.3">
      <c r="A333">
        <v>332</v>
      </c>
      <c r="B333">
        <v>111</v>
      </c>
      <c r="C333" t="s">
        <v>609</v>
      </c>
      <c r="D333">
        <v>5.84</v>
      </c>
      <c r="E333" t="s">
        <v>610</v>
      </c>
    </row>
    <row r="334" spans="1:5" x14ac:dyDescent="0.3">
      <c r="A334">
        <v>333</v>
      </c>
      <c r="B334">
        <v>111</v>
      </c>
      <c r="C334" t="s">
        <v>607</v>
      </c>
      <c r="D334">
        <v>128.52000000000001</v>
      </c>
      <c r="E334" t="s">
        <v>608</v>
      </c>
    </row>
    <row r="335" spans="1:5" x14ac:dyDescent="0.3">
      <c r="A335">
        <v>334</v>
      </c>
      <c r="B335">
        <v>112</v>
      </c>
      <c r="C335" t="s">
        <v>615</v>
      </c>
      <c r="D335">
        <v>172.04</v>
      </c>
      <c r="E335" t="s">
        <v>616</v>
      </c>
    </row>
    <row r="336" spans="1:5" x14ac:dyDescent="0.3">
      <c r="A336">
        <v>335</v>
      </c>
      <c r="B336">
        <v>112</v>
      </c>
      <c r="C336" t="s">
        <v>621</v>
      </c>
      <c r="D336">
        <v>4.43</v>
      </c>
      <c r="E336" t="s">
        <v>622</v>
      </c>
    </row>
    <row r="337" spans="1:5" x14ac:dyDescent="0.3">
      <c r="A337">
        <v>336</v>
      </c>
      <c r="B337">
        <v>112</v>
      </c>
      <c r="C337" t="s">
        <v>619</v>
      </c>
      <c r="D337">
        <v>3.71</v>
      </c>
      <c r="E337" t="s">
        <v>620</v>
      </c>
    </row>
    <row r="338" spans="1:5" x14ac:dyDescent="0.3">
      <c r="A338">
        <v>337</v>
      </c>
      <c r="B338">
        <v>113</v>
      </c>
      <c r="C338" t="s">
        <v>619</v>
      </c>
      <c r="D338">
        <v>2.33</v>
      </c>
      <c r="E338" t="s">
        <v>620</v>
      </c>
    </row>
    <row r="339" spans="1:5" x14ac:dyDescent="0.3">
      <c r="A339">
        <v>338</v>
      </c>
      <c r="B339">
        <v>113</v>
      </c>
      <c r="C339" t="s">
        <v>621</v>
      </c>
      <c r="D339">
        <v>5.47</v>
      </c>
      <c r="E339" t="s">
        <v>622</v>
      </c>
    </row>
    <row r="340" spans="1:5" x14ac:dyDescent="0.3">
      <c r="A340">
        <v>339</v>
      </c>
      <c r="B340">
        <v>113</v>
      </c>
      <c r="C340" t="s">
        <v>607</v>
      </c>
      <c r="D340">
        <v>141.86000000000001</v>
      </c>
      <c r="E340" t="s">
        <v>608</v>
      </c>
    </row>
    <row r="341" spans="1:5" x14ac:dyDescent="0.3">
      <c r="A341">
        <v>340</v>
      </c>
      <c r="B341">
        <v>114</v>
      </c>
      <c r="C341" t="s">
        <v>611</v>
      </c>
      <c r="D341">
        <v>17.010000000000002</v>
      </c>
      <c r="E341" t="s">
        <v>612</v>
      </c>
    </row>
    <row r="342" spans="1:5" x14ac:dyDescent="0.3">
      <c r="A342">
        <v>341</v>
      </c>
      <c r="B342">
        <v>114</v>
      </c>
      <c r="C342" t="s">
        <v>613</v>
      </c>
      <c r="D342">
        <v>2.98</v>
      </c>
      <c r="E342" t="s">
        <v>614</v>
      </c>
    </row>
    <row r="343" spans="1:5" x14ac:dyDescent="0.3">
      <c r="A343">
        <v>342</v>
      </c>
      <c r="B343">
        <v>114</v>
      </c>
      <c r="C343" t="s">
        <v>621</v>
      </c>
      <c r="D343">
        <v>11.94</v>
      </c>
      <c r="E343" t="s">
        <v>622</v>
      </c>
    </row>
    <row r="344" spans="1:5" x14ac:dyDescent="0.3">
      <c r="A344">
        <v>343</v>
      </c>
      <c r="B344">
        <v>115</v>
      </c>
      <c r="C344" t="s">
        <v>619</v>
      </c>
      <c r="D344">
        <v>1.1100000000000001</v>
      </c>
      <c r="E344" t="s">
        <v>620</v>
      </c>
    </row>
    <row r="345" spans="1:5" x14ac:dyDescent="0.3">
      <c r="A345">
        <v>344</v>
      </c>
      <c r="B345">
        <v>115</v>
      </c>
      <c r="C345" t="s">
        <v>605</v>
      </c>
      <c r="D345">
        <v>229.77</v>
      </c>
      <c r="E345" t="s">
        <v>606</v>
      </c>
    </row>
    <row r="346" spans="1:5" x14ac:dyDescent="0.3">
      <c r="A346">
        <v>345</v>
      </c>
      <c r="B346">
        <v>115</v>
      </c>
      <c r="C346" t="s">
        <v>611</v>
      </c>
      <c r="D346">
        <v>15.35</v>
      </c>
      <c r="E346" t="s">
        <v>612</v>
      </c>
    </row>
    <row r="347" spans="1:5" x14ac:dyDescent="0.3">
      <c r="A347">
        <v>346</v>
      </c>
      <c r="B347">
        <v>116</v>
      </c>
      <c r="C347" t="s">
        <v>619</v>
      </c>
      <c r="D347">
        <v>1.99</v>
      </c>
      <c r="E347" t="s">
        <v>620</v>
      </c>
    </row>
    <row r="348" spans="1:5" x14ac:dyDescent="0.3">
      <c r="A348">
        <v>347</v>
      </c>
      <c r="B348">
        <v>116</v>
      </c>
      <c r="C348" t="s">
        <v>621</v>
      </c>
      <c r="D348">
        <v>7.74</v>
      </c>
      <c r="E348" t="s">
        <v>622</v>
      </c>
    </row>
    <row r="349" spans="1:5" x14ac:dyDescent="0.3">
      <c r="A349">
        <v>348</v>
      </c>
      <c r="B349">
        <v>116</v>
      </c>
      <c r="C349" t="s">
        <v>611</v>
      </c>
      <c r="D349">
        <v>8.7200000000000006</v>
      </c>
      <c r="E349" t="s">
        <v>612</v>
      </c>
    </row>
    <row r="350" spans="1:5" x14ac:dyDescent="0.3">
      <c r="A350">
        <v>349</v>
      </c>
      <c r="B350">
        <v>117</v>
      </c>
      <c r="C350" t="s">
        <v>619</v>
      </c>
      <c r="D350">
        <v>1.1200000000000001</v>
      </c>
      <c r="E350" t="s">
        <v>620</v>
      </c>
    </row>
    <row r="351" spans="1:5" x14ac:dyDescent="0.3">
      <c r="A351">
        <v>350</v>
      </c>
      <c r="B351">
        <v>117</v>
      </c>
      <c r="C351" t="s">
        <v>621</v>
      </c>
      <c r="D351">
        <v>5.99</v>
      </c>
      <c r="E351" t="s">
        <v>622</v>
      </c>
    </row>
    <row r="352" spans="1:5" x14ac:dyDescent="0.3">
      <c r="A352">
        <v>351</v>
      </c>
      <c r="B352">
        <v>117</v>
      </c>
      <c r="C352" t="s">
        <v>607</v>
      </c>
      <c r="D352">
        <v>134.28</v>
      </c>
      <c r="E352" t="s">
        <v>608</v>
      </c>
    </row>
    <row r="353" spans="1:5" x14ac:dyDescent="0.3">
      <c r="A353">
        <v>352</v>
      </c>
      <c r="B353">
        <v>118</v>
      </c>
      <c r="C353" t="s">
        <v>613</v>
      </c>
      <c r="D353">
        <v>5.73</v>
      </c>
      <c r="E353" t="s">
        <v>614</v>
      </c>
    </row>
    <row r="354" spans="1:5" x14ac:dyDescent="0.3">
      <c r="A354">
        <v>353</v>
      </c>
      <c r="B354">
        <v>118</v>
      </c>
      <c r="C354" t="s">
        <v>619</v>
      </c>
      <c r="D354">
        <v>2.1800000000000002</v>
      </c>
      <c r="E354" t="s">
        <v>620</v>
      </c>
    </row>
    <row r="355" spans="1:5" x14ac:dyDescent="0.3">
      <c r="A355">
        <v>354</v>
      </c>
      <c r="B355">
        <v>118</v>
      </c>
      <c r="C355" t="s">
        <v>617</v>
      </c>
      <c r="D355">
        <v>15.36</v>
      </c>
      <c r="E355" t="s">
        <v>618</v>
      </c>
    </row>
    <row r="356" spans="1:5" x14ac:dyDescent="0.3">
      <c r="A356">
        <v>355</v>
      </c>
      <c r="B356">
        <v>119</v>
      </c>
      <c r="C356" t="s">
        <v>615</v>
      </c>
      <c r="D356">
        <v>158.72</v>
      </c>
      <c r="E356" t="s">
        <v>616</v>
      </c>
    </row>
    <row r="357" spans="1:5" x14ac:dyDescent="0.3">
      <c r="A357">
        <v>356</v>
      </c>
      <c r="B357">
        <v>119</v>
      </c>
      <c r="C357" t="s">
        <v>607</v>
      </c>
      <c r="D357">
        <v>137.71</v>
      </c>
      <c r="E357" t="s">
        <v>608</v>
      </c>
    </row>
    <row r="358" spans="1:5" x14ac:dyDescent="0.3">
      <c r="A358">
        <v>357</v>
      </c>
      <c r="B358">
        <v>119</v>
      </c>
      <c r="C358" t="s">
        <v>609</v>
      </c>
      <c r="D358">
        <v>10.16</v>
      </c>
      <c r="E358" t="s">
        <v>610</v>
      </c>
    </row>
    <row r="359" spans="1:5" x14ac:dyDescent="0.3">
      <c r="A359">
        <v>358</v>
      </c>
      <c r="B359">
        <v>120</v>
      </c>
      <c r="C359" t="s">
        <v>607</v>
      </c>
      <c r="D359">
        <v>128.44</v>
      </c>
      <c r="E359" t="s">
        <v>608</v>
      </c>
    </row>
    <row r="360" spans="1:5" x14ac:dyDescent="0.3">
      <c r="A360">
        <v>359</v>
      </c>
      <c r="B360">
        <v>120</v>
      </c>
      <c r="C360" t="s">
        <v>605</v>
      </c>
      <c r="D360">
        <v>196.28</v>
      </c>
      <c r="E360" t="s">
        <v>606</v>
      </c>
    </row>
    <row r="361" spans="1:5" x14ac:dyDescent="0.3">
      <c r="A361">
        <v>360</v>
      </c>
      <c r="B361">
        <v>120</v>
      </c>
      <c r="C361" t="s">
        <v>613</v>
      </c>
      <c r="D361">
        <v>5.7</v>
      </c>
      <c r="E361" t="s">
        <v>614</v>
      </c>
    </row>
    <row r="362" spans="1:5" x14ac:dyDescent="0.3">
      <c r="A362">
        <v>361</v>
      </c>
      <c r="B362">
        <v>121</v>
      </c>
      <c r="C362" t="s">
        <v>617</v>
      </c>
      <c r="D362">
        <v>10.19</v>
      </c>
      <c r="E362" t="s">
        <v>618</v>
      </c>
    </row>
    <row r="363" spans="1:5" x14ac:dyDescent="0.3">
      <c r="A363">
        <v>362</v>
      </c>
      <c r="B363">
        <v>121</v>
      </c>
      <c r="C363" t="s">
        <v>609</v>
      </c>
      <c r="D363">
        <v>3.6</v>
      </c>
      <c r="E363" t="s">
        <v>610</v>
      </c>
    </row>
    <row r="364" spans="1:5" x14ac:dyDescent="0.3">
      <c r="A364">
        <v>363</v>
      </c>
      <c r="B364">
        <v>121</v>
      </c>
      <c r="C364" t="s">
        <v>605</v>
      </c>
      <c r="D364">
        <v>196.09</v>
      </c>
      <c r="E364" t="s">
        <v>606</v>
      </c>
    </row>
    <row r="365" spans="1:5" x14ac:dyDescent="0.3">
      <c r="A365">
        <v>364</v>
      </c>
      <c r="B365">
        <v>122</v>
      </c>
      <c r="C365" t="s">
        <v>617</v>
      </c>
      <c r="D365">
        <v>7.88</v>
      </c>
      <c r="E365" t="s">
        <v>618</v>
      </c>
    </row>
    <row r="366" spans="1:5" x14ac:dyDescent="0.3">
      <c r="A366">
        <v>365</v>
      </c>
      <c r="B366">
        <v>122</v>
      </c>
      <c r="C366" t="s">
        <v>613</v>
      </c>
      <c r="D366">
        <v>4.8600000000000003</v>
      </c>
      <c r="E366" t="s">
        <v>614</v>
      </c>
    </row>
    <row r="367" spans="1:5" x14ac:dyDescent="0.3">
      <c r="A367">
        <v>366</v>
      </c>
      <c r="B367">
        <v>122</v>
      </c>
      <c r="C367" t="s">
        <v>621</v>
      </c>
      <c r="D367">
        <v>4.58</v>
      </c>
      <c r="E367" t="s">
        <v>622</v>
      </c>
    </row>
    <row r="368" spans="1:5" x14ac:dyDescent="0.3">
      <c r="A368">
        <v>367</v>
      </c>
      <c r="B368">
        <v>123</v>
      </c>
      <c r="C368" t="s">
        <v>605</v>
      </c>
      <c r="D368">
        <v>150.94</v>
      </c>
      <c r="E368" t="s">
        <v>606</v>
      </c>
    </row>
    <row r="369" spans="1:5" x14ac:dyDescent="0.3">
      <c r="A369">
        <v>368</v>
      </c>
      <c r="B369">
        <v>123</v>
      </c>
      <c r="C369" t="s">
        <v>613</v>
      </c>
      <c r="D369">
        <v>3.44</v>
      </c>
      <c r="E369" t="s">
        <v>614</v>
      </c>
    </row>
    <row r="370" spans="1:5" x14ac:dyDescent="0.3">
      <c r="A370">
        <v>369</v>
      </c>
      <c r="B370">
        <v>123</v>
      </c>
      <c r="C370" t="s">
        <v>619</v>
      </c>
      <c r="D370">
        <v>0.54</v>
      </c>
      <c r="E370" t="s">
        <v>620</v>
      </c>
    </row>
    <row r="371" spans="1:5" x14ac:dyDescent="0.3">
      <c r="A371">
        <v>370</v>
      </c>
      <c r="B371">
        <v>124</v>
      </c>
      <c r="C371" t="s">
        <v>609</v>
      </c>
      <c r="D371">
        <v>8.15</v>
      </c>
      <c r="E371" t="s">
        <v>610</v>
      </c>
    </row>
    <row r="372" spans="1:5" x14ac:dyDescent="0.3">
      <c r="A372">
        <v>371</v>
      </c>
      <c r="B372">
        <v>124</v>
      </c>
      <c r="C372" t="s">
        <v>615</v>
      </c>
      <c r="D372">
        <v>245.54</v>
      </c>
      <c r="E372" t="s">
        <v>616</v>
      </c>
    </row>
    <row r="373" spans="1:5" x14ac:dyDescent="0.3">
      <c r="A373">
        <v>372</v>
      </c>
      <c r="B373">
        <v>124</v>
      </c>
      <c r="C373" t="s">
        <v>613</v>
      </c>
      <c r="D373">
        <v>4.1399999999999997</v>
      </c>
      <c r="E373" t="s">
        <v>614</v>
      </c>
    </row>
    <row r="374" spans="1:5" x14ac:dyDescent="0.3">
      <c r="A374">
        <v>373</v>
      </c>
      <c r="B374">
        <v>125</v>
      </c>
      <c r="C374" t="s">
        <v>615</v>
      </c>
      <c r="D374">
        <v>207.73</v>
      </c>
      <c r="E374" t="s">
        <v>616</v>
      </c>
    </row>
    <row r="375" spans="1:5" x14ac:dyDescent="0.3">
      <c r="A375">
        <v>374</v>
      </c>
      <c r="B375">
        <v>125</v>
      </c>
      <c r="C375" t="s">
        <v>607</v>
      </c>
      <c r="D375">
        <v>149.72999999999999</v>
      </c>
      <c r="E375" t="s">
        <v>608</v>
      </c>
    </row>
    <row r="376" spans="1:5" x14ac:dyDescent="0.3">
      <c r="A376">
        <v>375</v>
      </c>
      <c r="B376">
        <v>125</v>
      </c>
      <c r="C376" t="s">
        <v>613</v>
      </c>
      <c r="D376">
        <v>3.04</v>
      </c>
      <c r="E376" t="s">
        <v>614</v>
      </c>
    </row>
    <row r="377" spans="1:5" x14ac:dyDescent="0.3">
      <c r="A377">
        <v>376</v>
      </c>
      <c r="B377">
        <v>126</v>
      </c>
      <c r="C377" t="s">
        <v>603</v>
      </c>
      <c r="D377">
        <v>237.44</v>
      </c>
      <c r="E377" t="s">
        <v>604</v>
      </c>
    </row>
    <row r="378" spans="1:5" x14ac:dyDescent="0.3">
      <c r="A378">
        <v>377</v>
      </c>
      <c r="B378">
        <v>126</v>
      </c>
      <c r="C378" t="s">
        <v>611</v>
      </c>
      <c r="D378">
        <v>8.6999999999999993</v>
      </c>
      <c r="E378" t="s">
        <v>612</v>
      </c>
    </row>
    <row r="379" spans="1:5" x14ac:dyDescent="0.3">
      <c r="A379">
        <v>378</v>
      </c>
      <c r="B379">
        <v>126</v>
      </c>
      <c r="C379" t="s">
        <v>607</v>
      </c>
      <c r="D379">
        <v>144.78</v>
      </c>
      <c r="E379" t="s">
        <v>608</v>
      </c>
    </row>
    <row r="380" spans="1:5" x14ac:dyDescent="0.3">
      <c r="A380">
        <v>379</v>
      </c>
      <c r="B380">
        <v>127</v>
      </c>
      <c r="C380" t="s">
        <v>617</v>
      </c>
      <c r="D380">
        <v>11.25</v>
      </c>
      <c r="E380" t="s">
        <v>618</v>
      </c>
    </row>
    <row r="381" spans="1:5" x14ac:dyDescent="0.3">
      <c r="A381">
        <v>380</v>
      </c>
      <c r="B381">
        <v>127</v>
      </c>
      <c r="C381" t="s">
        <v>615</v>
      </c>
      <c r="D381">
        <v>228.86</v>
      </c>
      <c r="E381" t="s">
        <v>616</v>
      </c>
    </row>
    <row r="382" spans="1:5" x14ac:dyDescent="0.3">
      <c r="A382">
        <v>381</v>
      </c>
      <c r="B382">
        <v>127</v>
      </c>
      <c r="C382" t="s">
        <v>613</v>
      </c>
      <c r="D382">
        <v>3</v>
      </c>
      <c r="E382" t="s">
        <v>614</v>
      </c>
    </row>
    <row r="383" spans="1:5" x14ac:dyDescent="0.3">
      <c r="A383">
        <v>382</v>
      </c>
      <c r="B383">
        <v>128</v>
      </c>
      <c r="C383" t="s">
        <v>607</v>
      </c>
      <c r="D383">
        <v>133.33000000000001</v>
      </c>
      <c r="E383" t="s">
        <v>608</v>
      </c>
    </row>
    <row r="384" spans="1:5" x14ac:dyDescent="0.3">
      <c r="A384">
        <v>383</v>
      </c>
      <c r="B384">
        <v>128</v>
      </c>
      <c r="C384" t="s">
        <v>621</v>
      </c>
      <c r="D384">
        <v>4.28</v>
      </c>
      <c r="E384" t="s">
        <v>622</v>
      </c>
    </row>
    <row r="385" spans="1:5" x14ac:dyDescent="0.3">
      <c r="A385">
        <v>384</v>
      </c>
      <c r="B385">
        <v>128</v>
      </c>
      <c r="C385" t="s">
        <v>619</v>
      </c>
      <c r="D385">
        <v>3.35</v>
      </c>
      <c r="E385" t="s">
        <v>620</v>
      </c>
    </row>
    <row r="386" spans="1:5" x14ac:dyDescent="0.3">
      <c r="A386">
        <v>385</v>
      </c>
      <c r="B386">
        <v>129</v>
      </c>
      <c r="C386" t="s">
        <v>603</v>
      </c>
      <c r="D386">
        <v>177.01</v>
      </c>
      <c r="E386" t="s">
        <v>604</v>
      </c>
    </row>
    <row r="387" spans="1:5" x14ac:dyDescent="0.3">
      <c r="A387">
        <v>386</v>
      </c>
      <c r="B387">
        <v>129</v>
      </c>
      <c r="C387" t="s">
        <v>605</v>
      </c>
      <c r="D387">
        <v>308.85000000000002</v>
      </c>
      <c r="E387" t="s">
        <v>606</v>
      </c>
    </row>
    <row r="388" spans="1:5" x14ac:dyDescent="0.3">
      <c r="A388">
        <v>387</v>
      </c>
      <c r="B388">
        <v>129</v>
      </c>
      <c r="C388" t="s">
        <v>617</v>
      </c>
      <c r="D388">
        <v>4.92</v>
      </c>
      <c r="E388" t="s">
        <v>618</v>
      </c>
    </row>
    <row r="389" spans="1:5" x14ac:dyDescent="0.3">
      <c r="A389">
        <v>388</v>
      </c>
      <c r="B389">
        <v>130</v>
      </c>
      <c r="C389" t="s">
        <v>619</v>
      </c>
      <c r="D389">
        <v>0.91</v>
      </c>
      <c r="E389" t="s">
        <v>620</v>
      </c>
    </row>
    <row r="390" spans="1:5" x14ac:dyDescent="0.3">
      <c r="A390">
        <v>389</v>
      </c>
      <c r="B390">
        <v>130</v>
      </c>
      <c r="C390" t="s">
        <v>605</v>
      </c>
      <c r="D390">
        <v>138.46</v>
      </c>
      <c r="E390" t="s">
        <v>606</v>
      </c>
    </row>
    <row r="391" spans="1:5" x14ac:dyDescent="0.3">
      <c r="A391">
        <v>390</v>
      </c>
      <c r="B391">
        <v>130</v>
      </c>
      <c r="C391" t="s">
        <v>603</v>
      </c>
      <c r="D391">
        <v>196.65</v>
      </c>
      <c r="E391" t="s">
        <v>604</v>
      </c>
    </row>
    <row r="392" spans="1:5" x14ac:dyDescent="0.3">
      <c r="A392">
        <v>391</v>
      </c>
      <c r="B392">
        <v>131</v>
      </c>
      <c r="C392" t="s">
        <v>607</v>
      </c>
      <c r="D392">
        <v>139.41</v>
      </c>
      <c r="E392" t="s">
        <v>608</v>
      </c>
    </row>
    <row r="393" spans="1:5" x14ac:dyDescent="0.3">
      <c r="A393">
        <v>392</v>
      </c>
      <c r="B393">
        <v>131</v>
      </c>
      <c r="C393" t="s">
        <v>621</v>
      </c>
      <c r="D393">
        <v>5.51</v>
      </c>
      <c r="E393" t="s">
        <v>622</v>
      </c>
    </row>
    <row r="394" spans="1:5" x14ac:dyDescent="0.3">
      <c r="A394">
        <v>393</v>
      </c>
      <c r="B394">
        <v>131</v>
      </c>
      <c r="C394" t="s">
        <v>611</v>
      </c>
      <c r="D394">
        <v>11.44</v>
      </c>
      <c r="E394" t="s">
        <v>612</v>
      </c>
    </row>
    <row r="395" spans="1:5" x14ac:dyDescent="0.3">
      <c r="A395">
        <v>394</v>
      </c>
      <c r="B395">
        <v>132</v>
      </c>
      <c r="C395" t="s">
        <v>607</v>
      </c>
      <c r="D395">
        <v>139.01</v>
      </c>
      <c r="E395" t="s">
        <v>608</v>
      </c>
    </row>
    <row r="396" spans="1:5" x14ac:dyDescent="0.3">
      <c r="A396">
        <v>395</v>
      </c>
      <c r="B396">
        <v>132</v>
      </c>
      <c r="C396" t="s">
        <v>617</v>
      </c>
      <c r="D396">
        <v>9.93</v>
      </c>
      <c r="E396" t="s">
        <v>618</v>
      </c>
    </row>
    <row r="397" spans="1:5" x14ac:dyDescent="0.3">
      <c r="A397">
        <v>396</v>
      </c>
      <c r="B397">
        <v>132</v>
      </c>
      <c r="C397" t="s">
        <v>609</v>
      </c>
      <c r="D397">
        <v>17.739999999999998</v>
      </c>
      <c r="E397" t="s">
        <v>610</v>
      </c>
    </row>
    <row r="398" spans="1:5" x14ac:dyDescent="0.3">
      <c r="A398">
        <v>397</v>
      </c>
      <c r="B398">
        <v>133</v>
      </c>
      <c r="C398" t="s">
        <v>621</v>
      </c>
      <c r="D398">
        <v>10.02</v>
      </c>
      <c r="E398" t="s">
        <v>622</v>
      </c>
    </row>
    <row r="399" spans="1:5" x14ac:dyDescent="0.3">
      <c r="A399">
        <v>398</v>
      </c>
      <c r="B399">
        <v>133</v>
      </c>
      <c r="C399" t="s">
        <v>617</v>
      </c>
      <c r="D399">
        <v>15.02</v>
      </c>
      <c r="E399" t="s">
        <v>618</v>
      </c>
    </row>
    <row r="400" spans="1:5" x14ac:dyDescent="0.3">
      <c r="A400">
        <v>399</v>
      </c>
      <c r="B400">
        <v>133</v>
      </c>
      <c r="C400" t="s">
        <v>607</v>
      </c>
      <c r="D400">
        <v>147.13</v>
      </c>
      <c r="E400" t="s">
        <v>608</v>
      </c>
    </row>
    <row r="401" spans="1:5" x14ac:dyDescent="0.3">
      <c r="A401">
        <v>400</v>
      </c>
      <c r="B401">
        <v>134</v>
      </c>
      <c r="C401" t="s">
        <v>611</v>
      </c>
      <c r="D401">
        <v>9.82</v>
      </c>
      <c r="E401" t="s">
        <v>612</v>
      </c>
    </row>
    <row r="402" spans="1:5" x14ac:dyDescent="0.3">
      <c r="A402">
        <v>401</v>
      </c>
      <c r="B402">
        <v>134</v>
      </c>
      <c r="C402" t="s">
        <v>615</v>
      </c>
      <c r="D402">
        <v>173.33</v>
      </c>
      <c r="E402" t="s">
        <v>616</v>
      </c>
    </row>
    <row r="403" spans="1:5" x14ac:dyDescent="0.3">
      <c r="A403">
        <v>402</v>
      </c>
      <c r="B403">
        <v>134</v>
      </c>
      <c r="C403" t="s">
        <v>605</v>
      </c>
      <c r="D403">
        <v>269.66000000000003</v>
      </c>
      <c r="E403" t="s">
        <v>606</v>
      </c>
    </row>
    <row r="404" spans="1:5" x14ac:dyDescent="0.3">
      <c r="A404">
        <v>403</v>
      </c>
      <c r="B404">
        <v>135</v>
      </c>
      <c r="C404" t="s">
        <v>617</v>
      </c>
      <c r="D404">
        <v>13.61</v>
      </c>
      <c r="E404" t="s">
        <v>618</v>
      </c>
    </row>
    <row r="405" spans="1:5" x14ac:dyDescent="0.3">
      <c r="A405">
        <v>404</v>
      </c>
      <c r="B405">
        <v>135</v>
      </c>
      <c r="C405" t="s">
        <v>603</v>
      </c>
      <c r="D405">
        <v>65.290000000000006</v>
      </c>
      <c r="E405" t="s">
        <v>604</v>
      </c>
    </row>
    <row r="406" spans="1:5" x14ac:dyDescent="0.3">
      <c r="A406">
        <v>405</v>
      </c>
      <c r="B406">
        <v>135</v>
      </c>
      <c r="C406" t="s">
        <v>605</v>
      </c>
      <c r="D406">
        <v>133.97</v>
      </c>
      <c r="E406" t="s">
        <v>606</v>
      </c>
    </row>
    <row r="407" spans="1:5" x14ac:dyDescent="0.3">
      <c r="A407">
        <v>406</v>
      </c>
      <c r="B407">
        <v>136</v>
      </c>
      <c r="C407" t="s">
        <v>607</v>
      </c>
      <c r="D407">
        <v>142.4</v>
      </c>
      <c r="E407" t="s">
        <v>608</v>
      </c>
    </row>
    <row r="408" spans="1:5" x14ac:dyDescent="0.3">
      <c r="A408">
        <v>407</v>
      </c>
      <c r="B408">
        <v>136</v>
      </c>
      <c r="C408" t="s">
        <v>609</v>
      </c>
      <c r="D408">
        <v>14.69</v>
      </c>
      <c r="E408" t="s">
        <v>610</v>
      </c>
    </row>
    <row r="409" spans="1:5" x14ac:dyDescent="0.3">
      <c r="A409">
        <v>408</v>
      </c>
      <c r="B409">
        <v>136</v>
      </c>
      <c r="C409" t="s">
        <v>621</v>
      </c>
      <c r="D409">
        <v>5.37</v>
      </c>
      <c r="E409" t="s">
        <v>622</v>
      </c>
    </row>
    <row r="410" spans="1:5" x14ac:dyDescent="0.3">
      <c r="A410">
        <v>409</v>
      </c>
      <c r="B410">
        <v>137</v>
      </c>
      <c r="C410" t="s">
        <v>615</v>
      </c>
      <c r="D410">
        <v>169.31</v>
      </c>
      <c r="E410" t="s">
        <v>616</v>
      </c>
    </row>
    <row r="411" spans="1:5" x14ac:dyDescent="0.3">
      <c r="A411">
        <v>410</v>
      </c>
      <c r="B411">
        <v>137</v>
      </c>
      <c r="C411" t="s">
        <v>605</v>
      </c>
      <c r="D411">
        <v>156.4</v>
      </c>
      <c r="E411" t="s">
        <v>606</v>
      </c>
    </row>
    <row r="412" spans="1:5" x14ac:dyDescent="0.3">
      <c r="A412">
        <v>411</v>
      </c>
      <c r="B412">
        <v>137</v>
      </c>
      <c r="C412" t="s">
        <v>609</v>
      </c>
      <c r="D412">
        <v>18.97</v>
      </c>
      <c r="E412" t="s">
        <v>610</v>
      </c>
    </row>
    <row r="413" spans="1:5" x14ac:dyDescent="0.3">
      <c r="A413">
        <v>412</v>
      </c>
      <c r="B413">
        <v>138</v>
      </c>
      <c r="C413" t="s">
        <v>613</v>
      </c>
      <c r="D413">
        <v>3.48</v>
      </c>
      <c r="E413" t="s">
        <v>614</v>
      </c>
    </row>
    <row r="414" spans="1:5" x14ac:dyDescent="0.3">
      <c r="A414">
        <v>413</v>
      </c>
      <c r="B414">
        <v>138</v>
      </c>
      <c r="C414" t="s">
        <v>619</v>
      </c>
      <c r="D414">
        <v>3.12</v>
      </c>
      <c r="E414" t="s">
        <v>620</v>
      </c>
    </row>
    <row r="415" spans="1:5" x14ac:dyDescent="0.3">
      <c r="A415">
        <v>414</v>
      </c>
      <c r="B415">
        <v>138</v>
      </c>
      <c r="C415" t="s">
        <v>605</v>
      </c>
      <c r="D415">
        <v>281.83999999999997</v>
      </c>
      <c r="E415" t="s">
        <v>606</v>
      </c>
    </row>
    <row r="416" spans="1:5" x14ac:dyDescent="0.3">
      <c r="A416">
        <v>415</v>
      </c>
      <c r="B416">
        <v>139</v>
      </c>
      <c r="C416" t="s">
        <v>619</v>
      </c>
      <c r="D416">
        <v>2.04</v>
      </c>
      <c r="E416" t="s">
        <v>620</v>
      </c>
    </row>
    <row r="417" spans="1:5" x14ac:dyDescent="0.3">
      <c r="A417">
        <v>416</v>
      </c>
      <c r="B417">
        <v>139</v>
      </c>
      <c r="C417" t="s">
        <v>617</v>
      </c>
      <c r="D417">
        <v>14.87</v>
      </c>
      <c r="E417" t="s">
        <v>618</v>
      </c>
    </row>
    <row r="418" spans="1:5" x14ac:dyDescent="0.3">
      <c r="A418">
        <v>417</v>
      </c>
      <c r="B418">
        <v>139</v>
      </c>
      <c r="C418" t="s">
        <v>607</v>
      </c>
      <c r="D418">
        <v>130.4</v>
      </c>
      <c r="E418" t="s">
        <v>608</v>
      </c>
    </row>
    <row r="419" spans="1:5" x14ac:dyDescent="0.3">
      <c r="A419">
        <v>418</v>
      </c>
      <c r="B419">
        <v>140</v>
      </c>
      <c r="C419" t="s">
        <v>605</v>
      </c>
      <c r="D419">
        <v>137.13999999999999</v>
      </c>
      <c r="E419" t="s">
        <v>606</v>
      </c>
    </row>
    <row r="420" spans="1:5" x14ac:dyDescent="0.3">
      <c r="A420">
        <v>419</v>
      </c>
      <c r="B420">
        <v>140</v>
      </c>
      <c r="C420" t="s">
        <v>611</v>
      </c>
      <c r="D420">
        <v>8.31</v>
      </c>
      <c r="E420" t="s">
        <v>612</v>
      </c>
    </row>
    <row r="421" spans="1:5" x14ac:dyDescent="0.3">
      <c r="A421">
        <v>420</v>
      </c>
      <c r="B421">
        <v>140</v>
      </c>
      <c r="C421" t="s">
        <v>617</v>
      </c>
      <c r="D421">
        <v>3.84</v>
      </c>
      <c r="E421" t="s">
        <v>618</v>
      </c>
    </row>
    <row r="422" spans="1:5" x14ac:dyDescent="0.3">
      <c r="A422">
        <v>421</v>
      </c>
      <c r="B422">
        <v>141</v>
      </c>
      <c r="C422" t="s">
        <v>603</v>
      </c>
      <c r="D422">
        <v>154.76</v>
      </c>
      <c r="E422" t="s">
        <v>604</v>
      </c>
    </row>
    <row r="423" spans="1:5" x14ac:dyDescent="0.3">
      <c r="A423">
        <v>422</v>
      </c>
      <c r="B423">
        <v>141</v>
      </c>
      <c r="C423" t="s">
        <v>619</v>
      </c>
      <c r="D423">
        <v>3.16</v>
      </c>
      <c r="E423" t="s">
        <v>620</v>
      </c>
    </row>
    <row r="424" spans="1:5" x14ac:dyDescent="0.3">
      <c r="A424">
        <v>423</v>
      </c>
      <c r="B424">
        <v>141</v>
      </c>
      <c r="C424" t="s">
        <v>613</v>
      </c>
      <c r="D424">
        <v>2.83</v>
      </c>
      <c r="E424" t="s">
        <v>614</v>
      </c>
    </row>
    <row r="425" spans="1:5" x14ac:dyDescent="0.3">
      <c r="A425">
        <v>424</v>
      </c>
      <c r="B425">
        <v>142</v>
      </c>
      <c r="C425" t="s">
        <v>617</v>
      </c>
      <c r="D425">
        <v>4.26</v>
      </c>
      <c r="E425" t="s">
        <v>618</v>
      </c>
    </row>
    <row r="426" spans="1:5" x14ac:dyDescent="0.3">
      <c r="A426">
        <v>425</v>
      </c>
      <c r="B426">
        <v>142</v>
      </c>
      <c r="C426" t="s">
        <v>603</v>
      </c>
      <c r="D426">
        <v>161.63</v>
      </c>
      <c r="E426" t="s">
        <v>604</v>
      </c>
    </row>
    <row r="427" spans="1:5" x14ac:dyDescent="0.3">
      <c r="A427">
        <v>426</v>
      </c>
      <c r="B427">
        <v>142</v>
      </c>
      <c r="C427" t="s">
        <v>609</v>
      </c>
      <c r="D427">
        <v>0.24</v>
      </c>
      <c r="E427" t="s">
        <v>610</v>
      </c>
    </row>
    <row r="428" spans="1:5" x14ac:dyDescent="0.3">
      <c r="A428">
        <v>427</v>
      </c>
      <c r="B428">
        <v>143</v>
      </c>
      <c r="C428" t="s">
        <v>621</v>
      </c>
      <c r="D428">
        <v>11.46</v>
      </c>
      <c r="E428" t="s">
        <v>622</v>
      </c>
    </row>
    <row r="429" spans="1:5" x14ac:dyDescent="0.3">
      <c r="A429">
        <v>428</v>
      </c>
      <c r="B429">
        <v>143</v>
      </c>
      <c r="C429" t="s">
        <v>609</v>
      </c>
      <c r="D429">
        <v>9.52</v>
      </c>
      <c r="E429" t="s">
        <v>610</v>
      </c>
    </row>
    <row r="430" spans="1:5" x14ac:dyDescent="0.3">
      <c r="A430">
        <v>429</v>
      </c>
      <c r="B430">
        <v>143</v>
      </c>
      <c r="C430" t="s">
        <v>617</v>
      </c>
      <c r="D430">
        <v>7.38</v>
      </c>
      <c r="E430" t="s">
        <v>618</v>
      </c>
    </row>
    <row r="431" spans="1:5" x14ac:dyDescent="0.3">
      <c r="A431">
        <v>430</v>
      </c>
      <c r="B431">
        <v>144</v>
      </c>
      <c r="C431" t="s">
        <v>607</v>
      </c>
      <c r="D431">
        <v>143</v>
      </c>
      <c r="E431" t="s">
        <v>608</v>
      </c>
    </row>
    <row r="432" spans="1:5" x14ac:dyDescent="0.3">
      <c r="A432">
        <v>431</v>
      </c>
      <c r="B432">
        <v>144</v>
      </c>
      <c r="C432" t="s">
        <v>615</v>
      </c>
      <c r="D432">
        <v>220.08</v>
      </c>
      <c r="E432" t="s">
        <v>616</v>
      </c>
    </row>
    <row r="433" spans="1:5" x14ac:dyDescent="0.3">
      <c r="A433">
        <v>432</v>
      </c>
      <c r="B433">
        <v>144</v>
      </c>
      <c r="C433" t="s">
        <v>609</v>
      </c>
      <c r="D433">
        <v>6.37</v>
      </c>
      <c r="E433" t="s">
        <v>610</v>
      </c>
    </row>
    <row r="434" spans="1:5" x14ac:dyDescent="0.3">
      <c r="A434">
        <v>433</v>
      </c>
      <c r="B434">
        <v>145</v>
      </c>
      <c r="C434" t="s">
        <v>619</v>
      </c>
      <c r="D434">
        <v>1.82</v>
      </c>
      <c r="E434" t="s">
        <v>620</v>
      </c>
    </row>
    <row r="435" spans="1:5" x14ac:dyDescent="0.3">
      <c r="A435">
        <v>434</v>
      </c>
      <c r="B435">
        <v>145</v>
      </c>
      <c r="C435" t="s">
        <v>615</v>
      </c>
      <c r="D435">
        <v>120.03</v>
      </c>
      <c r="E435" t="s">
        <v>616</v>
      </c>
    </row>
    <row r="436" spans="1:5" x14ac:dyDescent="0.3">
      <c r="A436">
        <v>435</v>
      </c>
      <c r="B436">
        <v>145</v>
      </c>
      <c r="C436" t="s">
        <v>607</v>
      </c>
      <c r="D436">
        <v>135.83000000000001</v>
      </c>
      <c r="E436" t="s">
        <v>608</v>
      </c>
    </row>
    <row r="437" spans="1:5" x14ac:dyDescent="0.3">
      <c r="A437">
        <v>436</v>
      </c>
      <c r="B437">
        <v>146</v>
      </c>
      <c r="C437" t="s">
        <v>615</v>
      </c>
      <c r="D437">
        <v>259.92</v>
      </c>
      <c r="E437" t="s">
        <v>616</v>
      </c>
    </row>
    <row r="438" spans="1:5" x14ac:dyDescent="0.3">
      <c r="A438">
        <v>437</v>
      </c>
      <c r="B438">
        <v>146</v>
      </c>
      <c r="C438" t="s">
        <v>611</v>
      </c>
      <c r="D438">
        <v>14.33</v>
      </c>
      <c r="E438" t="s">
        <v>612</v>
      </c>
    </row>
    <row r="439" spans="1:5" x14ac:dyDescent="0.3">
      <c r="A439">
        <v>438</v>
      </c>
      <c r="B439">
        <v>146</v>
      </c>
      <c r="C439" t="s">
        <v>603</v>
      </c>
      <c r="D439">
        <v>199.17</v>
      </c>
      <c r="E439" t="s">
        <v>604</v>
      </c>
    </row>
    <row r="440" spans="1:5" x14ac:dyDescent="0.3">
      <c r="A440">
        <v>439</v>
      </c>
      <c r="B440">
        <v>147</v>
      </c>
      <c r="C440" t="s">
        <v>605</v>
      </c>
      <c r="D440">
        <v>293.8</v>
      </c>
      <c r="E440" t="s">
        <v>606</v>
      </c>
    </row>
    <row r="441" spans="1:5" x14ac:dyDescent="0.3">
      <c r="A441">
        <v>440</v>
      </c>
      <c r="B441">
        <v>147</v>
      </c>
      <c r="C441" t="s">
        <v>603</v>
      </c>
      <c r="D441">
        <v>116.7</v>
      </c>
      <c r="E441" t="s">
        <v>604</v>
      </c>
    </row>
    <row r="442" spans="1:5" x14ac:dyDescent="0.3">
      <c r="A442">
        <v>441</v>
      </c>
      <c r="B442">
        <v>147</v>
      </c>
      <c r="C442" t="s">
        <v>611</v>
      </c>
      <c r="D442">
        <v>14.34</v>
      </c>
      <c r="E442" t="s">
        <v>612</v>
      </c>
    </row>
    <row r="443" spans="1:5" x14ac:dyDescent="0.3">
      <c r="A443">
        <v>442</v>
      </c>
      <c r="B443">
        <v>148</v>
      </c>
      <c r="C443" t="s">
        <v>619</v>
      </c>
      <c r="D443">
        <v>2.66</v>
      </c>
      <c r="E443" t="s">
        <v>620</v>
      </c>
    </row>
    <row r="444" spans="1:5" x14ac:dyDescent="0.3">
      <c r="A444">
        <v>443</v>
      </c>
      <c r="B444">
        <v>148</v>
      </c>
      <c r="C444" t="s">
        <v>615</v>
      </c>
      <c r="D444">
        <v>330.61</v>
      </c>
      <c r="E444" t="s">
        <v>616</v>
      </c>
    </row>
    <row r="445" spans="1:5" x14ac:dyDescent="0.3">
      <c r="A445">
        <v>444</v>
      </c>
      <c r="B445">
        <v>148</v>
      </c>
      <c r="C445" t="s">
        <v>613</v>
      </c>
      <c r="D445">
        <v>4.42</v>
      </c>
      <c r="E445" t="s">
        <v>614</v>
      </c>
    </row>
    <row r="446" spans="1:5" x14ac:dyDescent="0.3">
      <c r="A446">
        <v>445</v>
      </c>
      <c r="B446">
        <v>149</v>
      </c>
      <c r="C446" t="s">
        <v>607</v>
      </c>
      <c r="D446">
        <v>149.69999999999999</v>
      </c>
      <c r="E446" t="s">
        <v>608</v>
      </c>
    </row>
    <row r="447" spans="1:5" x14ac:dyDescent="0.3">
      <c r="A447">
        <v>446</v>
      </c>
      <c r="B447">
        <v>149</v>
      </c>
      <c r="C447" t="s">
        <v>619</v>
      </c>
      <c r="D447">
        <v>3.85</v>
      </c>
      <c r="E447" t="s">
        <v>620</v>
      </c>
    </row>
    <row r="448" spans="1:5" x14ac:dyDescent="0.3">
      <c r="A448">
        <v>447</v>
      </c>
      <c r="B448">
        <v>149</v>
      </c>
      <c r="C448" t="s">
        <v>603</v>
      </c>
      <c r="D448">
        <v>215.33</v>
      </c>
      <c r="E448" t="s">
        <v>604</v>
      </c>
    </row>
    <row r="449" spans="1:5" x14ac:dyDescent="0.3">
      <c r="A449">
        <v>448</v>
      </c>
      <c r="B449">
        <v>150</v>
      </c>
      <c r="C449" t="s">
        <v>603</v>
      </c>
      <c r="D449">
        <v>244.38</v>
      </c>
      <c r="E449" t="s">
        <v>604</v>
      </c>
    </row>
    <row r="450" spans="1:5" x14ac:dyDescent="0.3">
      <c r="A450">
        <v>449</v>
      </c>
      <c r="B450">
        <v>150</v>
      </c>
      <c r="C450" t="s">
        <v>615</v>
      </c>
      <c r="D450">
        <v>357.53</v>
      </c>
      <c r="E450" t="s">
        <v>616</v>
      </c>
    </row>
    <row r="451" spans="1:5" x14ac:dyDescent="0.3">
      <c r="A451">
        <v>450</v>
      </c>
      <c r="B451">
        <v>150</v>
      </c>
      <c r="C451" t="s">
        <v>621</v>
      </c>
      <c r="D451">
        <v>9.42</v>
      </c>
      <c r="E451" t="s">
        <v>622</v>
      </c>
    </row>
    <row r="452" spans="1:5" x14ac:dyDescent="0.3">
      <c r="A452">
        <v>451</v>
      </c>
      <c r="B452">
        <v>151</v>
      </c>
      <c r="C452" t="s">
        <v>619</v>
      </c>
      <c r="D452">
        <v>3.09</v>
      </c>
      <c r="E452" t="s">
        <v>620</v>
      </c>
    </row>
    <row r="453" spans="1:5" x14ac:dyDescent="0.3">
      <c r="A453">
        <v>452</v>
      </c>
      <c r="B453">
        <v>151</v>
      </c>
      <c r="C453" t="s">
        <v>613</v>
      </c>
      <c r="D453">
        <v>5.5</v>
      </c>
      <c r="E453" t="s">
        <v>614</v>
      </c>
    </row>
    <row r="454" spans="1:5" x14ac:dyDescent="0.3">
      <c r="A454">
        <v>453</v>
      </c>
      <c r="B454">
        <v>151</v>
      </c>
      <c r="C454" t="s">
        <v>607</v>
      </c>
      <c r="D454">
        <v>135.66</v>
      </c>
      <c r="E454" t="s">
        <v>608</v>
      </c>
    </row>
    <row r="455" spans="1:5" x14ac:dyDescent="0.3">
      <c r="A455">
        <v>454</v>
      </c>
      <c r="B455">
        <v>152</v>
      </c>
      <c r="C455" t="s">
        <v>613</v>
      </c>
      <c r="D455">
        <v>3.8</v>
      </c>
      <c r="E455" t="s">
        <v>614</v>
      </c>
    </row>
    <row r="456" spans="1:5" x14ac:dyDescent="0.3">
      <c r="A456">
        <v>455</v>
      </c>
      <c r="B456">
        <v>152</v>
      </c>
      <c r="C456" t="s">
        <v>611</v>
      </c>
      <c r="D456">
        <v>9.0500000000000007</v>
      </c>
      <c r="E456" t="s">
        <v>612</v>
      </c>
    </row>
    <row r="457" spans="1:5" x14ac:dyDescent="0.3">
      <c r="A457">
        <v>456</v>
      </c>
      <c r="B457">
        <v>152</v>
      </c>
      <c r="C457" t="s">
        <v>607</v>
      </c>
      <c r="D457">
        <v>131.15</v>
      </c>
      <c r="E457" t="s">
        <v>608</v>
      </c>
    </row>
    <row r="458" spans="1:5" x14ac:dyDescent="0.3">
      <c r="A458">
        <v>457</v>
      </c>
      <c r="B458">
        <v>153</v>
      </c>
      <c r="C458" t="s">
        <v>609</v>
      </c>
      <c r="D458">
        <v>2.64</v>
      </c>
      <c r="E458" t="s">
        <v>610</v>
      </c>
    </row>
    <row r="459" spans="1:5" x14ac:dyDescent="0.3">
      <c r="A459">
        <v>458</v>
      </c>
      <c r="B459">
        <v>153</v>
      </c>
      <c r="C459" t="s">
        <v>621</v>
      </c>
      <c r="D459">
        <v>10.37</v>
      </c>
      <c r="E459" t="s">
        <v>622</v>
      </c>
    </row>
    <row r="460" spans="1:5" x14ac:dyDescent="0.3">
      <c r="A460">
        <v>459</v>
      </c>
      <c r="B460">
        <v>153</v>
      </c>
      <c r="C460" t="s">
        <v>603</v>
      </c>
      <c r="D460">
        <v>120.75</v>
      </c>
      <c r="E460" t="s">
        <v>604</v>
      </c>
    </row>
    <row r="461" spans="1:5" x14ac:dyDescent="0.3">
      <c r="A461">
        <v>460</v>
      </c>
      <c r="B461">
        <v>154</v>
      </c>
      <c r="C461" t="s">
        <v>609</v>
      </c>
      <c r="D461">
        <v>17.940000000000001</v>
      </c>
      <c r="E461" t="s">
        <v>610</v>
      </c>
    </row>
    <row r="462" spans="1:5" x14ac:dyDescent="0.3">
      <c r="A462">
        <v>461</v>
      </c>
      <c r="B462">
        <v>154</v>
      </c>
      <c r="C462" t="s">
        <v>613</v>
      </c>
      <c r="D462">
        <v>6.05</v>
      </c>
      <c r="E462" t="s">
        <v>614</v>
      </c>
    </row>
    <row r="463" spans="1:5" x14ac:dyDescent="0.3">
      <c r="A463">
        <v>462</v>
      </c>
      <c r="B463">
        <v>154</v>
      </c>
      <c r="C463" t="s">
        <v>605</v>
      </c>
      <c r="D463">
        <v>216.43</v>
      </c>
      <c r="E463" t="s">
        <v>606</v>
      </c>
    </row>
    <row r="464" spans="1:5" x14ac:dyDescent="0.3">
      <c r="A464">
        <v>463</v>
      </c>
      <c r="B464">
        <v>155</v>
      </c>
      <c r="C464" t="s">
        <v>609</v>
      </c>
      <c r="D464">
        <v>4.3099999999999996</v>
      </c>
      <c r="E464" t="s">
        <v>610</v>
      </c>
    </row>
    <row r="465" spans="1:5" x14ac:dyDescent="0.3">
      <c r="A465">
        <v>464</v>
      </c>
      <c r="B465">
        <v>155</v>
      </c>
      <c r="C465" t="s">
        <v>619</v>
      </c>
      <c r="D465">
        <v>3.14</v>
      </c>
      <c r="E465" t="s">
        <v>620</v>
      </c>
    </row>
    <row r="466" spans="1:5" x14ac:dyDescent="0.3">
      <c r="A466">
        <v>465</v>
      </c>
      <c r="B466">
        <v>155</v>
      </c>
      <c r="C466" t="s">
        <v>621</v>
      </c>
      <c r="D466">
        <v>9.2799999999999994</v>
      </c>
      <c r="E466" t="s">
        <v>622</v>
      </c>
    </row>
    <row r="467" spans="1:5" x14ac:dyDescent="0.3">
      <c r="A467">
        <v>466</v>
      </c>
      <c r="B467">
        <v>156</v>
      </c>
      <c r="C467" t="s">
        <v>611</v>
      </c>
      <c r="D467">
        <v>17.43</v>
      </c>
      <c r="E467" t="s">
        <v>612</v>
      </c>
    </row>
    <row r="468" spans="1:5" x14ac:dyDescent="0.3">
      <c r="A468">
        <v>467</v>
      </c>
      <c r="B468">
        <v>156</v>
      </c>
      <c r="C468" t="s">
        <v>621</v>
      </c>
      <c r="D468">
        <v>4.2300000000000004</v>
      </c>
      <c r="E468" t="s">
        <v>622</v>
      </c>
    </row>
    <row r="469" spans="1:5" x14ac:dyDescent="0.3">
      <c r="A469">
        <v>468</v>
      </c>
      <c r="B469">
        <v>156</v>
      </c>
      <c r="C469" t="s">
        <v>607</v>
      </c>
      <c r="D469">
        <v>148.44</v>
      </c>
      <c r="E469" t="s">
        <v>608</v>
      </c>
    </row>
    <row r="470" spans="1:5" x14ac:dyDescent="0.3">
      <c r="A470">
        <v>469</v>
      </c>
      <c r="B470">
        <v>157</v>
      </c>
      <c r="C470" t="s">
        <v>615</v>
      </c>
      <c r="D470">
        <v>177.13</v>
      </c>
      <c r="E470" t="s">
        <v>616</v>
      </c>
    </row>
    <row r="471" spans="1:5" x14ac:dyDescent="0.3">
      <c r="A471">
        <v>470</v>
      </c>
      <c r="B471">
        <v>157</v>
      </c>
      <c r="C471" t="s">
        <v>607</v>
      </c>
      <c r="D471">
        <v>133.66999999999999</v>
      </c>
      <c r="E471" t="s">
        <v>608</v>
      </c>
    </row>
    <row r="472" spans="1:5" x14ac:dyDescent="0.3">
      <c r="A472">
        <v>471</v>
      </c>
      <c r="B472">
        <v>157</v>
      </c>
      <c r="C472" t="s">
        <v>617</v>
      </c>
      <c r="D472">
        <v>9.19</v>
      </c>
      <c r="E472" t="s">
        <v>618</v>
      </c>
    </row>
    <row r="473" spans="1:5" x14ac:dyDescent="0.3">
      <c r="A473">
        <v>472</v>
      </c>
      <c r="B473">
        <v>158</v>
      </c>
      <c r="C473" t="s">
        <v>611</v>
      </c>
      <c r="D473">
        <v>7.95</v>
      </c>
      <c r="E473" t="s">
        <v>612</v>
      </c>
    </row>
    <row r="474" spans="1:5" x14ac:dyDescent="0.3">
      <c r="A474">
        <v>473</v>
      </c>
      <c r="B474">
        <v>158</v>
      </c>
      <c r="C474" t="s">
        <v>605</v>
      </c>
      <c r="D474">
        <v>258.36</v>
      </c>
      <c r="E474" t="s">
        <v>606</v>
      </c>
    </row>
    <row r="475" spans="1:5" x14ac:dyDescent="0.3">
      <c r="A475">
        <v>474</v>
      </c>
      <c r="B475">
        <v>158</v>
      </c>
      <c r="C475" t="s">
        <v>613</v>
      </c>
      <c r="D475">
        <v>5.76</v>
      </c>
      <c r="E475" t="s">
        <v>614</v>
      </c>
    </row>
    <row r="476" spans="1:5" x14ac:dyDescent="0.3">
      <c r="A476">
        <v>475</v>
      </c>
      <c r="B476">
        <v>159</v>
      </c>
      <c r="C476" t="s">
        <v>621</v>
      </c>
      <c r="D476">
        <v>7.02</v>
      </c>
      <c r="E476" t="s">
        <v>622</v>
      </c>
    </row>
    <row r="477" spans="1:5" x14ac:dyDescent="0.3">
      <c r="A477">
        <v>476</v>
      </c>
      <c r="B477">
        <v>159</v>
      </c>
      <c r="C477" t="s">
        <v>611</v>
      </c>
      <c r="D477">
        <v>14.53</v>
      </c>
      <c r="E477" t="s">
        <v>612</v>
      </c>
    </row>
    <row r="478" spans="1:5" x14ac:dyDescent="0.3">
      <c r="A478">
        <v>477</v>
      </c>
      <c r="B478">
        <v>159</v>
      </c>
      <c r="C478" t="s">
        <v>615</v>
      </c>
      <c r="D478">
        <v>357.6</v>
      </c>
      <c r="E478" t="s">
        <v>616</v>
      </c>
    </row>
    <row r="479" spans="1:5" x14ac:dyDescent="0.3">
      <c r="A479">
        <v>478</v>
      </c>
      <c r="B479">
        <v>160</v>
      </c>
      <c r="C479" t="s">
        <v>607</v>
      </c>
      <c r="D479">
        <v>145.79</v>
      </c>
      <c r="E479" t="s">
        <v>608</v>
      </c>
    </row>
    <row r="480" spans="1:5" x14ac:dyDescent="0.3">
      <c r="A480">
        <v>479</v>
      </c>
      <c r="B480">
        <v>160</v>
      </c>
      <c r="C480" t="s">
        <v>609</v>
      </c>
      <c r="D480">
        <v>4.55</v>
      </c>
      <c r="E480" t="s">
        <v>610</v>
      </c>
    </row>
    <row r="481" spans="1:5" x14ac:dyDescent="0.3">
      <c r="A481">
        <v>480</v>
      </c>
      <c r="B481">
        <v>160</v>
      </c>
      <c r="C481" t="s">
        <v>621</v>
      </c>
      <c r="D481">
        <v>4.93</v>
      </c>
      <c r="E481" t="s">
        <v>622</v>
      </c>
    </row>
    <row r="482" spans="1:5" x14ac:dyDescent="0.3">
      <c r="A482">
        <v>481</v>
      </c>
      <c r="B482">
        <v>161</v>
      </c>
      <c r="C482" t="s">
        <v>611</v>
      </c>
      <c r="D482">
        <v>10.57</v>
      </c>
      <c r="E482" t="s">
        <v>612</v>
      </c>
    </row>
    <row r="483" spans="1:5" x14ac:dyDescent="0.3">
      <c r="A483">
        <v>482</v>
      </c>
      <c r="B483">
        <v>161</v>
      </c>
      <c r="C483" t="s">
        <v>621</v>
      </c>
      <c r="D483">
        <v>8.74</v>
      </c>
      <c r="E483" t="s">
        <v>622</v>
      </c>
    </row>
    <row r="484" spans="1:5" x14ac:dyDescent="0.3">
      <c r="A484">
        <v>483</v>
      </c>
      <c r="B484">
        <v>161</v>
      </c>
      <c r="C484" t="s">
        <v>609</v>
      </c>
      <c r="D484">
        <v>3.84</v>
      </c>
      <c r="E484" t="s">
        <v>610</v>
      </c>
    </row>
    <row r="485" spans="1:5" x14ac:dyDescent="0.3">
      <c r="A485">
        <v>484</v>
      </c>
      <c r="B485">
        <v>162</v>
      </c>
      <c r="C485" t="s">
        <v>611</v>
      </c>
      <c r="D485">
        <v>15.96</v>
      </c>
      <c r="E485" t="s">
        <v>612</v>
      </c>
    </row>
    <row r="486" spans="1:5" x14ac:dyDescent="0.3">
      <c r="A486">
        <v>485</v>
      </c>
      <c r="B486">
        <v>162</v>
      </c>
      <c r="C486" t="s">
        <v>615</v>
      </c>
      <c r="D486">
        <v>433.92</v>
      </c>
      <c r="E486" t="s">
        <v>616</v>
      </c>
    </row>
    <row r="487" spans="1:5" x14ac:dyDescent="0.3">
      <c r="A487">
        <v>486</v>
      </c>
      <c r="B487">
        <v>162</v>
      </c>
      <c r="C487" t="s">
        <v>605</v>
      </c>
      <c r="D487">
        <v>235.38</v>
      </c>
      <c r="E487" t="s">
        <v>606</v>
      </c>
    </row>
    <row r="488" spans="1:5" x14ac:dyDescent="0.3">
      <c r="A488">
        <v>487</v>
      </c>
      <c r="B488">
        <v>163</v>
      </c>
      <c r="C488" t="s">
        <v>603</v>
      </c>
      <c r="D488">
        <v>174.16</v>
      </c>
      <c r="E488" t="s">
        <v>604</v>
      </c>
    </row>
    <row r="489" spans="1:5" x14ac:dyDescent="0.3">
      <c r="A489">
        <v>488</v>
      </c>
      <c r="B489">
        <v>163</v>
      </c>
      <c r="C489" t="s">
        <v>617</v>
      </c>
      <c r="D489">
        <v>5.47</v>
      </c>
      <c r="E489" t="s">
        <v>618</v>
      </c>
    </row>
    <row r="490" spans="1:5" x14ac:dyDescent="0.3">
      <c r="A490">
        <v>489</v>
      </c>
      <c r="B490">
        <v>163</v>
      </c>
      <c r="C490" t="s">
        <v>621</v>
      </c>
      <c r="D490">
        <v>7.11</v>
      </c>
      <c r="E490" t="s">
        <v>622</v>
      </c>
    </row>
    <row r="491" spans="1:5" x14ac:dyDescent="0.3">
      <c r="A491">
        <v>490</v>
      </c>
      <c r="B491">
        <v>164</v>
      </c>
      <c r="C491" t="s">
        <v>607</v>
      </c>
      <c r="D491">
        <v>145.55000000000001</v>
      </c>
      <c r="E491" t="s">
        <v>608</v>
      </c>
    </row>
    <row r="492" spans="1:5" x14ac:dyDescent="0.3">
      <c r="A492">
        <v>491</v>
      </c>
      <c r="B492">
        <v>164</v>
      </c>
      <c r="C492" t="s">
        <v>615</v>
      </c>
      <c r="D492">
        <v>426.87</v>
      </c>
      <c r="E492" t="s">
        <v>616</v>
      </c>
    </row>
    <row r="493" spans="1:5" x14ac:dyDescent="0.3">
      <c r="A493">
        <v>492</v>
      </c>
      <c r="B493">
        <v>164</v>
      </c>
      <c r="C493" t="s">
        <v>609</v>
      </c>
      <c r="D493">
        <v>2.61</v>
      </c>
      <c r="E493" t="s">
        <v>610</v>
      </c>
    </row>
    <row r="494" spans="1:5" x14ac:dyDescent="0.3">
      <c r="A494">
        <v>493</v>
      </c>
      <c r="B494">
        <v>165</v>
      </c>
      <c r="C494" t="s">
        <v>621</v>
      </c>
      <c r="D494">
        <v>7.16</v>
      </c>
      <c r="E494" t="s">
        <v>622</v>
      </c>
    </row>
    <row r="495" spans="1:5" x14ac:dyDescent="0.3">
      <c r="A495">
        <v>494</v>
      </c>
      <c r="B495">
        <v>165</v>
      </c>
      <c r="C495" t="s">
        <v>619</v>
      </c>
      <c r="D495">
        <v>2.38</v>
      </c>
      <c r="E495" t="s">
        <v>620</v>
      </c>
    </row>
    <row r="496" spans="1:5" x14ac:dyDescent="0.3">
      <c r="A496">
        <v>495</v>
      </c>
      <c r="B496">
        <v>165</v>
      </c>
      <c r="C496" t="s">
        <v>611</v>
      </c>
      <c r="D496">
        <v>11.84</v>
      </c>
      <c r="E496" t="s">
        <v>612</v>
      </c>
    </row>
    <row r="497" spans="1:5" x14ac:dyDescent="0.3">
      <c r="A497">
        <v>496</v>
      </c>
      <c r="B497">
        <v>166</v>
      </c>
      <c r="C497" t="s">
        <v>605</v>
      </c>
      <c r="D497">
        <v>219.97</v>
      </c>
      <c r="E497" t="s">
        <v>606</v>
      </c>
    </row>
    <row r="498" spans="1:5" x14ac:dyDescent="0.3">
      <c r="A498">
        <v>497</v>
      </c>
      <c r="B498">
        <v>166</v>
      </c>
      <c r="C498" t="s">
        <v>617</v>
      </c>
      <c r="D498">
        <v>8.93</v>
      </c>
      <c r="E498" t="s">
        <v>618</v>
      </c>
    </row>
    <row r="499" spans="1:5" x14ac:dyDescent="0.3">
      <c r="A499">
        <v>498</v>
      </c>
      <c r="B499">
        <v>166</v>
      </c>
      <c r="C499" t="s">
        <v>619</v>
      </c>
      <c r="D499">
        <v>2.61</v>
      </c>
      <c r="E499" t="s">
        <v>620</v>
      </c>
    </row>
    <row r="500" spans="1:5" x14ac:dyDescent="0.3">
      <c r="A500">
        <v>499</v>
      </c>
      <c r="B500">
        <v>167</v>
      </c>
      <c r="C500" t="s">
        <v>605</v>
      </c>
      <c r="D500">
        <v>181.78</v>
      </c>
      <c r="E500" t="s">
        <v>606</v>
      </c>
    </row>
    <row r="501" spans="1:5" x14ac:dyDescent="0.3">
      <c r="A501">
        <v>500</v>
      </c>
      <c r="B501">
        <v>167</v>
      </c>
      <c r="C501" t="s">
        <v>603</v>
      </c>
      <c r="D501">
        <v>248.21</v>
      </c>
      <c r="E501" t="s">
        <v>604</v>
      </c>
    </row>
    <row r="502" spans="1:5" x14ac:dyDescent="0.3">
      <c r="A502">
        <v>501</v>
      </c>
      <c r="B502">
        <v>167</v>
      </c>
      <c r="C502" t="s">
        <v>615</v>
      </c>
      <c r="D502">
        <v>143.21</v>
      </c>
      <c r="E502" t="s">
        <v>616</v>
      </c>
    </row>
    <row r="503" spans="1:5" x14ac:dyDescent="0.3">
      <c r="A503">
        <v>502</v>
      </c>
      <c r="B503">
        <v>168</v>
      </c>
      <c r="C503" t="s">
        <v>621</v>
      </c>
      <c r="D503">
        <v>7.96</v>
      </c>
      <c r="E503" t="s">
        <v>622</v>
      </c>
    </row>
    <row r="504" spans="1:5" x14ac:dyDescent="0.3">
      <c r="A504">
        <v>503</v>
      </c>
      <c r="B504">
        <v>168</v>
      </c>
      <c r="C504" t="s">
        <v>613</v>
      </c>
      <c r="D504">
        <v>5.19</v>
      </c>
      <c r="E504" t="s">
        <v>614</v>
      </c>
    </row>
    <row r="505" spans="1:5" x14ac:dyDescent="0.3">
      <c r="A505">
        <v>504</v>
      </c>
      <c r="B505">
        <v>168</v>
      </c>
      <c r="C505" t="s">
        <v>619</v>
      </c>
      <c r="D505">
        <v>1.82</v>
      </c>
      <c r="E505" t="s">
        <v>620</v>
      </c>
    </row>
    <row r="506" spans="1:5" x14ac:dyDescent="0.3">
      <c r="A506">
        <v>505</v>
      </c>
      <c r="B506">
        <v>169</v>
      </c>
      <c r="C506" t="s">
        <v>615</v>
      </c>
      <c r="D506">
        <v>396.82</v>
      </c>
      <c r="E506" t="s">
        <v>616</v>
      </c>
    </row>
    <row r="507" spans="1:5" x14ac:dyDescent="0.3">
      <c r="A507">
        <v>506</v>
      </c>
      <c r="B507">
        <v>169</v>
      </c>
      <c r="C507" t="s">
        <v>605</v>
      </c>
      <c r="D507">
        <v>306.89</v>
      </c>
      <c r="E507" t="s">
        <v>606</v>
      </c>
    </row>
    <row r="508" spans="1:5" x14ac:dyDescent="0.3">
      <c r="A508">
        <v>507</v>
      </c>
      <c r="B508">
        <v>169</v>
      </c>
      <c r="C508" t="s">
        <v>619</v>
      </c>
      <c r="D508">
        <v>1.29</v>
      </c>
      <c r="E508" t="s">
        <v>620</v>
      </c>
    </row>
    <row r="509" spans="1:5" x14ac:dyDescent="0.3">
      <c r="A509">
        <v>508</v>
      </c>
      <c r="B509">
        <v>170</v>
      </c>
      <c r="C509" t="s">
        <v>603</v>
      </c>
      <c r="D509">
        <v>199.57</v>
      </c>
      <c r="E509" t="s">
        <v>604</v>
      </c>
    </row>
    <row r="510" spans="1:5" x14ac:dyDescent="0.3">
      <c r="A510">
        <v>509</v>
      </c>
      <c r="B510">
        <v>170</v>
      </c>
      <c r="C510" t="s">
        <v>605</v>
      </c>
      <c r="D510">
        <v>179.82</v>
      </c>
      <c r="E510" t="s">
        <v>606</v>
      </c>
    </row>
    <row r="511" spans="1:5" x14ac:dyDescent="0.3">
      <c r="A511">
        <v>510</v>
      </c>
      <c r="B511">
        <v>170</v>
      </c>
      <c r="C511" t="s">
        <v>613</v>
      </c>
      <c r="D511">
        <v>5.57</v>
      </c>
      <c r="E511" t="s">
        <v>614</v>
      </c>
    </row>
    <row r="512" spans="1:5" x14ac:dyDescent="0.3">
      <c r="A512">
        <v>511</v>
      </c>
      <c r="B512">
        <v>171</v>
      </c>
      <c r="C512" t="s">
        <v>605</v>
      </c>
      <c r="D512">
        <v>187.48</v>
      </c>
      <c r="E512" t="s">
        <v>606</v>
      </c>
    </row>
    <row r="513" spans="1:5" x14ac:dyDescent="0.3">
      <c r="A513">
        <v>512</v>
      </c>
      <c r="B513">
        <v>171</v>
      </c>
      <c r="C513" t="s">
        <v>603</v>
      </c>
      <c r="D513">
        <v>190.41</v>
      </c>
      <c r="E513" t="s">
        <v>604</v>
      </c>
    </row>
    <row r="514" spans="1:5" x14ac:dyDescent="0.3">
      <c r="A514">
        <v>513</v>
      </c>
      <c r="B514">
        <v>171</v>
      </c>
      <c r="C514" t="s">
        <v>607</v>
      </c>
      <c r="D514">
        <v>149.79</v>
      </c>
      <c r="E514" t="s">
        <v>608</v>
      </c>
    </row>
    <row r="515" spans="1:5" x14ac:dyDescent="0.3">
      <c r="A515">
        <v>514</v>
      </c>
      <c r="B515">
        <v>172</v>
      </c>
      <c r="C515" t="s">
        <v>607</v>
      </c>
      <c r="D515">
        <v>139.61000000000001</v>
      </c>
      <c r="E515" t="s">
        <v>608</v>
      </c>
    </row>
    <row r="516" spans="1:5" x14ac:dyDescent="0.3">
      <c r="A516">
        <v>515</v>
      </c>
      <c r="B516">
        <v>172</v>
      </c>
      <c r="C516" t="s">
        <v>621</v>
      </c>
      <c r="D516">
        <v>6.26</v>
      </c>
      <c r="E516" t="s">
        <v>622</v>
      </c>
    </row>
    <row r="517" spans="1:5" x14ac:dyDescent="0.3">
      <c r="A517">
        <v>516</v>
      </c>
      <c r="B517">
        <v>172</v>
      </c>
      <c r="C517" t="s">
        <v>611</v>
      </c>
      <c r="D517">
        <v>14.31</v>
      </c>
      <c r="E517" t="s">
        <v>612</v>
      </c>
    </row>
    <row r="518" spans="1:5" x14ac:dyDescent="0.3">
      <c r="A518">
        <v>517</v>
      </c>
      <c r="B518">
        <v>173</v>
      </c>
      <c r="C518" t="s">
        <v>619</v>
      </c>
      <c r="D518">
        <v>0.84</v>
      </c>
      <c r="E518" t="s">
        <v>620</v>
      </c>
    </row>
    <row r="519" spans="1:5" x14ac:dyDescent="0.3">
      <c r="A519">
        <v>518</v>
      </c>
      <c r="B519">
        <v>173</v>
      </c>
      <c r="C519" t="s">
        <v>609</v>
      </c>
      <c r="D519">
        <v>6.54</v>
      </c>
      <c r="E519" t="s">
        <v>610</v>
      </c>
    </row>
    <row r="520" spans="1:5" x14ac:dyDescent="0.3">
      <c r="A520">
        <v>519</v>
      </c>
      <c r="B520">
        <v>173</v>
      </c>
      <c r="C520" t="s">
        <v>607</v>
      </c>
      <c r="D520">
        <v>145.41</v>
      </c>
      <c r="E520" t="s">
        <v>608</v>
      </c>
    </row>
    <row r="521" spans="1:5" x14ac:dyDescent="0.3">
      <c r="A521">
        <v>520</v>
      </c>
      <c r="B521">
        <v>174</v>
      </c>
      <c r="C521" t="s">
        <v>603</v>
      </c>
      <c r="D521">
        <v>186.11</v>
      </c>
      <c r="E521" t="s">
        <v>604</v>
      </c>
    </row>
    <row r="522" spans="1:5" x14ac:dyDescent="0.3">
      <c r="A522">
        <v>521</v>
      </c>
      <c r="B522">
        <v>174</v>
      </c>
      <c r="C522" t="s">
        <v>617</v>
      </c>
      <c r="D522">
        <v>10.5</v>
      </c>
      <c r="E522" t="s">
        <v>618</v>
      </c>
    </row>
    <row r="523" spans="1:5" x14ac:dyDescent="0.3">
      <c r="A523">
        <v>522</v>
      </c>
      <c r="B523">
        <v>174</v>
      </c>
      <c r="C523" t="s">
        <v>613</v>
      </c>
      <c r="D523">
        <v>4.3</v>
      </c>
      <c r="E523" t="s">
        <v>614</v>
      </c>
    </row>
    <row r="524" spans="1:5" x14ac:dyDescent="0.3">
      <c r="A524">
        <v>523</v>
      </c>
      <c r="B524">
        <v>175</v>
      </c>
      <c r="C524" t="s">
        <v>613</v>
      </c>
      <c r="D524">
        <v>3.51</v>
      </c>
      <c r="E524" t="s">
        <v>614</v>
      </c>
    </row>
    <row r="525" spans="1:5" x14ac:dyDescent="0.3">
      <c r="A525">
        <v>524</v>
      </c>
      <c r="B525">
        <v>175</v>
      </c>
      <c r="C525" t="s">
        <v>617</v>
      </c>
      <c r="D525">
        <v>13.46</v>
      </c>
      <c r="E525" t="s">
        <v>618</v>
      </c>
    </row>
    <row r="526" spans="1:5" x14ac:dyDescent="0.3">
      <c r="A526">
        <v>525</v>
      </c>
      <c r="B526">
        <v>175</v>
      </c>
      <c r="C526" t="s">
        <v>605</v>
      </c>
      <c r="D526">
        <v>159.13</v>
      </c>
      <c r="E526" t="s">
        <v>606</v>
      </c>
    </row>
    <row r="527" spans="1:5" x14ac:dyDescent="0.3">
      <c r="A527">
        <v>526</v>
      </c>
      <c r="B527">
        <v>176</v>
      </c>
      <c r="C527" t="s">
        <v>603</v>
      </c>
      <c r="D527">
        <v>190.49</v>
      </c>
      <c r="E527" t="s">
        <v>604</v>
      </c>
    </row>
    <row r="528" spans="1:5" x14ac:dyDescent="0.3">
      <c r="A528">
        <v>527</v>
      </c>
      <c r="B528">
        <v>176</v>
      </c>
      <c r="C528" t="s">
        <v>615</v>
      </c>
      <c r="D528">
        <v>445.97</v>
      </c>
      <c r="E528" t="s">
        <v>616</v>
      </c>
    </row>
    <row r="529" spans="1:5" x14ac:dyDescent="0.3">
      <c r="A529">
        <v>528</v>
      </c>
      <c r="B529">
        <v>176</v>
      </c>
      <c r="C529" t="s">
        <v>611</v>
      </c>
      <c r="D529">
        <v>8.5500000000000007</v>
      </c>
      <c r="E529" t="s">
        <v>612</v>
      </c>
    </row>
    <row r="530" spans="1:5" x14ac:dyDescent="0.3">
      <c r="A530">
        <v>529</v>
      </c>
      <c r="B530">
        <v>177</v>
      </c>
      <c r="C530" t="s">
        <v>607</v>
      </c>
      <c r="D530">
        <v>130.11000000000001</v>
      </c>
      <c r="E530" t="s">
        <v>608</v>
      </c>
    </row>
    <row r="531" spans="1:5" x14ac:dyDescent="0.3">
      <c r="A531">
        <v>530</v>
      </c>
      <c r="B531">
        <v>177</v>
      </c>
      <c r="C531" t="s">
        <v>605</v>
      </c>
      <c r="D531">
        <v>314.83</v>
      </c>
      <c r="E531" t="s">
        <v>606</v>
      </c>
    </row>
    <row r="532" spans="1:5" x14ac:dyDescent="0.3">
      <c r="A532">
        <v>531</v>
      </c>
      <c r="B532">
        <v>177</v>
      </c>
      <c r="C532" t="s">
        <v>603</v>
      </c>
      <c r="D532">
        <v>98.23</v>
      </c>
      <c r="E532" t="s">
        <v>604</v>
      </c>
    </row>
    <row r="533" spans="1:5" x14ac:dyDescent="0.3">
      <c r="A533">
        <v>532</v>
      </c>
      <c r="B533">
        <v>178</v>
      </c>
      <c r="C533" t="s">
        <v>603</v>
      </c>
      <c r="D533">
        <v>174.78</v>
      </c>
      <c r="E533" t="s">
        <v>604</v>
      </c>
    </row>
    <row r="534" spans="1:5" x14ac:dyDescent="0.3">
      <c r="A534">
        <v>533</v>
      </c>
      <c r="B534">
        <v>178</v>
      </c>
      <c r="C534" t="s">
        <v>611</v>
      </c>
      <c r="D534">
        <v>17.18</v>
      </c>
      <c r="E534" t="s">
        <v>612</v>
      </c>
    </row>
    <row r="535" spans="1:5" x14ac:dyDescent="0.3">
      <c r="A535">
        <v>534</v>
      </c>
      <c r="B535">
        <v>178</v>
      </c>
      <c r="C535" t="s">
        <v>615</v>
      </c>
      <c r="D535">
        <v>319.44</v>
      </c>
      <c r="E535" t="s">
        <v>616</v>
      </c>
    </row>
    <row r="536" spans="1:5" x14ac:dyDescent="0.3">
      <c r="A536">
        <v>535</v>
      </c>
      <c r="B536">
        <v>179</v>
      </c>
      <c r="C536" t="s">
        <v>607</v>
      </c>
      <c r="D536">
        <v>130.61000000000001</v>
      </c>
      <c r="E536" t="s">
        <v>608</v>
      </c>
    </row>
    <row r="537" spans="1:5" x14ac:dyDescent="0.3">
      <c r="A537">
        <v>536</v>
      </c>
      <c r="B537">
        <v>179</v>
      </c>
      <c r="C537" t="s">
        <v>619</v>
      </c>
      <c r="D537">
        <v>1.89</v>
      </c>
      <c r="E537" t="s">
        <v>620</v>
      </c>
    </row>
    <row r="538" spans="1:5" x14ac:dyDescent="0.3">
      <c r="A538">
        <v>537</v>
      </c>
      <c r="B538">
        <v>179</v>
      </c>
      <c r="C538" t="s">
        <v>603</v>
      </c>
      <c r="D538">
        <v>121</v>
      </c>
      <c r="E538" t="s">
        <v>604</v>
      </c>
    </row>
    <row r="539" spans="1:5" x14ac:dyDescent="0.3">
      <c r="A539">
        <v>538</v>
      </c>
      <c r="B539">
        <v>180</v>
      </c>
      <c r="C539" t="s">
        <v>621</v>
      </c>
      <c r="D539">
        <v>10.210000000000001</v>
      </c>
      <c r="E539" t="s">
        <v>622</v>
      </c>
    </row>
    <row r="540" spans="1:5" x14ac:dyDescent="0.3">
      <c r="A540">
        <v>539</v>
      </c>
      <c r="B540">
        <v>180</v>
      </c>
      <c r="C540" t="s">
        <v>605</v>
      </c>
      <c r="D540">
        <v>318.23</v>
      </c>
      <c r="E540" t="s">
        <v>606</v>
      </c>
    </row>
    <row r="541" spans="1:5" x14ac:dyDescent="0.3">
      <c r="A541">
        <v>540</v>
      </c>
      <c r="B541">
        <v>180</v>
      </c>
      <c r="C541" t="s">
        <v>607</v>
      </c>
      <c r="D541">
        <v>142.76</v>
      </c>
      <c r="E541" t="s">
        <v>608</v>
      </c>
    </row>
    <row r="542" spans="1:5" x14ac:dyDescent="0.3">
      <c r="A542">
        <v>541</v>
      </c>
      <c r="B542">
        <v>181</v>
      </c>
      <c r="C542" t="s">
        <v>611</v>
      </c>
      <c r="D542">
        <v>9.89</v>
      </c>
      <c r="E542" t="s">
        <v>612</v>
      </c>
    </row>
    <row r="543" spans="1:5" x14ac:dyDescent="0.3">
      <c r="A543">
        <v>542</v>
      </c>
      <c r="B543">
        <v>181</v>
      </c>
      <c r="C543" t="s">
        <v>613</v>
      </c>
      <c r="D543">
        <v>5.0199999999999996</v>
      </c>
      <c r="E543" t="s">
        <v>614</v>
      </c>
    </row>
    <row r="544" spans="1:5" x14ac:dyDescent="0.3">
      <c r="A544">
        <v>543</v>
      </c>
      <c r="B544">
        <v>181</v>
      </c>
      <c r="C544" t="s">
        <v>607</v>
      </c>
      <c r="D544">
        <v>136.08000000000001</v>
      </c>
      <c r="E544" t="s">
        <v>608</v>
      </c>
    </row>
    <row r="545" spans="1:5" x14ac:dyDescent="0.3">
      <c r="A545">
        <v>544</v>
      </c>
      <c r="B545">
        <v>182</v>
      </c>
      <c r="C545" t="s">
        <v>611</v>
      </c>
      <c r="D545">
        <v>8.2799999999999994</v>
      </c>
      <c r="E545" t="s">
        <v>612</v>
      </c>
    </row>
    <row r="546" spans="1:5" x14ac:dyDescent="0.3">
      <c r="A546">
        <v>545</v>
      </c>
      <c r="B546">
        <v>182</v>
      </c>
      <c r="C546" t="s">
        <v>621</v>
      </c>
      <c r="D546">
        <v>9.1300000000000008</v>
      </c>
      <c r="E546" t="s">
        <v>622</v>
      </c>
    </row>
    <row r="547" spans="1:5" x14ac:dyDescent="0.3">
      <c r="A547">
        <v>546</v>
      </c>
      <c r="B547">
        <v>182</v>
      </c>
      <c r="C547" t="s">
        <v>609</v>
      </c>
      <c r="D547">
        <v>18.18</v>
      </c>
      <c r="E547" t="s">
        <v>610</v>
      </c>
    </row>
    <row r="548" spans="1:5" x14ac:dyDescent="0.3">
      <c r="A548">
        <v>547</v>
      </c>
      <c r="B548">
        <v>183</v>
      </c>
      <c r="C548" t="s">
        <v>619</v>
      </c>
      <c r="D548">
        <v>1.46</v>
      </c>
      <c r="E548" t="s">
        <v>620</v>
      </c>
    </row>
    <row r="549" spans="1:5" x14ac:dyDescent="0.3">
      <c r="A549">
        <v>548</v>
      </c>
      <c r="B549">
        <v>183</v>
      </c>
      <c r="C549" t="s">
        <v>603</v>
      </c>
      <c r="D549">
        <v>202.89</v>
      </c>
      <c r="E549" t="s">
        <v>604</v>
      </c>
    </row>
    <row r="550" spans="1:5" x14ac:dyDescent="0.3">
      <c r="A550">
        <v>549</v>
      </c>
      <c r="B550">
        <v>183</v>
      </c>
      <c r="C550" t="s">
        <v>613</v>
      </c>
      <c r="D550">
        <v>5.5</v>
      </c>
      <c r="E550" t="s">
        <v>614</v>
      </c>
    </row>
    <row r="551" spans="1:5" x14ac:dyDescent="0.3">
      <c r="A551">
        <v>550</v>
      </c>
      <c r="B551">
        <v>184</v>
      </c>
      <c r="C551" t="s">
        <v>605</v>
      </c>
      <c r="D551">
        <v>319.99</v>
      </c>
      <c r="E551" t="s">
        <v>606</v>
      </c>
    </row>
    <row r="552" spans="1:5" x14ac:dyDescent="0.3">
      <c r="A552">
        <v>551</v>
      </c>
      <c r="B552">
        <v>184</v>
      </c>
      <c r="C552" t="s">
        <v>607</v>
      </c>
      <c r="D552">
        <v>143.46</v>
      </c>
      <c r="E552" t="s">
        <v>608</v>
      </c>
    </row>
    <row r="553" spans="1:5" x14ac:dyDescent="0.3">
      <c r="A553">
        <v>552</v>
      </c>
      <c r="B553">
        <v>184</v>
      </c>
      <c r="C553" t="s">
        <v>613</v>
      </c>
      <c r="D553">
        <v>3.81</v>
      </c>
      <c r="E553" t="s">
        <v>614</v>
      </c>
    </row>
    <row r="554" spans="1:5" x14ac:dyDescent="0.3">
      <c r="A554">
        <v>553</v>
      </c>
      <c r="B554">
        <v>185</v>
      </c>
      <c r="C554" t="s">
        <v>605</v>
      </c>
      <c r="D554">
        <v>132.69999999999999</v>
      </c>
      <c r="E554" t="s">
        <v>606</v>
      </c>
    </row>
    <row r="555" spans="1:5" x14ac:dyDescent="0.3">
      <c r="A555">
        <v>554</v>
      </c>
      <c r="B555">
        <v>185</v>
      </c>
      <c r="C555" t="s">
        <v>611</v>
      </c>
      <c r="D555">
        <v>16.54</v>
      </c>
      <c r="E555" t="s">
        <v>612</v>
      </c>
    </row>
    <row r="556" spans="1:5" x14ac:dyDescent="0.3">
      <c r="A556">
        <v>555</v>
      </c>
      <c r="B556">
        <v>185</v>
      </c>
      <c r="C556" t="s">
        <v>615</v>
      </c>
      <c r="D556">
        <v>378.33</v>
      </c>
      <c r="E556" t="s">
        <v>616</v>
      </c>
    </row>
    <row r="557" spans="1:5" x14ac:dyDescent="0.3">
      <c r="A557">
        <v>556</v>
      </c>
      <c r="B557">
        <v>186</v>
      </c>
      <c r="C557" t="s">
        <v>605</v>
      </c>
      <c r="D557">
        <v>198.76</v>
      </c>
      <c r="E557" t="s">
        <v>606</v>
      </c>
    </row>
    <row r="558" spans="1:5" x14ac:dyDescent="0.3">
      <c r="A558">
        <v>557</v>
      </c>
      <c r="B558">
        <v>186</v>
      </c>
      <c r="C558" t="s">
        <v>607</v>
      </c>
      <c r="D558">
        <v>145.97999999999999</v>
      </c>
      <c r="E558" t="s">
        <v>608</v>
      </c>
    </row>
    <row r="559" spans="1:5" x14ac:dyDescent="0.3">
      <c r="A559">
        <v>558</v>
      </c>
      <c r="B559">
        <v>186</v>
      </c>
      <c r="C559" t="s">
        <v>603</v>
      </c>
      <c r="D559">
        <v>209.94</v>
      </c>
      <c r="E559" t="s">
        <v>604</v>
      </c>
    </row>
    <row r="560" spans="1:5" x14ac:dyDescent="0.3">
      <c r="A560">
        <v>559</v>
      </c>
      <c r="B560">
        <v>187</v>
      </c>
      <c r="C560" t="s">
        <v>609</v>
      </c>
      <c r="D560">
        <v>10.43</v>
      </c>
      <c r="E560" t="s">
        <v>610</v>
      </c>
    </row>
    <row r="561" spans="1:5" x14ac:dyDescent="0.3">
      <c r="A561">
        <v>560</v>
      </c>
      <c r="B561">
        <v>187</v>
      </c>
      <c r="C561" t="s">
        <v>613</v>
      </c>
      <c r="D561">
        <v>4.79</v>
      </c>
      <c r="E561" t="s">
        <v>614</v>
      </c>
    </row>
    <row r="562" spans="1:5" x14ac:dyDescent="0.3">
      <c r="A562">
        <v>561</v>
      </c>
      <c r="B562">
        <v>187</v>
      </c>
      <c r="C562" t="s">
        <v>611</v>
      </c>
      <c r="D562">
        <v>14.49</v>
      </c>
      <c r="E562" t="s">
        <v>612</v>
      </c>
    </row>
    <row r="563" spans="1:5" x14ac:dyDescent="0.3">
      <c r="A563">
        <v>562</v>
      </c>
      <c r="B563">
        <v>188</v>
      </c>
      <c r="C563" t="s">
        <v>611</v>
      </c>
      <c r="D563">
        <v>8.9</v>
      </c>
      <c r="E563" t="s">
        <v>612</v>
      </c>
    </row>
    <row r="564" spans="1:5" x14ac:dyDescent="0.3">
      <c r="A564">
        <v>563</v>
      </c>
      <c r="B564">
        <v>188</v>
      </c>
      <c r="C564" t="s">
        <v>619</v>
      </c>
      <c r="D564">
        <v>2.6</v>
      </c>
      <c r="E564" t="s">
        <v>620</v>
      </c>
    </row>
    <row r="565" spans="1:5" x14ac:dyDescent="0.3">
      <c r="A565">
        <v>564</v>
      </c>
      <c r="B565">
        <v>188</v>
      </c>
      <c r="C565" t="s">
        <v>621</v>
      </c>
      <c r="D565">
        <v>5.44</v>
      </c>
      <c r="E565" t="s">
        <v>622</v>
      </c>
    </row>
    <row r="566" spans="1:5" x14ac:dyDescent="0.3">
      <c r="A566">
        <v>565</v>
      </c>
      <c r="B566">
        <v>189</v>
      </c>
      <c r="C566" t="s">
        <v>609</v>
      </c>
      <c r="D566">
        <v>2.5499999999999998</v>
      </c>
      <c r="E566" t="s">
        <v>610</v>
      </c>
    </row>
    <row r="567" spans="1:5" x14ac:dyDescent="0.3">
      <c r="A567">
        <v>566</v>
      </c>
      <c r="B567">
        <v>189</v>
      </c>
      <c r="C567" t="s">
        <v>613</v>
      </c>
      <c r="D567">
        <v>3.24</v>
      </c>
      <c r="E567" t="s">
        <v>614</v>
      </c>
    </row>
    <row r="568" spans="1:5" x14ac:dyDescent="0.3">
      <c r="A568">
        <v>567</v>
      </c>
      <c r="B568">
        <v>189</v>
      </c>
      <c r="C568" t="s">
        <v>615</v>
      </c>
      <c r="D568">
        <v>172.18</v>
      </c>
      <c r="E568" t="s">
        <v>616</v>
      </c>
    </row>
    <row r="569" spans="1:5" x14ac:dyDescent="0.3">
      <c r="A569">
        <v>568</v>
      </c>
      <c r="B569">
        <v>190</v>
      </c>
      <c r="C569" t="s">
        <v>605</v>
      </c>
      <c r="D569">
        <v>290.29000000000002</v>
      </c>
      <c r="E569" t="s">
        <v>606</v>
      </c>
    </row>
    <row r="570" spans="1:5" x14ac:dyDescent="0.3">
      <c r="A570">
        <v>569</v>
      </c>
      <c r="B570">
        <v>190</v>
      </c>
      <c r="C570" t="s">
        <v>611</v>
      </c>
      <c r="D570">
        <v>7.37</v>
      </c>
      <c r="E570" t="s">
        <v>612</v>
      </c>
    </row>
    <row r="571" spans="1:5" x14ac:dyDescent="0.3">
      <c r="A571">
        <v>570</v>
      </c>
      <c r="B571">
        <v>190</v>
      </c>
      <c r="C571" t="s">
        <v>617</v>
      </c>
      <c r="D571">
        <v>15.74</v>
      </c>
      <c r="E571" t="s">
        <v>618</v>
      </c>
    </row>
    <row r="572" spans="1:5" x14ac:dyDescent="0.3">
      <c r="A572">
        <v>571</v>
      </c>
      <c r="B572">
        <v>191</v>
      </c>
      <c r="C572" t="s">
        <v>609</v>
      </c>
      <c r="D572">
        <v>19.329999999999998</v>
      </c>
      <c r="E572" t="s">
        <v>610</v>
      </c>
    </row>
    <row r="573" spans="1:5" x14ac:dyDescent="0.3">
      <c r="A573">
        <v>572</v>
      </c>
      <c r="B573">
        <v>191</v>
      </c>
      <c r="C573" t="s">
        <v>617</v>
      </c>
      <c r="D573">
        <v>5.23</v>
      </c>
      <c r="E573" t="s">
        <v>618</v>
      </c>
    </row>
    <row r="574" spans="1:5" x14ac:dyDescent="0.3">
      <c r="A574">
        <v>573</v>
      </c>
      <c r="B574">
        <v>191</v>
      </c>
      <c r="C574" t="s">
        <v>615</v>
      </c>
      <c r="D574">
        <v>441.99</v>
      </c>
      <c r="E574" t="s">
        <v>616</v>
      </c>
    </row>
    <row r="575" spans="1:5" x14ac:dyDescent="0.3">
      <c r="A575">
        <v>574</v>
      </c>
      <c r="B575">
        <v>192</v>
      </c>
      <c r="C575" t="s">
        <v>603</v>
      </c>
      <c r="D575">
        <v>73.540000000000006</v>
      </c>
      <c r="E575" t="s">
        <v>604</v>
      </c>
    </row>
    <row r="576" spans="1:5" x14ac:dyDescent="0.3">
      <c r="A576">
        <v>575</v>
      </c>
      <c r="B576">
        <v>192</v>
      </c>
      <c r="C576" t="s">
        <v>619</v>
      </c>
      <c r="D576">
        <v>3.81</v>
      </c>
      <c r="E576" t="s">
        <v>620</v>
      </c>
    </row>
    <row r="577" spans="1:5" x14ac:dyDescent="0.3">
      <c r="A577">
        <v>576</v>
      </c>
      <c r="B577">
        <v>192</v>
      </c>
      <c r="C577" t="s">
        <v>617</v>
      </c>
      <c r="D577">
        <v>14.76</v>
      </c>
      <c r="E577" t="s">
        <v>618</v>
      </c>
    </row>
    <row r="578" spans="1:5" x14ac:dyDescent="0.3">
      <c r="A578">
        <v>577</v>
      </c>
      <c r="B578">
        <v>193</v>
      </c>
      <c r="C578" t="s">
        <v>617</v>
      </c>
      <c r="D578">
        <v>4.82</v>
      </c>
      <c r="E578" t="s">
        <v>618</v>
      </c>
    </row>
    <row r="579" spans="1:5" x14ac:dyDescent="0.3">
      <c r="A579">
        <v>578</v>
      </c>
      <c r="B579">
        <v>193</v>
      </c>
      <c r="C579" t="s">
        <v>609</v>
      </c>
      <c r="D579">
        <v>9.86</v>
      </c>
      <c r="E579" t="s">
        <v>610</v>
      </c>
    </row>
    <row r="580" spans="1:5" x14ac:dyDescent="0.3">
      <c r="A580">
        <v>579</v>
      </c>
      <c r="B580">
        <v>193</v>
      </c>
      <c r="C580" t="s">
        <v>613</v>
      </c>
      <c r="D580">
        <v>3.86</v>
      </c>
      <c r="E580" t="s">
        <v>614</v>
      </c>
    </row>
    <row r="581" spans="1:5" x14ac:dyDescent="0.3">
      <c r="A581">
        <v>580</v>
      </c>
      <c r="B581">
        <v>194</v>
      </c>
      <c r="C581" t="s">
        <v>615</v>
      </c>
      <c r="D581">
        <v>340.78</v>
      </c>
      <c r="E581" t="s">
        <v>616</v>
      </c>
    </row>
    <row r="582" spans="1:5" x14ac:dyDescent="0.3">
      <c r="A582">
        <v>581</v>
      </c>
      <c r="B582">
        <v>194</v>
      </c>
      <c r="C582" t="s">
        <v>609</v>
      </c>
      <c r="D582">
        <v>13.29</v>
      </c>
      <c r="E582" t="s">
        <v>610</v>
      </c>
    </row>
    <row r="583" spans="1:5" x14ac:dyDescent="0.3">
      <c r="A583">
        <v>582</v>
      </c>
      <c r="B583">
        <v>194</v>
      </c>
      <c r="C583" t="s">
        <v>619</v>
      </c>
      <c r="D583">
        <v>0.66</v>
      </c>
      <c r="E583" t="s">
        <v>620</v>
      </c>
    </row>
    <row r="584" spans="1:5" x14ac:dyDescent="0.3">
      <c r="A584">
        <v>583</v>
      </c>
      <c r="B584">
        <v>195</v>
      </c>
      <c r="C584" t="s">
        <v>603</v>
      </c>
      <c r="D584">
        <v>120.45</v>
      </c>
      <c r="E584" t="s">
        <v>604</v>
      </c>
    </row>
    <row r="585" spans="1:5" x14ac:dyDescent="0.3">
      <c r="A585">
        <v>584</v>
      </c>
      <c r="B585">
        <v>195</v>
      </c>
      <c r="C585" t="s">
        <v>619</v>
      </c>
      <c r="D585">
        <v>3.41</v>
      </c>
      <c r="E585" t="s">
        <v>620</v>
      </c>
    </row>
    <row r="586" spans="1:5" x14ac:dyDescent="0.3">
      <c r="A586">
        <v>585</v>
      </c>
      <c r="B586">
        <v>195</v>
      </c>
      <c r="C586" t="s">
        <v>605</v>
      </c>
      <c r="D586">
        <v>311.48</v>
      </c>
      <c r="E586" t="s">
        <v>606</v>
      </c>
    </row>
    <row r="587" spans="1:5" x14ac:dyDescent="0.3">
      <c r="A587">
        <v>586</v>
      </c>
      <c r="B587">
        <v>196</v>
      </c>
      <c r="C587" t="s">
        <v>621</v>
      </c>
      <c r="D587">
        <v>8.73</v>
      </c>
      <c r="E587" t="s">
        <v>622</v>
      </c>
    </row>
    <row r="588" spans="1:5" x14ac:dyDescent="0.3">
      <c r="A588">
        <v>587</v>
      </c>
      <c r="B588">
        <v>196</v>
      </c>
      <c r="C588" t="s">
        <v>609</v>
      </c>
      <c r="D588">
        <v>5.62</v>
      </c>
      <c r="E588" t="s">
        <v>610</v>
      </c>
    </row>
    <row r="589" spans="1:5" x14ac:dyDescent="0.3">
      <c r="A589">
        <v>588</v>
      </c>
      <c r="B589">
        <v>196</v>
      </c>
      <c r="C589" t="s">
        <v>619</v>
      </c>
      <c r="D589">
        <v>3.05</v>
      </c>
      <c r="E589" t="s">
        <v>620</v>
      </c>
    </row>
    <row r="590" spans="1:5" x14ac:dyDescent="0.3">
      <c r="A590">
        <v>589</v>
      </c>
      <c r="B590">
        <v>197</v>
      </c>
      <c r="C590" t="s">
        <v>607</v>
      </c>
      <c r="D590">
        <v>133.72999999999999</v>
      </c>
      <c r="E590" t="s">
        <v>608</v>
      </c>
    </row>
    <row r="591" spans="1:5" x14ac:dyDescent="0.3">
      <c r="A591">
        <v>590</v>
      </c>
      <c r="B591">
        <v>197</v>
      </c>
      <c r="C591" t="s">
        <v>611</v>
      </c>
      <c r="D591">
        <v>13.82</v>
      </c>
      <c r="E591" t="s">
        <v>612</v>
      </c>
    </row>
    <row r="592" spans="1:5" x14ac:dyDescent="0.3">
      <c r="A592">
        <v>591</v>
      </c>
      <c r="B592">
        <v>197</v>
      </c>
      <c r="C592" t="s">
        <v>617</v>
      </c>
      <c r="D592">
        <v>5.12</v>
      </c>
      <c r="E592" t="s">
        <v>618</v>
      </c>
    </row>
    <row r="593" spans="1:5" x14ac:dyDescent="0.3">
      <c r="A593">
        <v>592</v>
      </c>
      <c r="B593">
        <v>198</v>
      </c>
      <c r="C593" t="s">
        <v>613</v>
      </c>
      <c r="D593">
        <v>5.0999999999999996</v>
      </c>
      <c r="E593" t="s">
        <v>614</v>
      </c>
    </row>
    <row r="594" spans="1:5" x14ac:dyDescent="0.3">
      <c r="A594">
        <v>593</v>
      </c>
      <c r="B594">
        <v>198</v>
      </c>
      <c r="C594" t="s">
        <v>611</v>
      </c>
      <c r="D594">
        <v>16.87</v>
      </c>
      <c r="E594" t="s">
        <v>612</v>
      </c>
    </row>
    <row r="595" spans="1:5" x14ac:dyDescent="0.3">
      <c r="A595">
        <v>594</v>
      </c>
      <c r="B595">
        <v>198</v>
      </c>
      <c r="C595" t="s">
        <v>617</v>
      </c>
      <c r="D595">
        <v>4.8600000000000003</v>
      </c>
      <c r="E595" t="s">
        <v>618</v>
      </c>
    </row>
    <row r="596" spans="1:5" x14ac:dyDescent="0.3">
      <c r="A596">
        <v>595</v>
      </c>
      <c r="B596">
        <v>199</v>
      </c>
      <c r="C596" t="s">
        <v>619</v>
      </c>
      <c r="D596">
        <v>3.98</v>
      </c>
      <c r="E596" t="s">
        <v>620</v>
      </c>
    </row>
    <row r="597" spans="1:5" x14ac:dyDescent="0.3">
      <c r="A597">
        <v>596</v>
      </c>
      <c r="B597">
        <v>199</v>
      </c>
      <c r="C597" t="s">
        <v>611</v>
      </c>
      <c r="D597">
        <v>14.32</v>
      </c>
      <c r="E597" t="s">
        <v>612</v>
      </c>
    </row>
    <row r="598" spans="1:5" x14ac:dyDescent="0.3">
      <c r="A598">
        <v>597</v>
      </c>
      <c r="B598">
        <v>199</v>
      </c>
      <c r="C598" t="s">
        <v>617</v>
      </c>
      <c r="D598">
        <v>5.5</v>
      </c>
      <c r="E598" t="s">
        <v>618</v>
      </c>
    </row>
    <row r="599" spans="1:5" x14ac:dyDescent="0.3">
      <c r="A599">
        <v>598</v>
      </c>
      <c r="B599">
        <v>200</v>
      </c>
      <c r="C599" t="s">
        <v>615</v>
      </c>
      <c r="D599">
        <v>246.89</v>
      </c>
      <c r="E599" t="s">
        <v>616</v>
      </c>
    </row>
    <row r="600" spans="1:5" x14ac:dyDescent="0.3">
      <c r="A600">
        <v>599</v>
      </c>
      <c r="B600">
        <v>200</v>
      </c>
      <c r="C600" t="s">
        <v>609</v>
      </c>
      <c r="D600">
        <v>3.15</v>
      </c>
      <c r="E600" t="s">
        <v>610</v>
      </c>
    </row>
    <row r="601" spans="1:5" x14ac:dyDescent="0.3">
      <c r="A601">
        <v>600</v>
      </c>
      <c r="B601">
        <v>200</v>
      </c>
      <c r="C601" t="s">
        <v>605</v>
      </c>
      <c r="D601">
        <v>318.49</v>
      </c>
      <c r="E601" t="s">
        <v>606</v>
      </c>
    </row>
    <row r="602" spans="1:5" x14ac:dyDescent="0.3">
      <c r="A602">
        <v>601</v>
      </c>
      <c r="B602">
        <v>201</v>
      </c>
      <c r="C602" t="s">
        <v>607</v>
      </c>
      <c r="D602">
        <v>149.21</v>
      </c>
      <c r="E602" t="s">
        <v>608</v>
      </c>
    </row>
    <row r="603" spans="1:5" x14ac:dyDescent="0.3">
      <c r="A603">
        <v>602</v>
      </c>
      <c r="B603">
        <v>201</v>
      </c>
      <c r="C603" t="s">
        <v>621</v>
      </c>
      <c r="D603">
        <v>5.98</v>
      </c>
      <c r="E603" t="s">
        <v>622</v>
      </c>
    </row>
    <row r="604" spans="1:5" x14ac:dyDescent="0.3">
      <c r="A604">
        <v>603</v>
      </c>
      <c r="B604">
        <v>201</v>
      </c>
      <c r="C604" t="s">
        <v>603</v>
      </c>
      <c r="D604">
        <v>114.97</v>
      </c>
      <c r="E604" t="s">
        <v>604</v>
      </c>
    </row>
    <row r="605" spans="1:5" x14ac:dyDescent="0.3">
      <c r="A605">
        <v>604</v>
      </c>
      <c r="B605">
        <v>202</v>
      </c>
      <c r="C605" t="s">
        <v>609</v>
      </c>
      <c r="D605">
        <v>1.41</v>
      </c>
      <c r="E605" t="s">
        <v>610</v>
      </c>
    </row>
    <row r="606" spans="1:5" x14ac:dyDescent="0.3">
      <c r="A606">
        <v>605</v>
      </c>
      <c r="B606">
        <v>202</v>
      </c>
      <c r="C606" t="s">
        <v>611</v>
      </c>
      <c r="D606">
        <v>13.72</v>
      </c>
      <c r="E606" t="s">
        <v>612</v>
      </c>
    </row>
    <row r="607" spans="1:5" x14ac:dyDescent="0.3">
      <c r="A607">
        <v>606</v>
      </c>
      <c r="B607">
        <v>202</v>
      </c>
      <c r="C607" t="s">
        <v>607</v>
      </c>
      <c r="D607">
        <v>135.97999999999999</v>
      </c>
      <c r="E607" t="s">
        <v>608</v>
      </c>
    </row>
    <row r="608" spans="1:5" x14ac:dyDescent="0.3">
      <c r="A608">
        <v>607</v>
      </c>
      <c r="B608">
        <v>203</v>
      </c>
      <c r="C608" t="s">
        <v>615</v>
      </c>
      <c r="D608">
        <v>404.1</v>
      </c>
      <c r="E608" t="s">
        <v>616</v>
      </c>
    </row>
    <row r="609" spans="1:5" x14ac:dyDescent="0.3">
      <c r="A609">
        <v>608</v>
      </c>
      <c r="B609">
        <v>203</v>
      </c>
      <c r="C609" t="s">
        <v>617</v>
      </c>
      <c r="D609">
        <v>5.93</v>
      </c>
      <c r="E609" t="s">
        <v>618</v>
      </c>
    </row>
    <row r="610" spans="1:5" x14ac:dyDescent="0.3">
      <c r="A610">
        <v>609</v>
      </c>
      <c r="B610">
        <v>203</v>
      </c>
      <c r="C610" t="s">
        <v>605</v>
      </c>
      <c r="D610">
        <v>121.97</v>
      </c>
      <c r="E610" t="s">
        <v>606</v>
      </c>
    </row>
    <row r="611" spans="1:5" x14ac:dyDescent="0.3">
      <c r="A611">
        <v>610</v>
      </c>
      <c r="B611">
        <v>204</v>
      </c>
      <c r="C611" t="s">
        <v>607</v>
      </c>
      <c r="D611">
        <v>148.94</v>
      </c>
      <c r="E611" t="s">
        <v>608</v>
      </c>
    </row>
    <row r="612" spans="1:5" x14ac:dyDescent="0.3">
      <c r="A612">
        <v>611</v>
      </c>
      <c r="B612">
        <v>204</v>
      </c>
      <c r="C612" t="s">
        <v>619</v>
      </c>
      <c r="D612">
        <v>3.24</v>
      </c>
      <c r="E612" t="s">
        <v>620</v>
      </c>
    </row>
    <row r="613" spans="1:5" x14ac:dyDescent="0.3">
      <c r="A613">
        <v>612</v>
      </c>
      <c r="B613">
        <v>204</v>
      </c>
      <c r="C613" t="s">
        <v>621</v>
      </c>
      <c r="D613">
        <v>4.99</v>
      </c>
      <c r="E613" t="s">
        <v>622</v>
      </c>
    </row>
    <row r="614" spans="1:5" x14ac:dyDescent="0.3">
      <c r="A614">
        <v>613</v>
      </c>
      <c r="B614">
        <v>205</v>
      </c>
      <c r="C614" t="s">
        <v>609</v>
      </c>
      <c r="D614">
        <v>2</v>
      </c>
      <c r="E614" t="s">
        <v>610</v>
      </c>
    </row>
    <row r="615" spans="1:5" x14ac:dyDescent="0.3">
      <c r="A615">
        <v>614</v>
      </c>
      <c r="B615">
        <v>205</v>
      </c>
      <c r="C615" t="s">
        <v>617</v>
      </c>
      <c r="D615">
        <v>7.54</v>
      </c>
      <c r="E615" t="s">
        <v>618</v>
      </c>
    </row>
    <row r="616" spans="1:5" x14ac:dyDescent="0.3">
      <c r="A616">
        <v>615</v>
      </c>
      <c r="B616">
        <v>205</v>
      </c>
      <c r="C616" t="s">
        <v>613</v>
      </c>
      <c r="D616">
        <v>4.75</v>
      </c>
      <c r="E616" t="s">
        <v>614</v>
      </c>
    </row>
    <row r="617" spans="1:5" x14ac:dyDescent="0.3">
      <c r="A617">
        <v>616</v>
      </c>
      <c r="B617">
        <v>206</v>
      </c>
      <c r="C617" t="s">
        <v>617</v>
      </c>
      <c r="D617">
        <v>10.9</v>
      </c>
      <c r="E617" t="s">
        <v>618</v>
      </c>
    </row>
    <row r="618" spans="1:5" x14ac:dyDescent="0.3">
      <c r="A618">
        <v>617</v>
      </c>
      <c r="B618">
        <v>206</v>
      </c>
      <c r="C618" t="s">
        <v>609</v>
      </c>
      <c r="D618">
        <v>17.940000000000001</v>
      </c>
      <c r="E618" t="s">
        <v>610</v>
      </c>
    </row>
    <row r="619" spans="1:5" x14ac:dyDescent="0.3">
      <c r="A619">
        <v>618</v>
      </c>
      <c r="B619">
        <v>206</v>
      </c>
      <c r="C619" t="s">
        <v>621</v>
      </c>
      <c r="D619">
        <v>5.37</v>
      </c>
      <c r="E619" t="s">
        <v>622</v>
      </c>
    </row>
    <row r="620" spans="1:5" x14ac:dyDescent="0.3">
      <c r="A620">
        <v>619</v>
      </c>
      <c r="B620">
        <v>207</v>
      </c>
      <c r="C620" t="s">
        <v>607</v>
      </c>
      <c r="D620">
        <v>145.72999999999999</v>
      </c>
      <c r="E620" t="s">
        <v>608</v>
      </c>
    </row>
    <row r="621" spans="1:5" x14ac:dyDescent="0.3">
      <c r="A621">
        <v>620</v>
      </c>
      <c r="B621">
        <v>207</v>
      </c>
      <c r="C621" t="s">
        <v>605</v>
      </c>
      <c r="D621">
        <v>255.56</v>
      </c>
      <c r="E621" t="s">
        <v>606</v>
      </c>
    </row>
    <row r="622" spans="1:5" x14ac:dyDescent="0.3">
      <c r="A622">
        <v>621</v>
      </c>
      <c r="B622">
        <v>207</v>
      </c>
      <c r="C622" t="s">
        <v>615</v>
      </c>
      <c r="D622">
        <v>376.06</v>
      </c>
      <c r="E622" t="s">
        <v>616</v>
      </c>
    </row>
    <row r="623" spans="1:5" x14ac:dyDescent="0.3">
      <c r="A623">
        <v>622</v>
      </c>
      <c r="B623">
        <v>208</v>
      </c>
      <c r="C623" t="s">
        <v>609</v>
      </c>
      <c r="D623">
        <v>11.89</v>
      </c>
      <c r="E623" t="s">
        <v>610</v>
      </c>
    </row>
    <row r="624" spans="1:5" x14ac:dyDescent="0.3">
      <c r="A624">
        <v>623</v>
      </c>
      <c r="B624">
        <v>208</v>
      </c>
      <c r="C624" t="s">
        <v>607</v>
      </c>
      <c r="D624">
        <v>133.69999999999999</v>
      </c>
      <c r="E624" t="s">
        <v>608</v>
      </c>
    </row>
    <row r="625" spans="1:5" x14ac:dyDescent="0.3">
      <c r="A625">
        <v>624</v>
      </c>
      <c r="B625">
        <v>208</v>
      </c>
      <c r="C625" t="s">
        <v>613</v>
      </c>
      <c r="D625">
        <v>5.13</v>
      </c>
      <c r="E625" t="s">
        <v>614</v>
      </c>
    </row>
    <row r="626" spans="1:5" x14ac:dyDescent="0.3">
      <c r="A626">
        <v>625</v>
      </c>
      <c r="B626">
        <v>209</v>
      </c>
      <c r="C626" t="s">
        <v>605</v>
      </c>
      <c r="D626">
        <v>195.76</v>
      </c>
      <c r="E626" t="s">
        <v>606</v>
      </c>
    </row>
    <row r="627" spans="1:5" x14ac:dyDescent="0.3">
      <c r="A627">
        <v>626</v>
      </c>
      <c r="B627">
        <v>209</v>
      </c>
      <c r="C627" t="s">
        <v>621</v>
      </c>
      <c r="D627">
        <v>9.8800000000000008</v>
      </c>
      <c r="E627" t="s">
        <v>622</v>
      </c>
    </row>
    <row r="628" spans="1:5" x14ac:dyDescent="0.3">
      <c r="A628">
        <v>627</v>
      </c>
      <c r="B628">
        <v>209</v>
      </c>
      <c r="C628" t="s">
        <v>609</v>
      </c>
      <c r="D628">
        <v>1.1499999999999999</v>
      </c>
      <c r="E628" t="s">
        <v>610</v>
      </c>
    </row>
    <row r="629" spans="1:5" x14ac:dyDescent="0.3">
      <c r="A629">
        <v>628</v>
      </c>
      <c r="B629">
        <v>210</v>
      </c>
      <c r="C629" t="s">
        <v>615</v>
      </c>
      <c r="D629">
        <v>347.38</v>
      </c>
      <c r="E629" t="s">
        <v>616</v>
      </c>
    </row>
    <row r="630" spans="1:5" x14ac:dyDescent="0.3">
      <c r="A630">
        <v>629</v>
      </c>
      <c r="B630">
        <v>210</v>
      </c>
      <c r="C630" t="s">
        <v>619</v>
      </c>
      <c r="D630">
        <v>1.1399999999999999</v>
      </c>
      <c r="E630" t="s">
        <v>620</v>
      </c>
    </row>
    <row r="631" spans="1:5" x14ac:dyDescent="0.3">
      <c r="A631">
        <v>630</v>
      </c>
      <c r="B631">
        <v>210</v>
      </c>
      <c r="C631" t="s">
        <v>607</v>
      </c>
      <c r="D631">
        <v>149.69999999999999</v>
      </c>
      <c r="E631" t="s">
        <v>608</v>
      </c>
    </row>
    <row r="632" spans="1:5" x14ac:dyDescent="0.3">
      <c r="A632">
        <v>631</v>
      </c>
      <c r="B632">
        <v>211</v>
      </c>
      <c r="C632" t="s">
        <v>613</v>
      </c>
      <c r="D632">
        <v>3.74</v>
      </c>
      <c r="E632" t="s">
        <v>614</v>
      </c>
    </row>
    <row r="633" spans="1:5" x14ac:dyDescent="0.3">
      <c r="A633">
        <v>632</v>
      </c>
      <c r="B633">
        <v>211</v>
      </c>
      <c r="C633" t="s">
        <v>609</v>
      </c>
      <c r="D633">
        <v>8.61</v>
      </c>
      <c r="E633" t="s">
        <v>610</v>
      </c>
    </row>
    <row r="634" spans="1:5" x14ac:dyDescent="0.3">
      <c r="A634">
        <v>633</v>
      </c>
      <c r="B634">
        <v>211</v>
      </c>
      <c r="C634" t="s">
        <v>617</v>
      </c>
      <c r="D634">
        <v>15.24</v>
      </c>
      <c r="E634" t="s">
        <v>618</v>
      </c>
    </row>
    <row r="635" spans="1:5" x14ac:dyDescent="0.3">
      <c r="A635">
        <v>634</v>
      </c>
      <c r="B635">
        <v>212</v>
      </c>
      <c r="C635" t="s">
        <v>619</v>
      </c>
      <c r="D635">
        <v>3.82</v>
      </c>
      <c r="E635" t="s">
        <v>620</v>
      </c>
    </row>
    <row r="636" spans="1:5" x14ac:dyDescent="0.3">
      <c r="A636">
        <v>635</v>
      </c>
      <c r="B636">
        <v>212</v>
      </c>
      <c r="C636" t="s">
        <v>617</v>
      </c>
      <c r="D636">
        <v>8.2799999999999994</v>
      </c>
      <c r="E636" t="s">
        <v>618</v>
      </c>
    </row>
    <row r="637" spans="1:5" x14ac:dyDescent="0.3">
      <c r="A637">
        <v>636</v>
      </c>
      <c r="B637">
        <v>212</v>
      </c>
      <c r="C637" t="s">
        <v>611</v>
      </c>
      <c r="D637">
        <v>10.28</v>
      </c>
      <c r="E637" t="s">
        <v>612</v>
      </c>
    </row>
    <row r="638" spans="1:5" x14ac:dyDescent="0.3">
      <c r="A638">
        <v>637</v>
      </c>
      <c r="B638">
        <v>213</v>
      </c>
      <c r="C638" t="s">
        <v>611</v>
      </c>
      <c r="D638">
        <v>14.66</v>
      </c>
      <c r="E638" t="s">
        <v>612</v>
      </c>
    </row>
    <row r="639" spans="1:5" x14ac:dyDescent="0.3">
      <c r="A639">
        <v>638</v>
      </c>
      <c r="B639">
        <v>213</v>
      </c>
      <c r="C639" t="s">
        <v>621</v>
      </c>
      <c r="D639">
        <v>11.56</v>
      </c>
      <c r="E639" t="s">
        <v>622</v>
      </c>
    </row>
    <row r="640" spans="1:5" x14ac:dyDescent="0.3">
      <c r="A640">
        <v>639</v>
      </c>
      <c r="B640">
        <v>213</v>
      </c>
      <c r="C640" t="s">
        <v>609</v>
      </c>
      <c r="D640">
        <v>3.39</v>
      </c>
      <c r="E640" t="s">
        <v>610</v>
      </c>
    </row>
    <row r="641" spans="1:5" x14ac:dyDescent="0.3">
      <c r="A641">
        <v>640</v>
      </c>
      <c r="B641">
        <v>214</v>
      </c>
      <c r="C641" t="s">
        <v>603</v>
      </c>
      <c r="D641">
        <v>167.52</v>
      </c>
      <c r="E641" t="s">
        <v>604</v>
      </c>
    </row>
    <row r="642" spans="1:5" x14ac:dyDescent="0.3">
      <c r="A642">
        <v>641</v>
      </c>
      <c r="B642">
        <v>214</v>
      </c>
      <c r="C642" t="s">
        <v>611</v>
      </c>
      <c r="D642">
        <v>12.17</v>
      </c>
      <c r="E642" t="s">
        <v>612</v>
      </c>
    </row>
    <row r="643" spans="1:5" x14ac:dyDescent="0.3">
      <c r="A643">
        <v>642</v>
      </c>
      <c r="B643">
        <v>214</v>
      </c>
      <c r="C643" t="s">
        <v>617</v>
      </c>
      <c r="D643">
        <v>14.37</v>
      </c>
      <c r="E643" t="s">
        <v>618</v>
      </c>
    </row>
    <row r="644" spans="1:5" x14ac:dyDescent="0.3">
      <c r="A644">
        <v>643</v>
      </c>
      <c r="B644">
        <v>215</v>
      </c>
      <c r="C644" t="s">
        <v>607</v>
      </c>
      <c r="D644">
        <v>138.55000000000001</v>
      </c>
      <c r="E644" t="s">
        <v>608</v>
      </c>
    </row>
    <row r="645" spans="1:5" x14ac:dyDescent="0.3">
      <c r="A645">
        <v>644</v>
      </c>
      <c r="B645">
        <v>215</v>
      </c>
      <c r="C645" t="s">
        <v>609</v>
      </c>
      <c r="D645">
        <v>10.35</v>
      </c>
      <c r="E645" t="s">
        <v>610</v>
      </c>
    </row>
    <row r="646" spans="1:5" x14ac:dyDescent="0.3">
      <c r="A646">
        <v>645</v>
      </c>
      <c r="B646">
        <v>215</v>
      </c>
      <c r="C646" t="s">
        <v>605</v>
      </c>
      <c r="D646">
        <v>319.58999999999997</v>
      </c>
      <c r="E646" t="s">
        <v>606</v>
      </c>
    </row>
    <row r="647" spans="1:5" x14ac:dyDescent="0.3">
      <c r="A647">
        <v>646</v>
      </c>
      <c r="B647">
        <v>216</v>
      </c>
      <c r="C647" t="s">
        <v>609</v>
      </c>
      <c r="D647">
        <v>0.38</v>
      </c>
      <c r="E647" t="s">
        <v>610</v>
      </c>
    </row>
    <row r="648" spans="1:5" x14ac:dyDescent="0.3">
      <c r="A648">
        <v>647</v>
      </c>
      <c r="B648">
        <v>216</v>
      </c>
      <c r="C648" t="s">
        <v>611</v>
      </c>
      <c r="D648">
        <v>9</v>
      </c>
      <c r="E648" t="s">
        <v>612</v>
      </c>
    </row>
    <row r="649" spans="1:5" x14ac:dyDescent="0.3">
      <c r="A649">
        <v>648</v>
      </c>
      <c r="B649">
        <v>216</v>
      </c>
      <c r="C649" t="s">
        <v>607</v>
      </c>
      <c r="D649">
        <v>146.29</v>
      </c>
      <c r="E649" t="s">
        <v>608</v>
      </c>
    </row>
    <row r="650" spans="1:5" x14ac:dyDescent="0.3">
      <c r="A650">
        <v>649</v>
      </c>
      <c r="B650">
        <v>217</v>
      </c>
      <c r="C650" t="s">
        <v>603</v>
      </c>
      <c r="D650">
        <v>110.18</v>
      </c>
      <c r="E650" t="s">
        <v>604</v>
      </c>
    </row>
    <row r="651" spans="1:5" x14ac:dyDescent="0.3">
      <c r="A651">
        <v>650</v>
      </c>
      <c r="B651">
        <v>217</v>
      </c>
      <c r="C651" t="s">
        <v>607</v>
      </c>
      <c r="D651">
        <v>144.26</v>
      </c>
      <c r="E651" t="s">
        <v>608</v>
      </c>
    </row>
    <row r="652" spans="1:5" x14ac:dyDescent="0.3">
      <c r="A652">
        <v>651</v>
      </c>
      <c r="B652">
        <v>217</v>
      </c>
      <c r="C652" t="s">
        <v>615</v>
      </c>
      <c r="D652">
        <v>432.8</v>
      </c>
      <c r="E652" t="s">
        <v>616</v>
      </c>
    </row>
    <row r="653" spans="1:5" x14ac:dyDescent="0.3">
      <c r="A653">
        <v>652</v>
      </c>
      <c r="B653">
        <v>218</v>
      </c>
      <c r="C653" t="s">
        <v>609</v>
      </c>
      <c r="D653">
        <v>19.3</v>
      </c>
      <c r="E653" t="s">
        <v>610</v>
      </c>
    </row>
    <row r="654" spans="1:5" x14ac:dyDescent="0.3">
      <c r="A654">
        <v>653</v>
      </c>
      <c r="B654">
        <v>218</v>
      </c>
      <c r="C654" t="s">
        <v>603</v>
      </c>
      <c r="D654">
        <v>189.79</v>
      </c>
      <c r="E654" t="s">
        <v>604</v>
      </c>
    </row>
    <row r="655" spans="1:5" x14ac:dyDescent="0.3">
      <c r="A655">
        <v>654</v>
      </c>
      <c r="B655">
        <v>218</v>
      </c>
      <c r="C655" t="s">
        <v>613</v>
      </c>
      <c r="D655">
        <v>5.8</v>
      </c>
      <c r="E655" t="s">
        <v>614</v>
      </c>
    </row>
    <row r="656" spans="1:5" x14ac:dyDescent="0.3">
      <c r="A656">
        <v>655</v>
      </c>
      <c r="B656">
        <v>219</v>
      </c>
      <c r="C656" t="s">
        <v>609</v>
      </c>
      <c r="D656">
        <v>1.59</v>
      </c>
      <c r="E656" t="s">
        <v>610</v>
      </c>
    </row>
    <row r="657" spans="1:5" x14ac:dyDescent="0.3">
      <c r="A657">
        <v>656</v>
      </c>
      <c r="B657">
        <v>219</v>
      </c>
      <c r="C657" t="s">
        <v>619</v>
      </c>
      <c r="D657">
        <v>3.44</v>
      </c>
      <c r="E657" t="s">
        <v>620</v>
      </c>
    </row>
    <row r="658" spans="1:5" x14ac:dyDescent="0.3">
      <c r="A658">
        <v>657</v>
      </c>
      <c r="B658">
        <v>219</v>
      </c>
      <c r="C658" t="s">
        <v>605</v>
      </c>
      <c r="D658">
        <v>222.74</v>
      </c>
      <c r="E658" t="s">
        <v>606</v>
      </c>
    </row>
    <row r="659" spans="1:5" x14ac:dyDescent="0.3">
      <c r="A659">
        <v>658</v>
      </c>
      <c r="B659">
        <v>220</v>
      </c>
      <c r="C659" t="s">
        <v>603</v>
      </c>
      <c r="D659">
        <v>135.13</v>
      </c>
      <c r="E659" t="s">
        <v>604</v>
      </c>
    </row>
    <row r="660" spans="1:5" x14ac:dyDescent="0.3">
      <c r="A660">
        <v>659</v>
      </c>
      <c r="B660">
        <v>220</v>
      </c>
      <c r="C660" t="s">
        <v>607</v>
      </c>
      <c r="D660">
        <v>136.21</v>
      </c>
      <c r="E660" t="s">
        <v>608</v>
      </c>
    </row>
    <row r="661" spans="1:5" x14ac:dyDescent="0.3">
      <c r="A661">
        <v>660</v>
      </c>
      <c r="B661">
        <v>220</v>
      </c>
      <c r="C661" t="s">
        <v>613</v>
      </c>
      <c r="D661">
        <v>3.18</v>
      </c>
      <c r="E661" t="s">
        <v>614</v>
      </c>
    </row>
    <row r="662" spans="1:5" x14ac:dyDescent="0.3">
      <c r="A662">
        <v>661</v>
      </c>
      <c r="B662">
        <v>221</v>
      </c>
      <c r="C662" t="s">
        <v>619</v>
      </c>
      <c r="D662">
        <v>1.52</v>
      </c>
      <c r="E662" t="s">
        <v>620</v>
      </c>
    </row>
    <row r="663" spans="1:5" x14ac:dyDescent="0.3">
      <c r="A663">
        <v>662</v>
      </c>
      <c r="B663">
        <v>221</v>
      </c>
      <c r="C663" t="s">
        <v>609</v>
      </c>
      <c r="D663">
        <v>9.7100000000000009</v>
      </c>
      <c r="E663" t="s">
        <v>610</v>
      </c>
    </row>
    <row r="664" spans="1:5" x14ac:dyDescent="0.3">
      <c r="A664">
        <v>663</v>
      </c>
      <c r="B664">
        <v>221</v>
      </c>
      <c r="C664" t="s">
        <v>611</v>
      </c>
      <c r="D664">
        <v>9.7799999999999994</v>
      </c>
      <c r="E664" t="s">
        <v>612</v>
      </c>
    </row>
    <row r="665" spans="1:5" x14ac:dyDescent="0.3">
      <c r="A665">
        <v>664</v>
      </c>
      <c r="B665">
        <v>222</v>
      </c>
      <c r="C665" t="s">
        <v>603</v>
      </c>
      <c r="D665">
        <v>235.77</v>
      </c>
      <c r="E665" t="s">
        <v>604</v>
      </c>
    </row>
    <row r="666" spans="1:5" x14ac:dyDescent="0.3">
      <c r="A666">
        <v>665</v>
      </c>
      <c r="B666">
        <v>222</v>
      </c>
      <c r="C666" t="s">
        <v>607</v>
      </c>
      <c r="D666">
        <v>148.44</v>
      </c>
      <c r="E666" t="s">
        <v>608</v>
      </c>
    </row>
    <row r="667" spans="1:5" x14ac:dyDescent="0.3">
      <c r="A667">
        <v>666</v>
      </c>
      <c r="B667">
        <v>222</v>
      </c>
      <c r="C667" t="s">
        <v>619</v>
      </c>
      <c r="D667">
        <v>3.86</v>
      </c>
      <c r="E667" t="s">
        <v>620</v>
      </c>
    </row>
    <row r="668" spans="1:5" x14ac:dyDescent="0.3">
      <c r="A668">
        <v>667</v>
      </c>
      <c r="B668">
        <v>223</v>
      </c>
      <c r="C668" t="s">
        <v>609</v>
      </c>
      <c r="D668">
        <v>17.86</v>
      </c>
      <c r="E668" t="s">
        <v>610</v>
      </c>
    </row>
    <row r="669" spans="1:5" x14ac:dyDescent="0.3">
      <c r="A669">
        <v>668</v>
      </c>
      <c r="B669">
        <v>223</v>
      </c>
      <c r="C669" t="s">
        <v>603</v>
      </c>
      <c r="D669">
        <v>221.95</v>
      </c>
      <c r="E669" t="s">
        <v>604</v>
      </c>
    </row>
    <row r="670" spans="1:5" x14ac:dyDescent="0.3">
      <c r="A670">
        <v>669</v>
      </c>
      <c r="B670">
        <v>223</v>
      </c>
      <c r="C670" t="s">
        <v>613</v>
      </c>
      <c r="D670">
        <v>3</v>
      </c>
      <c r="E670" t="s">
        <v>614</v>
      </c>
    </row>
    <row r="671" spans="1:5" x14ac:dyDescent="0.3">
      <c r="A671">
        <v>670</v>
      </c>
      <c r="B671">
        <v>224</v>
      </c>
      <c r="C671" t="s">
        <v>603</v>
      </c>
      <c r="D671">
        <v>120.19</v>
      </c>
      <c r="E671" t="s">
        <v>604</v>
      </c>
    </row>
    <row r="672" spans="1:5" x14ac:dyDescent="0.3">
      <c r="A672">
        <v>671</v>
      </c>
      <c r="B672">
        <v>224</v>
      </c>
      <c r="C672" t="s">
        <v>613</v>
      </c>
      <c r="D672">
        <v>3.16</v>
      </c>
      <c r="E672" t="s">
        <v>614</v>
      </c>
    </row>
    <row r="673" spans="1:5" x14ac:dyDescent="0.3">
      <c r="A673">
        <v>672</v>
      </c>
      <c r="B673">
        <v>224</v>
      </c>
      <c r="C673" t="s">
        <v>615</v>
      </c>
      <c r="D673">
        <v>222.4</v>
      </c>
      <c r="E673" t="s">
        <v>616</v>
      </c>
    </row>
    <row r="674" spans="1:5" x14ac:dyDescent="0.3">
      <c r="A674">
        <v>673</v>
      </c>
      <c r="B674">
        <v>225</v>
      </c>
      <c r="C674" t="s">
        <v>605</v>
      </c>
      <c r="D674">
        <v>121.77</v>
      </c>
      <c r="E674" t="s">
        <v>606</v>
      </c>
    </row>
    <row r="675" spans="1:5" x14ac:dyDescent="0.3">
      <c r="A675">
        <v>674</v>
      </c>
      <c r="B675">
        <v>225</v>
      </c>
      <c r="C675" t="s">
        <v>607</v>
      </c>
      <c r="D675">
        <v>137.47999999999999</v>
      </c>
      <c r="E675" t="s">
        <v>608</v>
      </c>
    </row>
    <row r="676" spans="1:5" x14ac:dyDescent="0.3">
      <c r="A676">
        <v>675</v>
      </c>
      <c r="B676">
        <v>225</v>
      </c>
      <c r="C676" t="s">
        <v>615</v>
      </c>
      <c r="D676">
        <v>169.14</v>
      </c>
      <c r="E676" t="s">
        <v>616</v>
      </c>
    </row>
    <row r="677" spans="1:5" x14ac:dyDescent="0.3">
      <c r="A677">
        <v>676</v>
      </c>
      <c r="B677">
        <v>226</v>
      </c>
      <c r="C677" t="s">
        <v>609</v>
      </c>
      <c r="D677">
        <v>8.27</v>
      </c>
      <c r="E677" t="s">
        <v>610</v>
      </c>
    </row>
    <row r="678" spans="1:5" x14ac:dyDescent="0.3">
      <c r="A678">
        <v>677</v>
      </c>
      <c r="B678">
        <v>226</v>
      </c>
      <c r="C678" t="s">
        <v>621</v>
      </c>
      <c r="D678">
        <v>11.3</v>
      </c>
      <c r="E678" t="s">
        <v>622</v>
      </c>
    </row>
    <row r="679" spans="1:5" x14ac:dyDescent="0.3">
      <c r="A679">
        <v>678</v>
      </c>
      <c r="B679">
        <v>226</v>
      </c>
      <c r="C679" t="s">
        <v>605</v>
      </c>
      <c r="D679">
        <v>121.38</v>
      </c>
      <c r="E679" t="s">
        <v>606</v>
      </c>
    </row>
    <row r="680" spans="1:5" x14ac:dyDescent="0.3">
      <c r="A680">
        <v>679</v>
      </c>
      <c r="B680">
        <v>227</v>
      </c>
      <c r="C680" t="s">
        <v>617</v>
      </c>
      <c r="D680">
        <v>8.14</v>
      </c>
      <c r="E680" t="s">
        <v>618</v>
      </c>
    </row>
    <row r="681" spans="1:5" x14ac:dyDescent="0.3">
      <c r="A681">
        <v>680</v>
      </c>
      <c r="B681">
        <v>227</v>
      </c>
      <c r="C681" t="s">
        <v>619</v>
      </c>
      <c r="D681">
        <v>1.55</v>
      </c>
      <c r="E681" t="s">
        <v>620</v>
      </c>
    </row>
    <row r="682" spans="1:5" x14ac:dyDescent="0.3">
      <c r="A682">
        <v>681</v>
      </c>
      <c r="B682">
        <v>227</v>
      </c>
      <c r="C682" t="s">
        <v>613</v>
      </c>
      <c r="D682">
        <v>4.26</v>
      </c>
      <c r="E682" t="s">
        <v>614</v>
      </c>
    </row>
    <row r="683" spans="1:5" x14ac:dyDescent="0.3">
      <c r="A683">
        <v>682</v>
      </c>
      <c r="B683">
        <v>228</v>
      </c>
      <c r="C683" t="s">
        <v>605</v>
      </c>
      <c r="D683">
        <v>141.74</v>
      </c>
      <c r="E683" t="s">
        <v>606</v>
      </c>
    </row>
    <row r="684" spans="1:5" x14ac:dyDescent="0.3">
      <c r="A684">
        <v>683</v>
      </c>
      <c r="B684">
        <v>228</v>
      </c>
      <c r="C684" t="s">
        <v>609</v>
      </c>
      <c r="D684">
        <v>8.83</v>
      </c>
      <c r="E684" t="s">
        <v>610</v>
      </c>
    </row>
    <row r="685" spans="1:5" x14ac:dyDescent="0.3">
      <c r="A685">
        <v>684</v>
      </c>
      <c r="B685">
        <v>228</v>
      </c>
      <c r="C685" t="s">
        <v>617</v>
      </c>
      <c r="D685">
        <v>13.91</v>
      </c>
      <c r="E685" t="s">
        <v>618</v>
      </c>
    </row>
    <row r="686" spans="1:5" x14ac:dyDescent="0.3">
      <c r="A686">
        <v>685</v>
      </c>
      <c r="B686">
        <v>229</v>
      </c>
      <c r="C686" t="s">
        <v>605</v>
      </c>
      <c r="D686">
        <v>269.42</v>
      </c>
      <c r="E686" t="s">
        <v>606</v>
      </c>
    </row>
    <row r="687" spans="1:5" x14ac:dyDescent="0.3">
      <c r="A687">
        <v>686</v>
      </c>
      <c r="B687">
        <v>229</v>
      </c>
      <c r="C687" t="s">
        <v>621</v>
      </c>
      <c r="D687">
        <v>4.05</v>
      </c>
      <c r="E687" t="s">
        <v>622</v>
      </c>
    </row>
    <row r="688" spans="1:5" x14ac:dyDescent="0.3">
      <c r="A688">
        <v>687</v>
      </c>
      <c r="B688">
        <v>229</v>
      </c>
      <c r="C688" t="s">
        <v>615</v>
      </c>
      <c r="D688">
        <v>409.25</v>
      </c>
      <c r="E688" t="s">
        <v>616</v>
      </c>
    </row>
    <row r="689" spans="1:5" x14ac:dyDescent="0.3">
      <c r="A689">
        <v>688</v>
      </c>
      <c r="B689">
        <v>230</v>
      </c>
      <c r="C689" t="s">
        <v>619</v>
      </c>
      <c r="D689">
        <v>1.5</v>
      </c>
      <c r="E689" t="s">
        <v>620</v>
      </c>
    </row>
    <row r="690" spans="1:5" x14ac:dyDescent="0.3">
      <c r="A690">
        <v>689</v>
      </c>
      <c r="B690">
        <v>230</v>
      </c>
      <c r="C690" t="s">
        <v>611</v>
      </c>
      <c r="D690">
        <v>8.4</v>
      </c>
      <c r="E690" t="s">
        <v>612</v>
      </c>
    </row>
    <row r="691" spans="1:5" x14ac:dyDescent="0.3">
      <c r="A691">
        <v>690</v>
      </c>
      <c r="B691">
        <v>230</v>
      </c>
      <c r="C691" t="s">
        <v>621</v>
      </c>
      <c r="D691">
        <v>7.37</v>
      </c>
      <c r="E691" t="s">
        <v>622</v>
      </c>
    </row>
    <row r="692" spans="1:5" x14ac:dyDescent="0.3">
      <c r="A692">
        <v>691</v>
      </c>
      <c r="B692">
        <v>231</v>
      </c>
      <c r="C692" t="s">
        <v>615</v>
      </c>
      <c r="D692">
        <v>333.17</v>
      </c>
      <c r="E692" t="s">
        <v>616</v>
      </c>
    </row>
    <row r="693" spans="1:5" x14ac:dyDescent="0.3">
      <c r="A693">
        <v>692</v>
      </c>
      <c r="B693">
        <v>231</v>
      </c>
      <c r="C693" t="s">
        <v>603</v>
      </c>
      <c r="D693">
        <v>240.45</v>
      </c>
      <c r="E693" t="s">
        <v>604</v>
      </c>
    </row>
    <row r="694" spans="1:5" x14ac:dyDescent="0.3">
      <c r="A694">
        <v>693</v>
      </c>
      <c r="B694">
        <v>231</v>
      </c>
      <c r="C694" t="s">
        <v>605</v>
      </c>
      <c r="D694">
        <v>311.94</v>
      </c>
      <c r="E694" t="s">
        <v>606</v>
      </c>
    </row>
    <row r="695" spans="1:5" x14ac:dyDescent="0.3">
      <c r="A695">
        <v>694</v>
      </c>
      <c r="B695">
        <v>232</v>
      </c>
      <c r="C695" t="s">
        <v>617</v>
      </c>
      <c r="D695">
        <v>9.36</v>
      </c>
      <c r="E695" t="s">
        <v>618</v>
      </c>
    </row>
    <row r="696" spans="1:5" x14ac:dyDescent="0.3">
      <c r="A696">
        <v>695</v>
      </c>
      <c r="B696">
        <v>232</v>
      </c>
      <c r="C696" t="s">
        <v>611</v>
      </c>
      <c r="D696">
        <v>12.2</v>
      </c>
      <c r="E696" t="s">
        <v>612</v>
      </c>
    </row>
    <row r="697" spans="1:5" x14ac:dyDescent="0.3">
      <c r="A697">
        <v>696</v>
      </c>
      <c r="B697">
        <v>232</v>
      </c>
      <c r="C697" t="s">
        <v>607</v>
      </c>
      <c r="D697">
        <v>143</v>
      </c>
      <c r="E697" t="s">
        <v>608</v>
      </c>
    </row>
    <row r="698" spans="1:5" x14ac:dyDescent="0.3">
      <c r="A698">
        <v>697</v>
      </c>
      <c r="B698">
        <v>233</v>
      </c>
      <c r="C698" t="s">
        <v>605</v>
      </c>
      <c r="D698">
        <v>220.37</v>
      </c>
      <c r="E698" t="s">
        <v>606</v>
      </c>
    </row>
    <row r="699" spans="1:5" x14ac:dyDescent="0.3">
      <c r="A699">
        <v>698</v>
      </c>
      <c r="B699">
        <v>233</v>
      </c>
      <c r="C699" t="s">
        <v>615</v>
      </c>
      <c r="D699">
        <v>423.25</v>
      </c>
      <c r="E699" t="s">
        <v>616</v>
      </c>
    </row>
    <row r="700" spans="1:5" x14ac:dyDescent="0.3">
      <c r="A700">
        <v>699</v>
      </c>
      <c r="B700">
        <v>233</v>
      </c>
      <c r="C700" t="s">
        <v>607</v>
      </c>
      <c r="D700">
        <v>146.55000000000001</v>
      </c>
      <c r="E700" t="s">
        <v>608</v>
      </c>
    </row>
    <row r="701" spans="1:5" x14ac:dyDescent="0.3">
      <c r="A701">
        <v>700</v>
      </c>
      <c r="B701">
        <v>234</v>
      </c>
      <c r="C701" t="s">
        <v>607</v>
      </c>
      <c r="D701">
        <v>149.07</v>
      </c>
      <c r="E701" t="s">
        <v>608</v>
      </c>
    </row>
    <row r="702" spans="1:5" x14ac:dyDescent="0.3">
      <c r="A702">
        <v>701</v>
      </c>
      <c r="B702">
        <v>234</v>
      </c>
      <c r="C702" t="s">
        <v>605</v>
      </c>
      <c r="D702">
        <v>278.54000000000002</v>
      </c>
      <c r="E702" t="s">
        <v>606</v>
      </c>
    </row>
    <row r="703" spans="1:5" x14ac:dyDescent="0.3">
      <c r="A703">
        <v>702</v>
      </c>
      <c r="B703">
        <v>234</v>
      </c>
      <c r="C703" t="s">
        <v>611</v>
      </c>
      <c r="D703">
        <v>8.32</v>
      </c>
      <c r="E703" t="s">
        <v>612</v>
      </c>
    </row>
    <row r="704" spans="1:5" x14ac:dyDescent="0.3">
      <c r="A704">
        <v>703</v>
      </c>
      <c r="B704">
        <v>235</v>
      </c>
      <c r="C704" t="s">
        <v>615</v>
      </c>
      <c r="D704">
        <v>368.58</v>
      </c>
      <c r="E704" t="s">
        <v>616</v>
      </c>
    </row>
    <row r="705" spans="1:5" x14ac:dyDescent="0.3">
      <c r="A705">
        <v>704</v>
      </c>
      <c r="B705">
        <v>235</v>
      </c>
      <c r="C705" t="s">
        <v>609</v>
      </c>
      <c r="D705">
        <v>4.8099999999999996</v>
      </c>
      <c r="E705" t="s">
        <v>610</v>
      </c>
    </row>
    <row r="706" spans="1:5" x14ac:dyDescent="0.3">
      <c r="A706">
        <v>705</v>
      </c>
      <c r="B706">
        <v>235</v>
      </c>
      <c r="C706" t="s">
        <v>603</v>
      </c>
      <c r="D706">
        <v>190.49</v>
      </c>
      <c r="E706" t="s">
        <v>604</v>
      </c>
    </row>
    <row r="707" spans="1:5" x14ac:dyDescent="0.3">
      <c r="A707">
        <v>706</v>
      </c>
      <c r="B707">
        <v>236</v>
      </c>
      <c r="C707" t="s">
        <v>615</v>
      </c>
      <c r="D707">
        <v>252.01</v>
      </c>
      <c r="E707" t="s">
        <v>616</v>
      </c>
    </row>
    <row r="708" spans="1:5" x14ac:dyDescent="0.3">
      <c r="A708">
        <v>707</v>
      </c>
      <c r="B708">
        <v>236</v>
      </c>
      <c r="C708" t="s">
        <v>607</v>
      </c>
      <c r="D708">
        <v>134.37</v>
      </c>
      <c r="E708" t="s">
        <v>608</v>
      </c>
    </row>
    <row r="709" spans="1:5" x14ac:dyDescent="0.3">
      <c r="A709">
        <v>708</v>
      </c>
      <c r="B709">
        <v>236</v>
      </c>
      <c r="C709" t="s">
        <v>603</v>
      </c>
      <c r="D709">
        <v>154.9</v>
      </c>
      <c r="E709" t="s">
        <v>604</v>
      </c>
    </row>
    <row r="710" spans="1:5" x14ac:dyDescent="0.3">
      <c r="A710">
        <v>709</v>
      </c>
      <c r="B710">
        <v>237</v>
      </c>
      <c r="C710" t="s">
        <v>607</v>
      </c>
      <c r="D710">
        <v>144.04</v>
      </c>
      <c r="E710" t="s">
        <v>608</v>
      </c>
    </row>
    <row r="711" spans="1:5" x14ac:dyDescent="0.3">
      <c r="A711">
        <v>710</v>
      </c>
      <c r="B711">
        <v>237</v>
      </c>
      <c r="C711" t="s">
        <v>619</v>
      </c>
      <c r="D711">
        <v>1.1499999999999999</v>
      </c>
      <c r="E711" t="s">
        <v>620</v>
      </c>
    </row>
    <row r="712" spans="1:5" x14ac:dyDescent="0.3">
      <c r="A712">
        <v>711</v>
      </c>
      <c r="B712">
        <v>237</v>
      </c>
      <c r="C712" t="s">
        <v>605</v>
      </c>
      <c r="D712">
        <v>176.23</v>
      </c>
      <c r="E712" t="s">
        <v>606</v>
      </c>
    </row>
    <row r="713" spans="1:5" x14ac:dyDescent="0.3">
      <c r="A713">
        <v>712</v>
      </c>
      <c r="B713">
        <v>238</v>
      </c>
      <c r="C713" t="s">
        <v>611</v>
      </c>
      <c r="D713">
        <v>14</v>
      </c>
      <c r="E713" t="s">
        <v>612</v>
      </c>
    </row>
    <row r="714" spans="1:5" x14ac:dyDescent="0.3">
      <c r="A714">
        <v>713</v>
      </c>
      <c r="B714">
        <v>238</v>
      </c>
      <c r="C714" t="s">
        <v>617</v>
      </c>
      <c r="D714">
        <v>8.58</v>
      </c>
      <c r="E714" t="s">
        <v>618</v>
      </c>
    </row>
    <row r="715" spans="1:5" x14ac:dyDescent="0.3">
      <c r="A715">
        <v>714</v>
      </c>
      <c r="B715">
        <v>238</v>
      </c>
      <c r="C715" t="s">
        <v>619</v>
      </c>
      <c r="D715">
        <v>2.16</v>
      </c>
      <c r="E715" t="s">
        <v>620</v>
      </c>
    </row>
    <row r="716" spans="1:5" x14ac:dyDescent="0.3">
      <c r="A716">
        <v>715</v>
      </c>
      <c r="B716">
        <v>239</v>
      </c>
      <c r="C716" t="s">
        <v>611</v>
      </c>
      <c r="D716">
        <v>8.98</v>
      </c>
      <c r="E716" t="s">
        <v>612</v>
      </c>
    </row>
    <row r="717" spans="1:5" x14ac:dyDescent="0.3">
      <c r="A717">
        <v>716</v>
      </c>
      <c r="B717">
        <v>239</v>
      </c>
      <c r="C717" t="s">
        <v>609</v>
      </c>
      <c r="D717">
        <v>17.11</v>
      </c>
      <c r="E717" t="s">
        <v>610</v>
      </c>
    </row>
    <row r="718" spans="1:5" x14ac:dyDescent="0.3">
      <c r="A718">
        <v>717</v>
      </c>
      <c r="B718">
        <v>239</v>
      </c>
      <c r="C718" t="s">
        <v>605</v>
      </c>
      <c r="D718">
        <v>245.78</v>
      </c>
      <c r="E718" t="s">
        <v>606</v>
      </c>
    </row>
    <row r="719" spans="1:5" x14ac:dyDescent="0.3">
      <c r="A719">
        <v>718</v>
      </c>
      <c r="B719">
        <v>240</v>
      </c>
      <c r="C719" t="s">
        <v>605</v>
      </c>
      <c r="D719">
        <v>146.46</v>
      </c>
      <c r="E719" t="s">
        <v>606</v>
      </c>
    </row>
    <row r="720" spans="1:5" x14ac:dyDescent="0.3">
      <c r="A720">
        <v>719</v>
      </c>
      <c r="B720">
        <v>240</v>
      </c>
      <c r="C720" t="s">
        <v>619</v>
      </c>
      <c r="D720">
        <v>0.63</v>
      </c>
      <c r="E720" t="s">
        <v>620</v>
      </c>
    </row>
    <row r="721" spans="1:5" x14ac:dyDescent="0.3">
      <c r="A721">
        <v>720</v>
      </c>
      <c r="B721">
        <v>240</v>
      </c>
      <c r="C721" t="s">
        <v>611</v>
      </c>
      <c r="D721">
        <v>17.399999999999999</v>
      </c>
      <c r="E721" t="s">
        <v>612</v>
      </c>
    </row>
    <row r="722" spans="1:5" x14ac:dyDescent="0.3">
      <c r="A722">
        <v>721</v>
      </c>
      <c r="B722">
        <v>241</v>
      </c>
      <c r="C722" t="s">
        <v>605</v>
      </c>
      <c r="D722">
        <v>243.29</v>
      </c>
      <c r="E722" t="s">
        <v>606</v>
      </c>
    </row>
    <row r="723" spans="1:5" x14ac:dyDescent="0.3">
      <c r="A723">
        <v>722</v>
      </c>
      <c r="B723">
        <v>241</v>
      </c>
      <c r="C723" t="s">
        <v>607</v>
      </c>
      <c r="D723">
        <v>130</v>
      </c>
      <c r="E723" t="s">
        <v>608</v>
      </c>
    </row>
    <row r="724" spans="1:5" x14ac:dyDescent="0.3">
      <c r="A724">
        <v>723</v>
      </c>
      <c r="B724">
        <v>241</v>
      </c>
      <c r="C724" t="s">
        <v>603</v>
      </c>
      <c r="D724">
        <v>74.430000000000007</v>
      </c>
      <c r="E724" t="s">
        <v>604</v>
      </c>
    </row>
    <row r="725" spans="1:5" x14ac:dyDescent="0.3">
      <c r="A725">
        <v>724</v>
      </c>
      <c r="B725">
        <v>242</v>
      </c>
      <c r="C725" t="s">
        <v>607</v>
      </c>
      <c r="D725">
        <v>143.4</v>
      </c>
      <c r="E725" t="s">
        <v>608</v>
      </c>
    </row>
    <row r="726" spans="1:5" x14ac:dyDescent="0.3">
      <c r="A726">
        <v>725</v>
      </c>
      <c r="B726">
        <v>242</v>
      </c>
      <c r="C726" t="s">
        <v>609</v>
      </c>
      <c r="D726">
        <v>19.600000000000001</v>
      </c>
      <c r="E726" t="s">
        <v>610</v>
      </c>
    </row>
    <row r="727" spans="1:5" x14ac:dyDescent="0.3">
      <c r="A727">
        <v>726</v>
      </c>
      <c r="B727">
        <v>242</v>
      </c>
      <c r="C727" t="s">
        <v>617</v>
      </c>
      <c r="D727">
        <v>5.88</v>
      </c>
      <c r="E727" t="s">
        <v>618</v>
      </c>
    </row>
    <row r="728" spans="1:5" x14ac:dyDescent="0.3">
      <c r="A728">
        <v>727</v>
      </c>
      <c r="B728">
        <v>243</v>
      </c>
      <c r="C728" t="s">
        <v>607</v>
      </c>
      <c r="D728">
        <v>139.22</v>
      </c>
      <c r="E728" t="s">
        <v>608</v>
      </c>
    </row>
    <row r="729" spans="1:5" x14ac:dyDescent="0.3">
      <c r="A729">
        <v>728</v>
      </c>
      <c r="B729">
        <v>243</v>
      </c>
      <c r="C729" t="s">
        <v>613</v>
      </c>
      <c r="D729">
        <v>4.99</v>
      </c>
      <c r="E729" t="s">
        <v>614</v>
      </c>
    </row>
    <row r="730" spans="1:5" x14ac:dyDescent="0.3">
      <c r="A730">
        <v>729</v>
      </c>
      <c r="B730">
        <v>243</v>
      </c>
      <c r="C730" t="s">
        <v>603</v>
      </c>
      <c r="D730">
        <v>121.29</v>
      </c>
      <c r="E730" t="s">
        <v>604</v>
      </c>
    </row>
    <row r="731" spans="1:5" x14ac:dyDescent="0.3">
      <c r="A731">
        <v>730</v>
      </c>
      <c r="B731">
        <v>244</v>
      </c>
      <c r="C731" t="s">
        <v>617</v>
      </c>
      <c r="D731">
        <v>15.26</v>
      </c>
      <c r="E731" t="s">
        <v>618</v>
      </c>
    </row>
    <row r="732" spans="1:5" x14ac:dyDescent="0.3">
      <c r="A732">
        <v>731</v>
      </c>
      <c r="B732">
        <v>244</v>
      </c>
      <c r="C732" t="s">
        <v>615</v>
      </c>
      <c r="D732">
        <v>349.05</v>
      </c>
      <c r="E732" t="s">
        <v>616</v>
      </c>
    </row>
    <row r="733" spans="1:5" x14ac:dyDescent="0.3">
      <c r="A733">
        <v>732</v>
      </c>
      <c r="B733">
        <v>244</v>
      </c>
      <c r="C733" t="s">
        <v>621</v>
      </c>
      <c r="D733">
        <v>5.98</v>
      </c>
      <c r="E733" t="s">
        <v>622</v>
      </c>
    </row>
    <row r="734" spans="1:5" x14ac:dyDescent="0.3">
      <c r="A734">
        <v>733</v>
      </c>
      <c r="B734">
        <v>245</v>
      </c>
      <c r="C734" t="s">
        <v>603</v>
      </c>
      <c r="D734">
        <v>65.099999999999994</v>
      </c>
      <c r="E734" t="s">
        <v>604</v>
      </c>
    </row>
    <row r="735" spans="1:5" x14ac:dyDescent="0.3">
      <c r="A735">
        <v>734</v>
      </c>
      <c r="B735">
        <v>245</v>
      </c>
      <c r="C735" t="s">
        <v>605</v>
      </c>
      <c r="D735">
        <v>252.09</v>
      </c>
      <c r="E735" t="s">
        <v>606</v>
      </c>
    </row>
    <row r="736" spans="1:5" x14ac:dyDescent="0.3">
      <c r="A736">
        <v>735</v>
      </c>
      <c r="B736">
        <v>245</v>
      </c>
      <c r="C736" t="s">
        <v>621</v>
      </c>
      <c r="D736">
        <v>6.57</v>
      </c>
      <c r="E736" t="s">
        <v>622</v>
      </c>
    </row>
    <row r="737" spans="1:5" x14ac:dyDescent="0.3">
      <c r="A737">
        <v>736</v>
      </c>
      <c r="B737">
        <v>246</v>
      </c>
      <c r="C737" t="s">
        <v>617</v>
      </c>
      <c r="D737">
        <v>14.81</v>
      </c>
      <c r="E737" t="s">
        <v>618</v>
      </c>
    </row>
    <row r="738" spans="1:5" x14ac:dyDescent="0.3">
      <c r="A738">
        <v>737</v>
      </c>
      <c r="B738">
        <v>246</v>
      </c>
      <c r="C738" t="s">
        <v>613</v>
      </c>
      <c r="D738">
        <v>3.14</v>
      </c>
      <c r="E738" t="s">
        <v>614</v>
      </c>
    </row>
    <row r="739" spans="1:5" x14ac:dyDescent="0.3">
      <c r="A739">
        <v>738</v>
      </c>
      <c r="B739">
        <v>246</v>
      </c>
      <c r="C739" t="s">
        <v>621</v>
      </c>
      <c r="D739">
        <v>5.48</v>
      </c>
      <c r="E739" t="s">
        <v>622</v>
      </c>
    </row>
    <row r="740" spans="1:5" x14ac:dyDescent="0.3">
      <c r="A740">
        <v>739</v>
      </c>
      <c r="B740">
        <v>247</v>
      </c>
      <c r="C740" t="s">
        <v>613</v>
      </c>
      <c r="D740">
        <v>3.83</v>
      </c>
      <c r="E740" t="s">
        <v>614</v>
      </c>
    </row>
    <row r="741" spans="1:5" x14ac:dyDescent="0.3">
      <c r="A741">
        <v>740</v>
      </c>
      <c r="B741">
        <v>247</v>
      </c>
      <c r="C741" t="s">
        <v>615</v>
      </c>
      <c r="D741">
        <v>133.91</v>
      </c>
      <c r="E741" t="s">
        <v>616</v>
      </c>
    </row>
    <row r="742" spans="1:5" x14ac:dyDescent="0.3">
      <c r="A742">
        <v>741</v>
      </c>
      <c r="B742">
        <v>247</v>
      </c>
      <c r="C742" t="s">
        <v>609</v>
      </c>
      <c r="D742">
        <v>0.37</v>
      </c>
      <c r="E742" t="s">
        <v>610</v>
      </c>
    </row>
    <row r="743" spans="1:5" x14ac:dyDescent="0.3">
      <c r="A743">
        <v>742</v>
      </c>
      <c r="B743">
        <v>248</v>
      </c>
      <c r="C743" t="s">
        <v>609</v>
      </c>
      <c r="D743">
        <v>7.28</v>
      </c>
      <c r="E743" t="s">
        <v>610</v>
      </c>
    </row>
    <row r="744" spans="1:5" x14ac:dyDescent="0.3">
      <c r="A744">
        <v>743</v>
      </c>
      <c r="B744">
        <v>248</v>
      </c>
      <c r="C744" t="s">
        <v>605</v>
      </c>
      <c r="D744">
        <v>282.01</v>
      </c>
      <c r="E744" t="s">
        <v>606</v>
      </c>
    </row>
    <row r="745" spans="1:5" x14ac:dyDescent="0.3">
      <c r="A745">
        <v>744</v>
      </c>
      <c r="B745">
        <v>248</v>
      </c>
      <c r="C745" t="s">
        <v>615</v>
      </c>
      <c r="D745">
        <v>360.03</v>
      </c>
      <c r="E745" t="s">
        <v>616</v>
      </c>
    </row>
    <row r="746" spans="1:5" x14ac:dyDescent="0.3">
      <c r="A746">
        <v>745</v>
      </c>
      <c r="B746">
        <v>249</v>
      </c>
      <c r="C746" t="s">
        <v>621</v>
      </c>
      <c r="D746">
        <v>5.91</v>
      </c>
      <c r="E746" t="s">
        <v>622</v>
      </c>
    </row>
    <row r="747" spans="1:5" x14ac:dyDescent="0.3">
      <c r="A747">
        <v>746</v>
      </c>
      <c r="B747">
        <v>249</v>
      </c>
      <c r="C747" t="s">
        <v>609</v>
      </c>
      <c r="D747">
        <v>5.59</v>
      </c>
      <c r="E747" t="s">
        <v>610</v>
      </c>
    </row>
    <row r="748" spans="1:5" x14ac:dyDescent="0.3">
      <c r="A748">
        <v>747</v>
      </c>
      <c r="B748">
        <v>249</v>
      </c>
      <c r="C748" t="s">
        <v>615</v>
      </c>
      <c r="D748">
        <v>304.51</v>
      </c>
      <c r="E748" t="s">
        <v>616</v>
      </c>
    </row>
    <row r="749" spans="1:5" x14ac:dyDescent="0.3">
      <c r="A749">
        <v>748</v>
      </c>
      <c r="B749">
        <v>250</v>
      </c>
      <c r="C749" t="s">
        <v>611</v>
      </c>
      <c r="D749">
        <v>13.61</v>
      </c>
      <c r="E749" t="s">
        <v>612</v>
      </c>
    </row>
    <row r="750" spans="1:5" x14ac:dyDescent="0.3">
      <c r="A750">
        <v>749</v>
      </c>
      <c r="B750">
        <v>250</v>
      </c>
      <c r="C750" t="s">
        <v>621</v>
      </c>
      <c r="D750">
        <v>8.81</v>
      </c>
      <c r="E750" t="s">
        <v>622</v>
      </c>
    </row>
    <row r="751" spans="1:5" x14ac:dyDescent="0.3">
      <c r="A751">
        <v>750</v>
      </c>
      <c r="B751">
        <v>250</v>
      </c>
      <c r="C751" t="s">
        <v>605</v>
      </c>
      <c r="D751">
        <v>128.21</v>
      </c>
      <c r="E751" t="s">
        <v>606</v>
      </c>
    </row>
    <row r="752" spans="1:5" x14ac:dyDescent="0.3">
      <c r="A752">
        <v>751</v>
      </c>
      <c r="B752">
        <v>251</v>
      </c>
      <c r="C752" t="s">
        <v>619</v>
      </c>
      <c r="D752">
        <v>3.74</v>
      </c>
      <c r="E752" t="s">
        <v>620</v>
      </c>
    </row>
    <row r="753" spans="1:5" x14ac:dyDescent="0.3">
      <c r="A753">
        <v>752</v>
      </c>
      <c r="B753">
        <v>251</v>
      </c>
      <c r="C753" t="s">
        <v>621</v>
      </c>
      <c r="D753">
        <v>4.5999999999999996</v>
      </c>
      <c r="E753" t="s">
        <v>622</v>
      </c>
    </row>
    <row r="754" spans="1:5" x14ac:dyDescent="0.3">
      <c r="A754">
        <v>753</v>
      </c>
      <c r="B754">
        <v>251</v>
      </c>
      <c r="C754" t="s">
        <v>613</v>
      </c>
      <c r="D754">
        <v>4.66</v>
      </c>
      <c r="E754" t="s">
        <v>614</v>
      </c>
    </row>
    <row r="755" spans="1:5" x14ac:dyDescent="0.3">
      <c r="A755">
        <v>754</v>
      </c>
      <c r="B755">
        <v>252</v>
      </c>
      <c r="C755" t="s">
        <v>615</v>
      </c>
      <c r="D755">
        <v>446.38</v>
      </c>
      <c r="E755" t="s">
        <v>616</v>
      </c>
    </row>
    <row r="756" spans="1:5" x14ac:dyDescent="0.3">
      <c r="A756">
        <v>755</v>
      </c>
      <c r="B756">
        <v>252</v>
      </c>
      <c r="C756" t="s">
        <v>617</v>
      </c>
      <c r="D756">
        <v>5.63</v>
      </c>
      <c r="E756" t="s">
        <v>618</v>
      </c>
    </row>
    <row r="757" spans="1:5" x14ac:dyDescent="0.3">
      <c r="A757">
        <v>756</v>
      </c>
      <c r="B757">
        <v>252</v>
      </c>
      <c r="C757" t="s">
        <v>613</v>
      </c>
      <c r="D757">
        <v>5.25</v>
      </c>
      <c r="E757" t="s">
        <v>614</v>
      </c>
    </row>
    <row r="758" spans="1:5" x14ac:dyDescent="0.3">
      <c r="A758">
        <v>757</v>
      </c>
      <c r="B758">
        <v>253</v>
      </c>
      <c r="C758" t="s">
        <v>603</v>
      </c>
      <c r="D758">
        <v>142.37</v>
      </c>
      <c r="E758" t="s">
        <v>604</v>
      </c>
    </row>
    <row r="759" spans="1:5" x14ac:dyDescent="0.3">
      <c r="A759">
        <v>758</v>
      </c>
      <c r="B759">
        <v>253</v>
      </c>
      <c r="C759" t="s">
        <v>605</v>
      </c>
      <c r="D759">
        <v>262.32</v>
      </c>
      <c r="E759" t="s">
        <v>606</v>
      </c>
    </row>
    <row r="760" spans="1:5" x14ac:dyDescent="0.3">
      <c r="A760">
        <v>759</v>
      </c>
      <c r="B760">
        <v>253</v>
      </c>
      <c r="C760" t="s">
        <v>619</v>
      </c>
      <c r="D760">
        <v>3.62</v>
      </c>
      <c r="E760" t="s">
        <v>620</v>
      </c>
    </row>
    <row r="761" spans="1:5" x14ac:dyDescent="0.3">
      <c r="A761">
        <v>760</v>
      </c>
      <c r="B761">
        <v>254</v>
      </c>
      <c r="C761" t="s">
        <v>609</v>
      </c>
      <c r="D761">
        <v>9.02</v>
      </c>
      <c r="E761" t="s">
        <v>610</v>
      </c>
    </row>
    <row r="762" spans="1:5" x14ac:dyDescent="0.3">
      <c r="A762">
        <v>761</v>
      </c>
      <c r="B762">
        <v>254</v>
      </c>
      <c r="C762" t="s">
        <v>615</v>
      </c>
      <c r="D762">
        <v>351.06</v>
      </c>
      <c r="E762" t="s">
        <v>616</v>
      </c>
    </row>
    <row r="763" spans="1:5" x14ac:dyDescent="0.3">
      <c r="A763">
        <v>762</v>
      </c>
      <c r="B763">
        <v>254</v>
      </c>
      <c r="C763" t="s">
        <v>621</v>
      </c>
      <c r="D763">
        <v>11.29</v>
      </c>
      <c r="E763" t="s">
        <v>622</v>
      </c>
    </row>
    <row r="764" spans="1:5" x14ac:dyDescent="0.3">
      <c r="A764">
        <v>763</v>
      </c>
      <c r="B764">
        <v>255</v>
      </c>
      <c r="C764" t="s">
        <v>611</v>
      </c>
      <c r="D764">
        <v>12.5</v>
      </c>
      <c r="E764" t="s">
        <v>612</v>
      </c>
    </row>
    <row r="765" spans="1:5" x14ac:dyDescent="0.3">
      <c r="A765">
        <v>764</v>
      </c>
      <c r="B765">
        <v>255</v>
      </c>
      <c r="C765" t="s">
        <v>613</v>
      </c>
      <c r="D765">
        <v>6.04</v>
      </c>
      <c r="E765" t="s">
        <v>614</v>
      </c>
    </row>
    <row r="766" spans="1:5" x14ac:dyDescent="0.3">
      <c r="A766">
        <v>765</v>
      </c>
      <c r="B766">
        <v>255</v>
      </c>
      <c r="C766" t="s">
        <v>607</v>
      </c>
      <c r="D766">
        <v>145.4</v>
      </c>
      <c r="E766" t="s">
        <v>608</v>
      </c>
    </row>
    <row r="767" spans="1:5" x14ac:dyDescent="0.3">
      <c r="A767">
        <v>766</v>
      </c>
      <c r="B767">
        <v>256</v>
      </c>
      <c r="C767" t="s">
        <v>605</v>
      </c>
      <c r="D767">
        <v>177.93</v>
      </c>
      <c r="E767" t="s">
        <v>606</v>
      </c>
    </row>
    <row r="768" spans="1:5" x14ac:dyDescent="0.3">
      <c r="A768">
        <v>767</v>
      </c>
      <c r="B768">
        <v>256</v>
      </c>
      <c r="C768" t="s">
        <v>617</v>
      </c>
      <c r="D768">
        <v>15.43</v>
      </c>
      <c r="E768" t="s">
        <v>618</v>
      </c>
    </row>
    <row r="769" spans="1:5" x14ac:dyDescent="0.3">
      <c r="A769">
        <v>768</v>
      </c>
      <c r="B769">
        <v>256</v>
      </c>
      <c r="C769" t="s">
        <v>621</v>
      </c>
      <c r="D769">
        <v>4.49</v>
      </c>
      <c r="E769" t="s">
        <v>622</v>
      </c>
    </row>
    <row r="770" spans="1:5" x14ac:dyDescent="0.3">
      <c r="A770">
        <v>769</v>
      </c>
      <c r="B770">
        <v>257</v>
      </c>
      <c r="C770" t="s">
        <v>619</v>
      </c>
      <c r="D770">
        <v>2.9</v>
      </c>
      <c r="E770" t="s">
        <v>620</v>
      </c>
    </row>
    <row r="771" spans="1:5" x14ac:dyDescent="0.3">
      <c r="A771">
        <v>770</v>
      </c>
      <c r="B771">
        <v>257</v>
      </c>
      <c r="C771" t="s">
        <v>607</v>
      </c>
      <c r="D771">
        <v>147.15</v>
      </c>
      <c r="E771" t="s">
        <v>608</v>
      </c>
    </row>
    <row r="772" spans="1:5" x14ac:dyDescent="0.3">
      <c r="A772">
        <v>771</v>
      </c>
      <c r="B772">
        <v>257</v>
      </c>
      <c r="C772" t="s">
        <v>613</v>
      </c>
      <c r="D772">
        <v>6.1</v>
      </c>
      <c r="E772" t="s">
        <v>614</v>
      </c>
    </row>
    <row r="773" spans="1:5" x14ac:dyDescent="0.3">
      <c r="A773">
        <v>772</v>
      </c>
      <c r="B773">
        <v>258</v>
      </c>
      <c r="C773" t="s">
        <v>605</v>
      </c>
      <c r="D773">
        <v>232.5</v>
      </c>
      <c r="E773" t="s">
        <v>606</v>
      </c>
    </row>
    <row r="774" spans="1:5" x14ac:dyDescent="0.3">
      <c r="A774">
        <v>773</v>
      </c>
      <c r="B774">
        <v>258</v>
      </c>
      <c r="C774" t="s">
        <v>613</v>
      </c>
      <c r="D774">
        <v>4.13</v>
      </c>
      <c r="E774" t="s">
        <v>614</v>
      </c>
    </row>
    <row r="775" spans="1:5" x14ac:dyDescent="0.3">
      <c r="A775">
        <v>774</v>
      </c>
      <c r="B775">
        <v>258</v>
      </c>
      <c r="C775" t="s">
        <v>607</v>
      </c>
      <c r="D775">
        <v>141.36000000000001</v>
      </c>
      <c r="E775" t="s">
        <v>608</v>
      </c>
    </row>
    <row r="776" spans="1:5" x14ac:dyDescent="0.3">
      <c r="A776">
        <v>775</v>
      </c>
      <c r="B776">
        <v>259</v>
      </c>
      <c r="C776" t="s">
        <v>619</v>
      </c>
      <c r="D776">
        <v>1.06</v>
      </c>
      <c r="E776" t="s">
        <v>620</v>
      </c>
    </row>
    <row r="777" spans="1:5" x14ac:dyDescent="0.3">
      <c r="A777">
        <v>776</v>
      </c>
      <c r="B777">
        <v>259</v>
      </c>
      <c r="C777" t="s">
        <v>605</v>
      </c>
      <c r="D777">
        <v>163.56</v>
      </c>
      <c r="E777" t="s">
        <v>606</v>
      </c>
    </row>
    <row r="778" spans="1:5" x14ac:dyDescent="0.3">
      <c r="A778">
        <v>777</v>
      </c>
      <c r="B778">
        <v>259</v>
      </c>
      <c r="C778" t="s">
        <v>603</v>
      </c>
      <c r="D778">
        <v>193.89</v>
      </c>
      <c r="E778" t="s">
        <v>604</v>
      </c>
    </row>
    <row r="779" spans="1:5" x14ac:dyDescent="0.3">
      <c r="A779">
        <v>778</v>
      </c>
      <c r="B779">
        <v>260</v>
      </c>
      <c r="C779" t="s">
        <v>609</v>
      </c>
      <c r="D779">
        <v>6.14</v>
      </c>
      <c r="E779" t="s">
        <v>610</v>
      </c>
    </row>
    <row r="780" spans="1:5" x14ac:dyDescent="0.3">
      <c r="A780">
        <v>779</v>
      </c>
      <c r="B780">
        <v>260</v>
      </c>
      <c r="C780" t="s">
        <v>613</v>
      </c>
      <c r="D780">
        <v>3.55</v>
      </c>
      <c r="E780" t="s">
        <v>614</v>
      </c>
    </row>
    <row r="781" spans="1:5" x14ac:dyDescent="0.3">
      <c r="A781">
        <v>780</v>
      </c>
      <c r="B781">
        <v>260</v>
      </c>
      <c r="C781" t="s">
        <v>617</v>
      </c>
      <c r="D781">
        <v>12.21</v>
      </c>
      <c r="E781" t="s">
        <v>618</v>
      </c>
    </row>
    <row r="782" spans="1:5" x14ac:dyDescent="0.3">
      <c r="A782">
        <v>781</v>
      </c>
      <c r="B782">
        <v>261</v>
      </c>
      <c r="C782" t="s">
        <v>609</v>
      </c>
      <c r="D782">
        <v>4.5599999999999996</v>
      </c>
      <c r="E782" t="s">
        <v>610</v>
      </c>
    </row>
    <row r="783" spans="1:5" x14ac:dyDescent="0.3">
      <c r="A783">
        <v>782</v>
      </c>
      <c r="B783">
        <v>261</v>
      </c>
      <c r="C783" t="s">
        <v>611</v>
      </c>
      <c r="D783">
        <v>12.6</v>
      </c>
      <c r="E783" t="s">
        <v>612</v>
      </c>
    </row>
    <row r="784" spans="1:5" x14ac:dyDescent="0.3">
      <c r="A784">
        <v>783</v>
      </c>
      <c r="B784">
        <v>261</v>
      </c>
      <c r="C784" t="s">
        <v>605</v>
      </c>
      <c r="D784">
        <v>178.37</v>
      </c>
      <c r="E784" t="s">
        <v>606</v>
      </c>
    </row>
    <row r="785" spans="1:5" x14ac:dyDescent="0.3">
      <c r="A785">
        <v>784</v>
      </c>
      <c r="B785">
        <v>262</v>
      </c>
      <c r="C785" t="s">
        <v>605</v>
      </c>
      <c r="D785">
        <v>174.09</v>
      </c>
      <c r="E785" t="s">
        <v>606</v>
      </c>
    </row>
    <row r="786" spans="1:5" x14ac:dyDescent="0.3">
      <c r="A786">
        <v>785</v>
      </c>
      <c r="B786">
        <v>262</v>
      </c>
      <c r="C786" t="s">
        <v>617</v>
      </c>
      <c r="D786">
        <v>13.28</v>
      </c>
      <c r="E786" t="s">
        <v>618</v>
      </c>
    </row>
    <row r="787" spans="1:5" x14ac:dyDescent="0.3">
      <c r="A787">
        <v>786</v>
      </c>
      <c r="B787">
        <v>262</v>
      </c>
      <c r="C787" t="s">
        <v>621</v>
      </c>
      <c r="D787">
        <v>9.14</v>
      </c>
      <c r="E787" t="s">
        <v>622</v>
      </c>
    </row>
    <row r="788" spans="1:5" x14ac:dyDescent="0.3">
      <c r="A788">
        <v>787</v>
      </c>
      <c r="B788">
        <v>263</v>
      </c>
      <c r="C788" t="s">
        <v>619</v>
      </c>
      <c r="D788">
        <v>0.5</v>
      </c>
      <c r="E788" t="s">
        <v>620</v>
      </c>
    </row>
    <row r="789" spans="1:5" x14ac:dyDescent="0.3">
      <c r="A789">
        <v>788</v>
      </c>
      <c r="B789">
        <v>263</v>
      </c>
      <c r="C789" t="s">
        <v>621</v>
      </c>
      <c r="D789">
        <v>6.78</v>
      </c>
      <c r="E789" t="s">
        <v>622</v>
      </c>
    </row>
    <row r="790" spans="1:5" x14ac:dyDescent="0.3">
      <c r="A790">
        <v>789</v>
      </c>
      <c r="B790">
        <v>263</v>
      </c>
      <c r="C790" t="s">
        <v>611</v>
      </c>
      <c r="D790">
        <v>13.35</v>
      </c>
      <c r="E790" t="s">
        <v>612</v>
      </c>
    </row>
    <row r="791" spans="1:5" x14ac:dyDescent="0.3">
      <c r="A791">
        <v>790</v>
      </c>
      <c r="B791">
        <v>264</v>
      </c>
      <c r="C791" t="s">
        <v>615</v>
      </c>
      <c r="D791">
        <v>431.25</v>
      </c>
      <c r="E791" t="s">
        <v>616</v>
      </c>
    </row>
    <row r="792" spans="1:5" x14ac:dyDescent="0.3">
      <c r="A792">
        <v>791</v>
      </c>
      <c r="B792">
        <v>264</v>
      </c>
      <c r="C792" t="s">
        <v>621</v>
      </c>
      <c r="D792">
        <v>11.07</v>
      </c>
      <c r="E792" t="s">
        <v>622</v>
      </c>
    </row>
    <row r="793" spans="1:5" x14ac:dyDescent="0.3">
      <c r="A793">
        <v>792</v>
      </c>
      <c r="B793">
        <v>264</v>
      </c>
      <c r="C793" t="s">
        <v>611</v>
      </c>
      <c r="D793">
        <v>9.77</v>
      </c>
      <c r="E793" t="s">
        <v>612</v>
      </c>
    </row>
    <row r="794" spans="1:5" x14ac:dyDescent="0.3">
      <c r="A794">
        <v>793</v>
      </c>
      <c r="B794">
        <v>265</v>
      </c>
      <c r="C794" t="s">
        <v>605</v>
      </c>
      <c r="D794">
        <v>184.93</v>
      </c>
      <c r="E794" t="s">
        <v>606</v>
      </c>
    </row>
    <row r="795" spans="1:5" x14ac:dyDescent="0.3">
      <c r="A795">
        <v>794</v>
      </c>
      <c r="B795">
        <v>265</v>
      </c>
      <c r="C795" t="s">
        <v>607</v>
      </c>
      <c r="D795">
        <v>129.26</v>
      </c>
      <c r="E795" t="s">
        <v>608</v>
      </c>
    </row>
    <row r="796" spans="1:5" x14ac:dyDescent="0.3">
      <c r="A796">
        <v>795</v>
      </c>
      <c r="B796">
        <v>265</v>
      </c>
      <c r="C796" t="s">
        <v>617</v>
      </c>
      <c r="D796">
        <v>13.61</v>
      </c>
      <c r="E796" t="s">
        <v>618</v>
      </c>
    </row>
    <row r="797" spans="1:5" x14ac:dyDescent="0.3">
      <c r="A797">
        <v>796</v>
      </c>
      <c r="B797">
        <v>266</v>
      </c>
      <c r="C797" t="s">
        <v>615</v>
      </c>
      <c r="D797">
        <v>161.86000000000001</v>
      </c>
      <c r="E797" t="s">
        <v>616</v>
      </c>
    </row>
    <row r="798" spans="1:5" x14ac:dyDescent="0.3">
      <c r="A798">
        <v>797</v>
      </c>
      <c r="B798">
        <v>266</v>
      </c>
      <c r="C798" t="s">
        <v>619</v>
      </c>
      <c r="D798">
        <v>3.9</v>
      </c>
      <c r="E798" t="s">
        <v>620</v>
      </c>
    </row>
    <row r="799" spans="1:5" x14ac:dyDescent="0.3">
      <c r="A799">
        <v>798</v>
      </c>
      <c r="B799">
        <v>266</v>
      </c>
      <c r="C799" t="s">
        <v>617</v>
      </c>
      <c r="D799">
        <v>9.99</v>
      </c>
      <c r="E799" t="s">
        <v>618</v>
      </c>
    </row>
    <row r="800" spans="1:5" x14ac:dyDescent="0.3">
      <c r="A800">
        <v>799</v>
      </c>
      <c r="B800">
        <v>267</v>
      </c>
      <c r="C800" t="s">
        <v>621</v>
      </c>
      <c r="D800">
        <v>11.57</v>
      </c>
      <c r="E800" t="s">
        <v>622</v>
      </c>
    </row>
    <row r="801" spans="1:5" x14ac:dyDescent="0.3">
      <c r="A801">
        <v>800</v>
      </c>
      <c r="B801">
        <v>267</v>
      </c>
      <c r="C801" t="s">
        <v>611</v>
      </c>
      <c r="D801">
        <v>9.6999999999999993</v>
      </c>
      <c r="E801" t="s">
        <v>612</v>
      </c>
    </row>
    <row r="802" spans="1:5" x14ac:dyDescent="0.3">
      <c r="A802">
        <v>801</v>
      </c>
      <c r="B802">
        <v>267</v>
      </c>
      <c r="C802" t="s">
        <v>607</v>
      </c>
      <c r="D802">
        <v>141.78</v>
      </c>
      <c r="E802" t="s">
        <v>608</v>
      </c>
    </row>
    <row r="803" spans="1:5" x14ac:dyDescent="0.3">
      <c r="A803">
        <v>802</v>
      </c>
      <c r="B803">
        <v>268</v>
      </c>
      <c r="C803" t="s">
        <v>621</v>
      </c>
      <c r="D803">
        <v>10.53</v>
      </c>
      <c r="E803" t="s">
        <v>622</v>
      </c>
    </row>
    <row r="804" spans="1:5" x14ac:dyDescent="0.3">
      <c r="A804">
        <v>803</v>
      </c>
      <c r="B804">
        <v>268</v>
      </c>
      <c r="C804" t="s">
        <v>609</v>
      </c>
      <c r="D804">
        <v>4.49</v>
      </c>
      <c r="E804" t="s">
        <v>610</v>
      </c>
    </row>
    <row r="805" spans="1:5" x14ac:dyDescent="0.3">
      <c r="A805">
        <v>804</v>
      </c>
      <c r="B805">
        <v>268</v>
      </c>
      <c r="C805" t="s">
        <v>619</v>
      </c>
      <c r="D805">
        <v>1.44</v>
      </c>
      <c r="E805" t="s">
        <v>620</v>
      </c>
    </row>
    <row r="806" spans="1:5" x14ac:dyDescent="0.3">
      <c r="A806">
        <v>805</v>
      </c>
      <c r="B806">
        <v>269</v>
      </c>
      <c r="C806" t="s">
        <v>621</v>
      </c>
      <c r="D806">
        <v>7.57</v>
      </c>
      <c r="E806" t="s">
        <v>622</v>
      </c>
    </row>
    <row r="807" spans="1:5" x14ac:dyDescent="0.3">
      <c r="A807">
        <v>806</v>
      </c>
      <c r="B807">
        <v>269</v>
      </c>
      <c r="C807" t="s">
        <v>607</v>
      </c>
      <c r="D807">
        <v>144.06</v>
      </c>
      <c r="E807" t="s">
        <v>608</v>
      </c>
    </row>
    <row r="808" spans="1:5" x14ac:dyDescent="0.3">
      <c r="A808">
        <v>807</v>
      </c>
      <c r="B808">
        <v>269</v>
      </c>
      <c r="C808" t="s">
        <v>605</v>
      </c>
      <c r="D808">
        <v>206.78</v>
      </c>
      <c r="E808" t="s">
        <v>606</v>
      </c>
    </row>
    <row r="809" spans="1:5" x14ac:dyDescent="0.3">
      <c r="A809">
        <v>808</v>
      </c>
      <c r="B809">
        <v>270</v>
      </c>
      <c r="C809" t="s">
        <v>605</v>
      </c>
      <c r="D809">
        <v>219.19</v>
      </c>
      <c r="E809" t="s">
        <v>606</v>
      </c>
    </row>
    <row r="810" spans="1:5" x14ac:dyDescent="0.3">
      <c r="A810">
        <v>809</v>
      </c>
      <c r="B810">
        <v>270</v>
      </c>
      <c r="C810" t="s">
        <v>613</v>
      </c>
      <c r="D810">
        <v>4.3600000000000003</v>
      </c>
      <c r="E810" t="s">
        <v>614</v>
      </c>
    </row>
    <row r="811" spans="1:5" x14ac:dyDescent="0.3">
      <c r="A811">
        <v>810</v>
      </c>
      <c r="B811">
        <v>270</v>
      </c>
      <c r="C811" t="s">
        <v>611</v>
      </c>
      <c r="D811">
        <v>15.56</v>
      </c>
      <c r="E811" t="s">
        <v>612</v>
      </c>
    </row>
    <row r="812" spans="1:5" x14ac:dyDescent="0.3">
      <c r="A812">
        <v>811</v>
      </c>
      <c r="B812">
        <v>271</v>
      </c>
      <c r="C812" t="s">
        <v>605</v>
      </c>
      <c r="D812">
        <v>308.67</v>
      </c>
      <c r="E812" t="s">
        <v>606</v>
      </c>
    </row>
    <row r="813" spans="1:5" x14ac:dyDescent="0.3">
      <c r="A813">
        <v>812</v>
      </c>
      <c r="B813">
        <v>271</v>
      </c>
      <c r="C813" t="s">
        <v>619</v>
      </c>
      <c r="D813">
        <v>1.1299999999999999</v>
      </c>
      <c r="E813" t="s">
        <v>620</v>
      </c>
    </row>
    <row r="814" spans="1:5" x14ac:dyDescent="0.3">
      <c r="A814">
        <v>813</v>
      </c>
      <c r="B814">
        <v>271</v>
      </c>
      <c r="C814" t="s">
        <v>613</v>
      </c>
      <c r="D814">
        <v>3.76</v>
      </c>
      <c r="E814" t="s">
        <v>614</v>
      </c>
    </row>
    <row r="815" spans="1:5" x14ac:dyDescent="0.3">
      <c r="A815">
        <v>814</v>
      </c>
      <c r="B815">
        <v>272</v>
      </c>
      <c r="C815" t="s">
        <v>617</v>
      </c>
      <c r="D815">
        <v>13.63</v>
      </c>
      <c r="E815" t="s">
        <v>618</v>
      </c>
    </row>
    <row r="816" spans="1:5" x14ac:dyDescent="0.3">
      <c r="A816">
        <v>815</v>
      </c>
      <c r="B816">
        <v>272</v>
      </c>
      <c r="C816" t="s">
        <v>605</v>
      </c>
      <c r="D816">
        <v>257.47000000000003</v>
      </c>
      <c r="E816" t="s">
        <v>606</v>
      </c>
    </row>
    <row r="817" spans="1:5" x14ac:dyDescent="0.3">
      <c r="A817">
        <v>816</v>
      </c>
      <c r="B817">
        <v>272</v>
      </c>
      <c r="C817" t="s">
        <v>609</v>
      </c>
      <c r="D817">
        <v>3.84</v>
      </c>
      <c r="E817" t="s">
        <v>610</v>
      </c>
    </row>
    <row r="818" spans="1:5" x14ac:dyDescent="0.3">
      <c r="A818">
        <v>817</v>
      </c>
      <c r="B818">
        <v>273</v>
      </c>
      <c r="C818" t="s">
        <v>605</v>
      </c>
      <c r="D818">
        <v>169.05</v>
      </c>
      <c r="E818" t="s">
        <v>606</v>
      </c>
    </row>
    <row r="819" spans="1:5" x14ac:dyDescent="0.3">
      <c r="A819">
        <v>818</v>
      </c>
      <c r="B819">
        <v>273</v>
      </c>
      <c r="C819" t="s">
        <v>611</v>
      </c>
      <c r="D819">
        <v>16.55</v>
      </c>
      <c r="E819" t="s">
        <v>612</v>
      </c>
    </row>
    <row r="820" spans="1:5" x14ac:dyDescent="0.3">
      <c r="A820">
        <v>819</v>
      </c>
      <c r="B820">
        <v>273</v>
      </c>
      <c r="C820" t="s">
        <v>607</v>
      </c>
      <c r="D820">
        <v>149.35</v>
      </c>
      <c r="E820" t="s">
        <v>608</v>
      </c>
    </row>
    <row r="821" spans="1:5" x14ac:dyDescent="0.3">
      <c r="A821">
        <v>820</v>
      </c>
      <c r="B821">
        <v>274</v>
      </c>
      <c r="C821" t="s">
        <v>611</v>
      </c>
      <c r="D821">
        <v>14.63</v>
      </c>
      <c r="E821" t="s">
        <v>612</v>
      </c>
    </row>
    <row r="822" spans="1:5" x14ac:dyDescent="0.3">
      <c r="A822">
        <v>821</v>
      </c>
      <c r="B822">
        <v>274</v>
      </c>
      <c r="C822" t="s">
        <v>609</v>
      </c>
      <c r="D822">
        <v>16.18</v>
      </c>
      <c r="E822" t="s">
        <v>610</v>
      </c>
    </row>
    <row r="823" spans="1:5" x14ac:dyDescent="0.3">
      <c r="A823">
        <v>822</v>
      </c>
      <c r="B823">
        <v>274</v>
      </c>
      <c r="C823" t="s">
        <v>605</v>
      </c>
      <c r="D823">
        <v>240.66</v>
      </c>
      <c r="E823" t="s">
        <v>606</v>
      </c>
    </row>
    <row r="824" spans="1:5" x14ac:dyDescent="0.3">
      <c r="A824">
        <v>823</v>
      </c>
      <c r="B824">
        <v>275</v>
      </c>
      <c r="C824" t="s">
        <v>607</v>
      </c>
      <c r="D824">
        <v>130.41999999999999</v>
      </c>
      <c r="E824" t="s">
        <v>608</v>
      </c>
    </row>
    <row r="825" spans="1:5" x14ac:dyDescent="0.3">
      <c r="A825">
        <v>824</v>
      </c>
      <c r="B825">
        <v>275</v>
      </c>
      <c r="C825" t="s">
        <v>621</v>
      </c>
      <c r="D825">
        <v>4.1100000000000003</v>
      </c>
      <c r="E825" t="s">
        <v>622</v>
      </c>
    </row>
    <row r="826" spans="1:5" x14ac:dyDescent="0.3">
      <c r="A826">
        <v>825</v>
      </c>
      <c r="B826">
        <v>275</v>
      </c>
      <c r="C826" t="s">
        <v>603</v>
      </c>
      <c r="D826">
        <v>218.65</v>
      </c>
      <c r="E826" t="s">
        <v>604</v>
      </c>
    </row>
    <row r="827" spans="1:5" x14ac:dyDescent="0.3">
      <c r="A827">
        <v>826</v>
      </c>
      <c r="B827">
        <v>276</v>
      </c>
      <c r="C827" t="s">
        <v>603</v>
      </c>
      <c r="D827">
        <v>207.47</v>
      </c>
      <c r="E827" t="s">
        <v>604</v>
      </c>
    </row>
    <row r="828" spans="1:5" x14ac:dyDescent="0.3">
      <c r="A828">
        <v>827</v>
      </c>
      <c r="B828">
        <v>276</v>
      </c>
      <c r="C828" t="s">
        <v>605</v>
      </c>
      <c r="D828">
        <v>173.53</v>
      </c>
      <c r="E828" t="s">
        <v>606</v>
      </c>
    </row>
    <row r="829" spans="1:5" x14ac:dyDescent="0.3">
      <c r="A829">
        <v>828</v>
      </c>
      <c r="B829">
        <v>276</v>
      </c>
      <c r="C829" t="s">
        <v>619</v>
      </c>
      <c r="D829">
        <v>3.79</v>
      </c>
      <c r="E829" t="s">
        <v>620</v>
      </c>
    </row>
    <row r="830" spans="1:5" x14ac:dyDescent="0.3">
      <c r="A830">
        <v>829</v>
      </c>
      <c r="B830">
        <v>277</v>
      </c>
      <c r="C830" t="s">
        <v>621</v>
      </c>
      <c r="D830">
        <v>11.66</v>
      </c>
      <c r="E830" t="s">
        <v>622</v>
      </c>
    </row>
    <row r="831" spans="1:5" x14ac:dyDescent="0.3">
      <c r="A831">
        <v>830</v>
      </c>
      <c r="B831">
        <v>277</v>
      </c>
      <c r="C831" t="s">
        <v>603</v>
      </c>
      <c r="D831">
        <v>84.67</v>
      </c>
      <c r="E831" t="s">
        <v>604</v>
      </c>
    </row>
    <row r="832" spans="1:5" x14ac:dyDescent="0.3">
      <c r="A832">
        <v>831</v>
      </c>
      <c r="B832">
        <v>277</v>
      </c>
      <c r="C832" t="s">
        <v>609</v>
      </c>
      <c r="D832">
        <v>14.75</v>
      </c>
      <c r="E832" t="s">
        <v>610</v>
      </c>
    </row>
    <row r="833" spans="1:5" x14ac:dyDescent="0.3">
      <c r="A833">
        <v>832</v>
      </c>
      <c r="B833">
        <v>278</v>
      </c>
      <c r="C833" t="s">
        <v>615</v>
      </c>
      <c r="D833">
        <v>148.72999999999999</v>
      </c>
      <c r="E833" t="s">
        <v>616</v>
      </c>
    </row>
    <row r="834" spans="1:5" x14ac:dyDescent="0.3">
      <c r="A834">
        <v>833</v>
      </c>
      <c r="B834">
        <v>278</v>
      </c>
      <c r="C834" t="s">
        <v>611</v>
      </c>
      <c r="D834">
        <v>14.98</v>
      </c>
      <c r="E834" t="s">
        <v>612</v>
      </c>
    </row>
    <row r="835" spans="1:5" x14ac:dyDescent="0.3">
      <c r="A835">
        <v>834</v>
      </c>
      <c r="B835">
        <v>278</v>
      </c>
      <c r="C835" t="s">
        <v>619</v>
      </c>
      <c r="D835">
        <v>3.62</v>
      </c>
      <c r="E835" t="s">
        <v>620</v>
      </c>
    </row>
    <row r="836" spans="1:5" x14ac:dyDescent="0.3">
      <c r="A836">
        <v>835</v>
      </c>
      <c r="B836">
        <v>279</v>
      </c>
      <c r="C836" t="s">
        <v>605</v>
      </c>
      <c r="D836">
        <v>215.78</v>
      </c>
      <c r="E836" t="s">
        <v>606</v>
      </c>
    </row>
    <row r="837" spans="1:5" x14ac:dyDescent="0.3">
      <c r="A837">
        <v>836</v>
      </c>
      <c r="B837">
        <v>279</v>
      </c>
      <c r="C837" t="s">
        <v>617</v>
      </c>
      <c r="D837">
        <v>6.17</v>
      </c>
      <c r="E837" t="s">
        <v>618</v>
      </c>
    </row>
    <row r="838" spans="1:5" x14ac:dyDescent="0.3">
      <c r="A838">
        <v>837</v>
      </c>
      <c r="B838">
        <v>279</v>
      </c>
      <c r="C838" t="s">
        <v>615</v>
      </c>
      <c r="D838">
        <v>290.23</v>
      </c>
      <c r="E838" t="s">
        <v>616</v>
      </c>
    </row>
    <row r="839" spans="1:5" x14ac:dyDescent="0.3">
      <c r="A839">
        <v>838</v>
      </c>
      <c r="B839">
        <v>280</v>
      </c>
      <c r="C839" t="s">
        <v>617</v>
      </c>
      <c r="D839">
        <v>3.28</v>
      </c>
      <c r="E839" t="s">
        <v>618</v>
      </c>
    </row>
    <row r="840" spans="1:5" x14ac:dyDescent="0.3">
      <c r="A840">
        <v>839</v>
      </c>
      <c r="B840">
        <v>280</v>
      </c>
      <c r="C840" t="s">
        <v>609</v>
      </c>
      <c r="D840">
        <v>0.99</v>
      </c>
      <c r="E840" t="s">
        <v>610</v>
      </c>
    </row>
    <row r="841" spans="1:5" x14ac:dyDescent="0.3">
      <c r="A841">
        <v>840</v>
      </c>
      <c r="B841">
        <v>280</v>
      </c>
      <c r="C841" t="s">
        <v>611</v>
      </c>
      <c r="D841">
        <v>12.72</v>
      </c>
      <c r="E841" t="s">
        <v>612</v>
      </c>
    </row>
    <row r="842" spans="1:5" x14ac:dyDescent="0.3">
      <c r="A842">
        <v>841</v>
      </c>
      <c r="B842">
        <v>281</v>
      </c>
      <c r="C842" t="s">
        <v>611</v>
      </c>
      <c r="D842">
        <v>8.49</v>
      </c>
      <c r="E842" t="s">
        <v>612</v>
      </c>
    </row>
    <row r="843" spans="1:5" x14ac:dyDescent="0.3">
      <c r="A843">
        <v>842</v>
      </c>
      <c r="B843">
        <v>281</v>
      </c>
      <c r="C843" t="s">
        <v>609</v>
      </c>
      <c r="D843">
        <v>18.25</v>
      </c>
      <c r="E843" t="s">
        <v>610</v>
      </c>
    </row>
    <row r="844" spans="1:5" x14ac:dyDescent="0.3">
      <c r="A844">
        <v>843</v>
      </c>
      <c r="B844">
        <v>281</v>
      </c>
      <c r="C844" t="s">
        <v>607</v>
      </c>
      <c r="D844">
        <v>128.53</v>
      </c>
      <c r="E844" t="s">
        <v>608</v>
      </c>
    </row>
    <row r="845" spans="1:5" x14ac:dyDescent="0.3">
      <c r="A845">
        <v>844</v>
      </c>
      <c r="B845">
        <v>282</v>
      </c>
      <c r="C845" t="s">
        <v>607</v>
      </c>
      <c r="D845">
        <v>135.77000000000001</v>
      </c>
      <c r="E845" t="s">
        <v>608</v>
      </c>
    </row>
    <row r="846" spans="1:5" x14ac:dyDescent="0.3">
      <c r="A846">
        <v>845</v>
      </c>
      <c r="B846">
        <v>282</v>
      </c>
      <c r="C846" t="s">
        <v>621</v>
      </c>
      <c r="D846">
        <v>6.29</v>
      </c>
      <c r="E846" t="s">
        <v>622</v>
      </c>
    </row>
    <row r="847" spans="1:5" x14ac:dyDescent="0.3">
      <c r="A847">
        <v>846</v>
      </c>
      <c r="B847">
        <v>282</v>
      </c>
      <c r="C847" t="s">
        <v>605</v>
      </c>
      <c r="D847">
        <v>304.33999999999997</v>
      </c>
      <c r="E847" t="s">
        <v>606</v>
      </c>
    </row>
    <row r="848" spans="1:5" x14ac:dyDescent="0.3">
      <c r="A848">
        <v>847</v>
      </c>
      <c r="B848">
        <v>283</v>
      </c>
      <c r="C848" t="s">
        <v>607</v>
      </c>
      <c r="D848">
        <v>131.72999999999999</v>
      </c>
      <c r="E848" t="s">
        <v>608</v>
      </c>
    </row>
    <row r="849" spans="1:5" x14ac:dyDescent="0.3">
      <c r="A849">
        <v>848</v>
      </c>
      <c r="B849">
        <v>283</v>
      </c>
      <c r="C849" t="s">
        <v>611</v>
      </c>
      <c r="D849">
        <v>8.16</v>
      </c>
      <c r="E849" t="s">
        <v>612</v>
      </c>
    </row>
    <row r="850" spans="1:5" x14ac:dyDescent="0.3">
      <c r="A850">
        <v>849</v>
      </c>
      <c r="B850">
        <v>283</v>
      </c>
      <c r="C850" t="s">
        <v>613</v>
      </c>
      <c r="D850">
        <v>3.15</v>
      </c>
      <c r="E850" t="s">
        <v>614</v>
      </c>
    </row>
    <row r="851" spans="1:5" x14ac:dyDescent="0.3">
      <c r="A851">
        <v>850</v>
      </c>
      <c r="B851">
        <v>284</v>
      </c>
      <c r="C851" t="s">
        <v>617</v>
      </c>
      <c r="D851">
        <v>11</v>
      </c>
      <c r="E851" t="s">
        <v>618</v>
      </c>
    </row>
    <row r="852" spans="1:5" x14ac:dyDescent="0.3">
      <c r="A852">
        <v>851</v>
      </c>
      <c r="B852">
        <v>284</v>
      </c>
      <c r="C852" t="s">
        <v>615</v>
      </c>
      <c r="D852">
        <v>141.41999999999999</v>
      </c>
      <c r="E852" t="s">
        <v>616</v>
      </c>
    </row>
    <row r="853" spans="1:5" x14ac:dyDescent="0.3">
      <c r="A853">
        <v>852</v>
      </c>
      <c r="B853">
        <v>284</v>
      </c>
      <c r="C853" t="s">
        <v>611</v>
      </c>
      <c r="D853">
        <v>16.690000000000001</v>
      </c>
      <c r="E853" t="s">
        <v>612</v>
      </c>
    </row>
    <row r="854" spans="1:5" x14ac:dyDescent="0.3">
      <c r="A854">
        <v>853</v>
      </c>
      <c r="B854">
        <v>285</v>
      </c>
      <c r="C854" t="s">
        <v>611</v>
      </c>
      <c r="D854">
        <v>8.8699999999999992</v>
      </c>
      <c r="E854" t="s">
        <v>612</v>
      </c>
    </row>
    <row r="855" spans="1:5" x14ac:dyDescent="0.3">
      <c r="A855">
        <v>854</v>
      </c>
      <c r="B855">
        <v>285</v>
      </c>
      <c r="C855" t="s">
        <v>603</v>
      </c>
      <c r="D855">
        <v>163.13999999999999</v>
      </c>
      <c r="E855" t="s">
        <v>604</v>
      </c>
    </row>
    <row r="856" spans="1:5" x14ac:dyDescent="0.3">
      <c r="A856">
        <v>855</v>
      </c>
      <c r="B856">
        <v>285</v>
      </c>
      <c r="C856" t="s">
        <v>605</v>
      </c>
      <c r="D856">
        <v>239.92</v>
      </c>
      <c r="E856" t="s">
        <v>606</v>
      </c>
    </row>
    <row r="857" spans="1:5" x14ac:dyDescent="0.3">
      <c r="A857">
        <v>856</v>
      </c>
      <c r="B857">
        <v>286</v>
      </c>
      <c r="C857" t="s">
        <v>607</v>
      </c>
      <c r="D857">
        <v>141.74</v>
      </c>
      <c r="E857" t="s">
        <v>608</v>
      </c>
    </row>
    <row r="858" spans="1:5" x14ac:dyDescent="0.3">
      <c r="A858">
        <v>857</v>
      </c>
      <c r="B858">
        <v>286</v>
      </c>
      <c r="C858" t="s">
        <v>605</v>
      </c>
      <c r="D858">
        <v>177.4</v>
      </c>
      <c r="E858" t="s">
        <v>606</v>
      </c>
    </row>
    <row r="859" spans="1:5" x14ac:dyDescent="0.3">
      <c r="A859">
        <v>858</v>
      </c>
      <c r="B859">
        <v>286</v>
      </c>
      <c r="C859" t="s">
        <v>617</v>
      </c>
      <c r="D859">
        <v>14.38</v>
      </c>
      <c r="E859" t="s">
        <v>618</v>
      </c>
    </row>
    <row r="860" spans="1:5" x14ac:dyDescent="0.3">
      <c r="A860">
        <v>859</v>
      </c>
      <c r="B860">
        <v>287</v>
      </c>
      <c r="C860" t="s">
        <v>617</v>
      </c>
      <c r="D860">
        <v>15.13</v>
      </c>
      <c r="E860" t="s">
        <v>618</v>
      </c>
    </row>
    <row r="861" spans="1:5" x14ac:dyDescent="0.3">
      <c r="A861">
        <v>860</v>
      </c>
      <c r="B861">
        <v>287</v>
      </c>
      <c r="C861" t="s">
        <v>613</v>
      </c>
      <c r="D861">
        <v>5.56</v>
      </c>
      <c r="E861" t="s">
        <v>614</v>
      </c>
    </row>
    <row r="862" spans="1:5" x14ac:dyDescent="0.3">
      <c r="A862">
        <v>861</v>
      </c>
      <c r="B862">
        <v>287</v>
      </c>
      <c r="C862" t="s">
        <v>615</v>
      </c>
      <c r="D862">
        <v>348.96</v>
      </c>
      <c r="E862" t="s">
        <v>616</v>
      </c>
    </row>
    <row r="863" spans="1:5" x14ac:dyDescent="0.3">
      <c r="A863">
        <v>862</v>
      </c>
      <c r="B863">
        <v>288</v>
      </c>
      <c r="C863" t="s">
        <v>611</v>
      </c>
      <c r="D863">
        <v>15.17</v>
      </c>
      <c r="E863" t="s">
        <v>612</v>
      </c>
    </row>
    <row r="864" spans="1:5" x14ac:dyDescent="0.3">
      <c r="A864">
        <v>863</v>
      </c>
      <c r="B864">
        <v>288</v>
      </c>
      <c r="C864" t="s">
        <v>603</v>
      </c>
      <c r="D864">
        <v>92.12</v>
      </c>
      <c r="E864" t="s">
        <v>604</v>
      </c>
    </row>
    <row r="865" spans="1:5" x14ac:dyDescent="0.3">
      <c r="A865">
        <v>864</v>
      </c>
      <c r="B865">
        <v>288</v>
      </c>
      <c r="C865" t="s">
        <v>605</v>
      </c>
      <c r="D865">
        <v>149.56</v>
      </c>
      <c r="E865" t="s">
        <v>606</v>
      </c>
    </row>
    <row r="866" spans="1:5" x14ac:dyDescent="0.3">
      <c r="A866">
        <v>865</v>
      </c>
      <c r="B866">
        <v>289</v>
      </c>
      <c r="C866" t="s">
        <v>613</v>
      </c>
      <c r="D866">
        <v>3.18</v>
      </c>
      <c r="E866" t="s">
        <v>614</v>
      </c>
    </row>
    <row r="867" spans="1:5" x14ac:dyDescent="0.3">
      <c r="A867">
        <v>866</v>
      </c>
      <c r="B867">
        <v>289</v>
      </c>
      <c r="C867" t="s">
        <v>621</v>
      </c>
      <c r="D867">
        <v>7.42</v>
      </c>
      <c r="E867" t="s">
        <v>622</v>
      </c>
    </row>
    <row r="868" spans="1:5" x14ac:dyDescent="0.3">
      <c r="A868">
        <v>867</v>
      </c>
      <c r="B868">
        <v>289</v>
      </c>
      <c r="C868" t="s">
        <v>611</v>
      </c>
      <c r="D868">
        <v>14.63</v>
      </c>
      <c r="E868" t="s">
        <v>612</v>
      </c>
    </row>
    <row r="869" spans="1:5" x14ac:dyDescent="0.3">
      <c r="A869">
        <v>868</v>
      </c>
      <c r="B869">
        <v>290</v>
      </c>
      <c r="C869" t="s">
        <v>605</v>
      </c>
      <c r="D869">
        <v>318.95</v>
      </c>
      <c r="E869" t="s">
        <v>606</v>
      </c>
    </row>
    <row r="870" spans="1:5" x14ac:dyDescent="0.3">
      <c r="A870">
        <v>869</v>
      </c>
      <c r="B870">
        <v>290</v>
      </c>
      <c r="C870" t="s">
        <v>611</v>
      </c>
      <c r="D870">
        <v>8.91</v>
      </c>
      <c r="E870" t="s">
        <v>612</v>
      </c>
    </row>
    <row r="871" spans="1:5" x14ac:dyDescent="0.3">
      <c r="A871">
        <v>870</v>
      </c>
      <c r="B871">
        <v>290</v>
      </c>
      <c r="C871" t="s">
        <v>615</v>
      </c>
      <c r="D871">
        <v>234.76</v>
      </c>
      <c r="E871" t="s">
        <v>616</v>
      </c>
    </row>
    <row r="872" spans="1:5" x14ac:dyDescent="0.3">
      <c r="A872">
        <v>871</v>
      </c>
      <c r="B872">
        <v>291</v>
      </c>
      <c r="C872" t="s">
        <v>615</v>
      </c>
      <c r="D872">
        <v>268.45</v>
      </c>
      <c r="E872" t="s">
        <v>616</v>
      </c>
    </row>
    <row r="873" spans="1:5" x14ac:dyDescent="0.3">
      <c r="A873">
        <v>872</v>
      </c>
      <c r="B873">
        <v>291</v>
      </c>
      <c r="C873" t="s">
        <v>613</v>
      </c>
      <c r="D873">
        <v>6.11</v>
      </c>
      <c r="E873" t="s">
        <v>614</v>
      </c>
    </row>
    <row r="874" spans="1:5" x14ac:dyDescent="0.3">
      <c r="A874">
        <v>873</v>
      </c>
      <c r="B874">
        <v>291</v>
      </c>
      <c r="C874" t="s">
        <v>607</v>
      </c>
      <c r="D874">
        <v>141.24</v>
      </c>
      <c r="E874" t="s">
        <v>608</v>
      </c>
    </row>
    <row r="875" spans="1:5" x14ac:dyDescent="0.3">
      <c r="A875">
        <v>874</v>
      </c>
      <c r="B875">
        <v>292</v>
      </c>
      <c r="C875" t="s">
        <v>615</v>
      </c>
      <c r="D875">
        <v>234.11</v>
      </c>
      <c r="E875" t="s">
        <v>616</v>
      </c>
    </row>
    <row r="876" spans="1:5" x14ac:dyDescent="0.3">
      <c r="A876">
        <v>875</v>
      </c>
      <c r="B876">
        <v>292</v>
      </c>
      <c r="C876" t="s">
        <v>605</v>
      </c>
      <c r="D876">
        <v>229.87</v>
      </c>
      <c r="E876" t="s">
        <v>606</v>
      </c>
    </row>
    <row r="877" spans="1:5" x14ac:dyDescent="0.3">
      <c r="A877">
        <v>876</v>
      </c>
      <c r="B877">
        <v>292</v>
      </c>
      <c r="C877" t="s">
        <v>619</v>
      </c>
      <c r="D877">
        <v>2.39</v>
      </c>
      <c r="E877" t="s">
        <v>620</v>
      </c>
    </row>
    <row r="878" spans="1:5" x14ac:dyDescent="0.3">
      <c r="A878">
        <v>877</v>
      </c>
      <c r="B878">
        <v>293</v>
      </c>
      <c r="C878" t="s">
        <v>613</v>
      </c>
      <c r="D878">
        <v>4.1100000000000003</v>
      </c>
      <c r="E878" t="s">
        <v>614</v>
      </c>
    </row>
    <row r="879" spans="1:5" x14ac:dyDescent="0.3">
      <c r="A879">
        <v>878</v>
      </c>
      <c r="B879">
        <v>293</v>
      </c>
      <c r="C879" t="s">
        <v>609</v>
      </c>
      <c r="D879">
        <v>11.66</v>
      </c>
      <c r="E879" t="s">
        <v>610</v>
      </c>
    </row>
    <row r="880" spans="1:5" x14ac:dyDescent="0.3">
      <c r="A880">
        <v>879</v>
      </c>
      <c r="B880">
        <v>293</v>
      </c>
      <c r="C880" t="s">
        <v>619</v>
      </c>
      <c r="D880">
        <v>1.98</v>
      </c>
      <c r="E880" t="s">
        <v>620</v>
      </c>
    </row>
    <row r="881" spans="1:5" x14ac:dyDescent="0.3">
      <c r="A881">
        <v>880</v>
      </c>
      <c r="B881">
        <v>294</v>
      </c>
      <c r="C881" t="s">
        <v>621</v>
      </c>
      <c r="D881">
        <v>5.88</v>
      </c>
      <c r="E881" t="s">
        <v>622</v>
      </c>
    </row>
    <row r="882" spans="1:5" x14ac:dyDescent="0.3">
      <c r="A882">
        <v>881</v>
      </c>
      <c r="B882">
        <v>294</v>
      </c>
      <c r="C882" t="s">
        <v>619</v>
      </c>
      <c r="D882">
        <v>0.51</v>
      </c>
      <c r="E882" t="s">
        <v>620</v>
      </c>
    </row>
    <row r="883" spans="1:5" x14ac:dyDescent="0.3">
      <c r="A883">
        <v>882</v>
      </c>
      <c r="B883">
        <v>294</v>
      </c>
      <c r="C883" t="s">
        <v>611</v>
      </c>
      <c r="D883">
        <v>17.440000000000001</v>
      </c>
      <c r="E883" t="s">
        <v>612</v>
      </c>
    </row>
    <row r="884" spans="1:5" x14ac:dyDescent="0.3">
      <c r="A884">
        <v>883</v>
      </c>
      <c r="B884">
        <v>295</v>
      </c>
      <c r="C884" t="s">
        <v>603</v>
      </c>
      <c r="D884">
        <v>242.16</v>
      </c>
      <c r="E884" t="s">
        <v>604</v>
      </c>
    </row>
    <row r="885" spans="1:5" x14ac:dyDescent="0.3">
      <c r="A885">
        <v>884</v>
      </c>
      <c r="B885">
        <v>295</v>
      </c>
      <c r="C885" t="s">
        <v>615</v>
      </c>
      <c r="D885">
        <v>422.32</v>
      </c>
      <c r="E885" t="s">
        <v>616</v>
      </c>
    </row>
    <row r="886" spans="1:5" x14ac:dyDescent="0.3">
      <c r="A886">
        <v>885</v>
      </c>
      <c r="B886">
        <v>295</v>
      </c>
      <c r="C886" t="s">
        <v>613</v>
      </c>
      <c r="D886">
        <v>3</v>
      </c>
      <c r="E886" t="s">
        <v>614</v>
      </c>
    </row>
    <row r="887" spans="1:5" x14ac:dyDescent="0.3">
      <c r="A887">
        <v>886</v>
      </c>
      <c r="B887">
        <v>296</v>
      </c>
      <c r="C887" t="s">
        <v>615</v>
      </c>
      <c r="D887">
        <v>203.14</v>
      </c>
      <c r="E887" t="s">
        <v>616</v>
      </c>
    </row>
    <row r="888" spans="1:5" x14ac:dyDescent="0.3">
      <c r="A888">
        <v>887</v>
      </c>
      <c r="B888">
        <v>296</v>
      </c>
      <c r="C888" t="s">
        <v>621</v>
      </c>
      <c r="D888">
        <v>5.15</v>
      </c>
      <c r="E888" t="s">
        <v>622</v>
      </c>
    </row>
    <row r="889" spans="1:5" x14ac:dyDescent="0.3">
      <c r="A889">
        <v>888</v>
      </c>
      <c r="B889">
        <v>296</v>
      </c>
      <c r="C889" t="s">
        <v>605</v>
      </c>
      <c r="D889">
        <v>290.66000000000003</v>
      </c>
      <c r="E889" t="s">
        <v>606</v>
      </c>
    </row>
    <row r="890" spans="1:5" x14ac:dyDescent="0.3">
      <c r="A890">
        <v>889</v>
      </c>
      <c r="B890">
        <v>297</v>
      </c>
      <c r="C890" t="s">
        <v>607</v>
      </c>
      <c r="D890">
        <v>146.21</v>
      </c>
      <c r="E890" t="s">
        <v>608</v>
      </c>
    </row>
    <row r="891" spans="1:5" x14ac:dyDescent="0.3">
      <c r="A891">
        <v>890</v>
      </c>
      <c r="B891">
        <v>297</v>
      </c>
      <c r="C891" t="s">
        <v>619</v>
      </c>
      <c r="D891">
        <v>0.7</v>
      </c>
      <c r="E891" t="s">
        <v>620</v>
      </c>
    </row>
    <row r="892" spans="1:5" x14ac:dyDescent="0.3">
      <c r="A892">
        <v>891</v>
      </c>
      <c r="B892">
        <v>297</v>
      </c>
      <c r="C892" t="s">
        <v>609</v>
      </c>
      <c r="D892">
        <v>2.84</v>
      </c>
      <c r="E892" t="s">
        <v>610</v>
      </c>
    </row>
    <row r="893" spans="1:5" x14ac:dyDescent="0.3">
      <c r="A893">
        <v>892</v>
      </c>
      <c r="B893">
        <v>298</v>
      </c>
      <c r="C893" t="s">
        <v>605</v>
      </c>
      <c r="D893">
        <v>259.22000000000003</v>
      </c>
      <c r="E893" t="s">
        <v>606</v>
      </c>
    </row>
    <row r="894" spans="1:5" x14ac:dyDescent="0.3">
      <c r="A894">
        <v>893</v>
      </c>
      <c r="B894">
        <v>298</v>
      </c>
      <c r="C894" t="s">
        <v>607</v>
      </c>
      <c r="D894">
        <v>137.34</v>
      </c>
      <c r="E894" t="s">
        <v>608</v>
      </c>
    </row>
    <row r="895" spans="1:5" x14ac:dyDescent="0.3">
      <c r="A895">
        <v>894</v>
      </c>
      <c r="B895">
        <v>298</v>
      </c>
      <c r="C895" t="s">
        <v>603</v>
      </c>
      <c r="D895">
        <v>75.010000000000005</v>
      </c>
      <c r="E895" t="s">
        <v>604</v>
      </c>
    </row>
    <row r="896" spans="1:5" x14ac:dyDescent="0.3">
      <c r="A896">
        <v>895</v>
      </c>
      <c r="B896">
        <v>299</v>
      </c>
      <c r="C896" t="s">
        <v>611</v>
      </c>
      <c r="D896">
        <v>15.79</v>
      </c>
      <c r="E896" t="s">
        <v>612</v>
      </c>
    </row>
    <row r="897" spans="1:5" x14ac:dyDescent="0.3">
      <c r="A897">
        <v>896</v>
      </c>
      <c r="B897">
        <v>299</v>
      </c>
      <c r="C897" t="s">
        <v>621</v>
      </c>
      <c r="D897">
        <v>10.96</v>
      </c>
      <c r="E897" t="s">
        <v>622</v>
      </c>
    </row>
    <row r="898" spans="1:5" x14ac:dyDescent="0.3">
      <c r="A898">
        <v>897</v>
      </c>
      <c r="B898">
        <v>299</v>
      </c>
      <c r="C898" t="s">
        <v>613</v>
      </c>
      <c r="D898">
        <v>2.9</v>
      </c>
      <c r="E898" t="s">
        <v>614</v>
      </c>
    </row>
    <row r="899" spans="1:5" x14ac:dyDescent="0.3">
      <c r="A899">
        <v>898</v>
      </c>
      <c r="B899">
        <v>300</v>
      </c>
      <c r="C899" t="s">
        <v>615</v>
      </c>
      <c r="D899">
        <v>185.77</v>
      </c>
      <c r="E899" t="s">
        <v>616</v>
      </c>
    </row>
    <row r="900" spans="1:5" x14ac:dyDescent="0.3">
      <c r="A900">
        <v>899</v>
      </c>
      <c r="B900">
        <v>300</v>
      </c>
      <c r="C900" t="s">
        <v>605</v>
      </c>
      <c r="D900">
        <v>122.5</v>
      </c>
      <c r="E900" t="s">
        <v>606</v>
      </c>
    </row>
    <row r="901" spans="1:5" x14ac:dyDescent="0.3">
      <c r="A901">
        <v>900</v>
      </c>
      <c r="B901">
        <v>300</v>
      </c>
      <c r="C901" t="s">
        <v>611</v>
      </c>
      <c r="D901">
        <v>15.73</v>
      </c>
      <c r="E901" t="s">
        <v>612</v>
      </c>
    </row>
    <row r="902" spans="1:5" x14ac:dyDescent="0.3">
      <c r="A902">
        <v>901</v>
      </c>
      <c r="B902">
        <v>301</v>
      </c>
      <c r="C902" t="s">
        <v>607</v>
      </c>
      <c r="D902">
        <v>138.33000000000001</v>
      </c>
      <c r="E902" t="s">
        <v>608</v>
      </c>
    </row>
    <row r="903" spans="1:5" x14ac:dyDescent="0.3">
      <c r="A903">
        <v>902</v>
      </c>
      <c r="B903">
        <v>301</v>
      </c>
      <c r="C903" t="s">
        <v>605</v>
      </c>
      <c r="D903">
        <v>148.02000000000001</v>
      </c>
      <c r="E903" t="s">
        <v>606</v>
      </c>
    </row>
    <row r="904" spans="1:5" x14ac:dyDescent="0.3">
      <c r="A904">
        <v>903</v>
      </c>
      <c r="B904">
        <v>301</v>
      </c>
      <c r="C904" t="s">
        <v>609</v>
      </c>
      <c r="D904">
        <v>10.6</v>
      </c>
      <c r="E904" t="s">
        <v>610</v>
      </c>
    </row>
    <row r="905" spans="1:5" x14ac:dyDescent="0.3">
      <c r="A905">
        <v>904</v>
      </c>
      <c r="B905">
        <v>302</v>
      </c>
      <c r="C905" t="s">
        <v>617</v>
      </c>
      <c r="D905">
        <v>12.39</v>
      </c>
      <c r="E905" t="s">
        <v>618</v>
      </c>
    </row>
    <row r="906" spans="1:5" x14ac:dyDescent="0.3">
      <c r="A906">
        <v>905</v>
      </c>
      <c r="B906">
        <v>302</v>
      </c>
      <c r="C906" t="s">
        <v>613</v>
      </c>
      <c r="D906">
        <v>4.3099999999999996</v>
      </c>
      <c r="E906" t="s">
        <v>614</v>
      </c>
    </row>
    <row r="907" spans="1:5" x14ac:dyDescent="0.3">
      <c r="A907">
        <v>906</v>
      </c>
      <c r="B907">
        <v>302</v>
      </c>
      <c r="C907" t="s">
        <v>607</v>
      </c>
      <c r="D907">
        <v>142.19</v>
      </c>
      <c r="E907" t="s">
        <v>608</v>
      </c>
    </row>
    <row r="908" spans="1:5" x14ac:dyDescent="0.3">
      <c r="A908">
        <v>907</v>
      </c>
      <c r="B908">
        <v>303</v>
      </c>
      <c r="C908" t="s">
        <v>603</v>
      </c>
      <c r="D908">
        <v>93.84</v>
      </c>
      <c r="E908" t="s">
        <v>604</v>
      </c>
    </row>
    <row r="909" spans="1:5" x14ac:dyDescent="0.3">
      <c r="A909">
        <v>908</v>
      </c>
      <c r="B909">
        <v>303</v>
      </c>
      <c r="C909" t="s">
        <v>617</v>
      </c>
      <c r="D909">
        <v>14.46</v>
      </c>
      <c r="E909" t="s">
        <v>618</v>
      </c>
    </row>
    <row r="910" spans="1:5" x14ac:dyDescent="0.3">
      <c r="A910">
        <v>909</v>
      </c>
      <c r="B910">
        <v>303</v>
      </c>
      <c r="C910" t="s">
        <v>611</v>
      </c>
      <c r="D910">
        <v>7.34</v>
      </c>
      <c r="E910" t="s">
        <v>612</v>
      </c>
    </row>
    <row r="911" spans="1:5" x14ac:dyDescent="0.3">
      <c r="A911">
        <v>910</v>
      </c>
      <c r="B911">
        <v>304</v>
      </c>
      <c r="C911" t="s">
        <v>605</v>
      </c>
      <c r="D911">
        <v>122.17</v>
      </c>
      <c r="E911" t="s">
        <v>606</v>
      </c>
    </row>
    <row r="912" spans="1:5" x14ac:dyDescent="0.3">
      <c r="A912">
        <v>911</v>
      </c>
      <c r="B912">
        <v>304</v>
      </c>
      <c r="C912" t="s">
        <v>609</v>
      </c>
      <c r="D912">
        <v>16.670000000000002</v>
      </c>
      <c r="E912" t="s">
        <v>610</v>
      </c>
    </row>
    <row r="913" spans="1:5" x14ac:dyDescent="0.3">
      <c r="A913">
        <v>912</v>
      </c>
      <c r="B913">
        <v>304</v>
      </c>
      <c r="C913" t="s">
        <v>621</v>
      </c>
      <c r="D913">
        <v>9.44</v>
      </c>
      <c r="E913" t="s">
        <v>622</v>
      </c>
    </row>
    <row r="914" spans="1:5" x14ac:dyDescent="0.3">
      <c r="A914">
        <v>913</v>
      </c>
      <c r="B914">
        <v>305</v>
      </c>
      <c r="C914" t="s">
        <v>613</v>
      </c>
      <c r="D914">
        <v>5.93</v>
      </c>
      <c r="E914" t="s">
        <v>614</v>
      </c>
    </row>
    <row r="915" spans="1:5" x14ac:dyDescent="0.3">
      <c r="A915">
        <v>914</v>
      </c>
      <c r="B915">
        <v>305</v>
      </c>
      <c r="C915" t="s">
        <v>609</v>
      </c>
      <c r="D915">
        <v>10.09</v>
      </c>
      <c r="E915" t="s">
        <v>610</v>
      </c>
    </row>
    <row r="916" spans="1:5" x14ac:dyDescent="0.3">
      <c r="A916">
        <v>915</v>
      </c>
      <c r="B916">
        <v>305</v>
      </c>
      <c r="C916" t="s">
        <v>617</v>
      </c>
      <c r="D916">
        <v>12.22</v>
      </c>
      <c r="E916" t="s">
        <v>618</v>
      </c>
    </row>
    <row r="917" spans="1:5" x14ac:dyDescent="0.3">
      <c r="A917">
        <v>916</v>
      </c>
      <c r="B917">
        <v>306</v>
      </c>
      <c r="C917" t="s">
        <v>607</v>
      </c>
      <c r="D917">
        <v>149.41</v>
      </c>
      <c r="E917" t="s">
        <v>608</v>
      </c>
    </row>
    <row r="918" spans="1:5" x14ac:dyDescent="0.3">
      <c r="A918">
        <v>917</v>
      </c>
      <c r="B918">
        <v>306</v>
      </c>
      <c r="C918" t="s">
        <v>605</v>
      </c>
      <c r="D918">
        <v>224.3</v>
      </c>
      <c r="E918" t="s">
        <v>606</v>
      </c>
    </row>
    <row r="919" spans="1:5" x14ac:dyDescent="0.3">
      <c r="A919">
        <v>918</v>
      </c>
      <c r="B919">
        <v>306</v>
      </c>
      <c r="C919" t="s">
        <v>617</v>
      </c>
      <c r="D919">
        <v>15.71</v>
      </c>
      <c r="E919" t="s">
        <v>618</v>
      </c>
    </row>
    <row r="920" spans="1:5" x14ac:dyDescent="0.3">
      <c r="A920">
        <v>919</v>
      </c>
      <c r="B920">
        <v>307</v>
      </c>
      <c r="C920" t="s">
        <v>605</v>
      </c>
      <c r="D920">
        <v>243.81</v>
      </c>
      <c r="E920" t="s">
        <v>606</v>
      </c>
    </row>
    <row r="921" spans="1:5" x14ac:dyDescent="0.3">
      <c r="A921">
        <v>920</v>
      </c>
      <c r="B921">
        <v>307</v>
      </c>
      <c r="C921" t="s">
        <v>619</v>
      </c>
      <c r="D921">
        <v>1.27</v>
      </c>
      <c r="E921" t="s">
        <v>620</v>
      </c>
    </row>
    <row r="922" spans="1:5" x14ac:dyDescent="0.3">
      <c r="A922">
        <v>921</v>
      </c>
      <c r="B922">
        <v>307</v>
      </c>
      <c r="C922" t="s">
        <v>607</v>
      </c>
      <c r="D922">
        <v>132.04</v>
      </c>
      <c r="E922" t="s">
        <v>608</v>
      </c>
    </row>
    <row r="923" spans="1:5" x14ac:dyDescent="0.3">
      <c r="A923">
        <v>922</v>
      </c>
      <c r="B923">
        <v>308</v>
      </c>
      <c r="C923" t="s">
        <v>609</v>
      </c>
      <c r="D923">
        <v>9.6</v>
      </c>
      <c r="E923" t="s">
        <v>610</v>
      </c>
    </row>
    <row r="924" spans="1:5" x14ac:dyDescent="0.3">
      <c r="A924">
        <v>923</v>
      </c>
      <c r="B924">
        <v>308</v>
      </c>
      <c r="C924" t="s">
        <v>611</v>
      </c>
      <c r="D924">
        <v>13.85</v>
      </c>
      <c r="E924" t="s">
        <v>612</v>
      </c>
    </row>
    <row r="925" spans="1:5" x14ac:dyDescent="0.3">
      <c r="A925">
        <v>924</v>
      </c>
      <c r="B925">
        <v>308</v>
      </c>
      <c r="C925" t="s">
        <v>613</v>
      </c>
      <c r="D925">
        <v>4.18</v>
      </c>
      <c r="E925" t="s">
        <v>614</v>
      </c>
    </row>
    <row r="926" spans="1:5" x14ac:dyDescent="0.3">
      <c r="A926">
        <v>925</v>
      </c>
      <c r="B926">
        <v>309</v>
      </c>
      <c r="C926" t="s">
        <v>607</v>
      </c>
      <c r="D926">
        <v>145.66999999999999</v>
      </c>
      <c r="E926" t="s">
        <v>608</v>
      </c>
    </row>
    <row r="927" spans="1:5" x14ac:dyDescent="0.3">
      <c r="A927">
        <v>926</v>
      </c>
      <c r="B927">
        <v>309</v>
      </c>
      <c r="C927" t="s">
        <v>605</v>
      </c>
      <c r="D927">
        <v>249.33</v>
      </c>
      <c r="E927" t="s">
        <v>606</v>
      </c>
    </row>
    <row r="928" spans="1:5" x14ac:dyDescent="0.3">
      <c r="A928">
        <v>927</v>
      </c>
      <c r="B928">
        <v>309</v>
      </c>
      <c r="C928" t="s">
        <v>603</v>
      </c>
      <c r="D928">
        <v>101.03</v>
      </c>
      <c r="E928" t="s">
        <v>604</v>
      </c>
    </row>
    <row r="929" spans="1:5" x14ac:dyDescent="0.3">
      <c r="A929">
        <v>928</v>
      </c>
      <c r="B929">
        <v>310</v>
      </c>
      <c r="C929" t="s">
        <v>611</v>
      </c>
      <c r="D929">
        <v>10.81</v>
      </c>
      <c r="E929" t="s">
        <v>612</v>
      </c>
    </row>
    <row r="930" spans="1:5" x14ac:dyDescent="0.3">
      <c r="A930">
        <v>929</v>
      </c>
      <c r="B930">
        <v>310</v>
      </c>
      <c r="C930" t="s">
        <v>621</v>
      </c>
      <c r="D930">
        <v>10.23</v>
      </c>
      <c r="E930" t="s">
        <v>622</v>
      </c>
    </row>
    <row r="931" spans="1:5" x14ac:dyDescent="0.3">
      <c r="A931">
        <v>930</v>
      </c>
      <c r="B931">
        <v>310</v>
      </c>
      <c r="C931" t="s">
        <v>609</v>
      </c>
      <c r="D931">
        <v>6.78</v>
      </c>
      <c r="E931" t="s">
        <v>610</v>
      </c>
    </row>
    <row r="932" spans="1:5" x14ac:dyDescent="0.3">
      <c r="A932">
        <v>931</v>
      </c>
      <c r="B932">
        <v>311</v>
      </c>
      <c r="C932" t="s">
        <v>619</v>
      </c>
      <c r="D932">
        <v>2.4</v>
      </c>
      <c r="E932" t="s">
        <v>620</v>
      </c>
    </row>
    <row r="933" spans="1:5" x14ac:dyDescent="0.3">
      <c r="A933">
        <v>932</v>
      </c>
      <c r="B933">
        <v>311</v>
      </c>
      <c r="C933" t="s">
        <v>617</v>
      </c>
      <c r="D933">
        <v>3.85</v>
      </c>
      <c r="E933" t="s">
        <v>618</v>
      </c>
    </row>
    <row r="934" spans="1:5" x14ac:dyDescent="0.3">
      <c r="A934">
        <v>933</v>
      </c>
      <c r="B934">
        <v>311</v>
      </c>
      <c r="C934" t="s">
        <v>605</v>
      </c>
      <c r="D934">
        <v>239.42</v>
      </c>
      <c r="E934" t="s">
        <v>606</v>
      </c>
    </row>
    <row r="935" spans="1:5" x14ac:dyDescent="0.3">
      <c r="A935">
        <v>934</v>
      </c>
      <c r="B935">
        <v>312</v>
      </c>
      <c r="C935" t="s">
        <v>617</v>
      </c>
      <c r="D935">
        <v>11.3</v>
      </c>
      <c r="E935" t="s">
        <v>618</v>
      </c>
    </row>
    <row r="936" spans="1:5" x14ac:dyDescent="0.3">
      <c r="A936">
        <v>935</v>
      </c>
      <c r="B936">
        <v>312</v>
      </c>
      <c r="C936" t="s">
        <v>619</v>
      </c>
      <c r="D936">
        <v>0.61</v>
      </c>
      <c r="E936" t="s">
        <v>620</v>
      </c>
    </row>
    <row r="937" spans="1:5" x14ac:dyDescent="0.3">
      <c r="A937">
        <v>936</v>
      </c>
      <c r="B937">
        <v>312</v>
      </c>
      <c r="C937" t="s">
        <v>609</v>
      </c>
      <c r="D937">
        <v>5.46</v>
      </c>
      <c r="E937" t="s">
        <v>610</v>
      </c>
    </row>
    <row r="938" spans="1:5" x14ac:dyDescent="0.3">
      <c r="A938">
        <v>937</v>
      </c>
      <c r="B938">
        <v>313</v>
      </c>
      <c r="C938" t="s">
        <v>621</v>
      </c>
      <c r="D938">
        <v>4.37</v>
      </c>
      <c r="E938" t="s">
        <v>622</v>
      </c>
    </row>
    <row r="939" spans="1:5" x14ac:dyDescent="0.3">
      <c r="A939">
        <v>938</v>
      </c>
      <c r="B939">
        <v>313</v>
      </c>
      <c r="C939" t="s">
        <v>603</v>
      </c>
      <c r="D939">
        <v>123.2</v>
      </c>
      <c r="E939" t="s">
        <v>604</v>
      </c>
    </row>
    <row r="940" spans="1:5" x14ac:dyDescent="0.3">
      <c r="A940">
        <v>939</v>
      </c>
      <c r="B940">
        <v>313</v>
      </c>
      <c r="C940" t="s">
        <v>613</v>
      </c>
      <c r="D940">
        <v>6.01</v>
      </c>
      <c r="E940" t="s">
        <v>614</v>
      </c>
    </row>
    <row r="941" spans="1:5" x14ac:dyDescent="0.3">
      <c r="A941">
        <v>940</v>
      </c>
      <c r="B941">
        <v>314</v>
      </c>
      <c r="C941" t="s">
        <v>603</v>
      </c>
      <c r="D941">
        <v>242.37</v>
      </c>
      <c r="E941" t="s">
        <v>604</v>
      </c>
    </row>
    <row r="942" spans="1:5" x14ac:dyDescent="0.3">
      <c r="A942">
        <v>941</v>
      </c>
      <c r="B942">
        <v>314</v>
      </c>
      <c r="C942" t="s">
        <v>615</v>
      </c>
      <c r="D942">
        <v>275.08</v>
      </c>
      <c r="E942" t="s">
        <v>616</v>
      </c>
    </row>
    <row r="943" spans="1:5" x14ac:dyDescent="0.3">
      <c r="A943">
        <v>942</v>
      </c>
      <c r="B943">
        <v>314</v>
      </c>
      <c r="C943" t="s">
        <v>617</v>
      </c>
      <c r="D943">
        <v>7.09</v>
      </c>
      <c r="E943" t="s">
        <v>618</v>
      </c>
    </row>
    <row r="944" spans="1:5" x14ac:dyDescent="0.3">
      <c r="A944">
        <v>943</v>
      </c>
      <c r="B944">
        <v>315</v>
      </c>
      <c r="C944" t="s">
        <v>607</v>
      </c>
      <c r="D944">
        <v>143.46</v>
      </c>
      <c r="E944" t="s">
        <v>608</v>
      </c>
    </row>
    <row r="945" spans="1:5" x14ac:dyDescent="0.3">
      <c r="A945">
        <v>944</v>
      </c>
      <c r="B945">
        <v>315</v>
      </c>
      <c r="C945" t="s">
        <v>615</v>
      </c>
      <c r="D945">
        <v>134.08000000000001</v>
      </c>
      <c r="E945" t="s">
        <v>616</v>
      </c>
    </row>
    <row r="946" spans="1:5" x14ac:dyDescent="0.3">
      <c r="A946">
        <v>945</v>
      </c>
      <c r="B946">
        <v>315</v>
      </c>
      <c r="C946" t="s">
        <v>605</v>
      </c>
      <c r="D946">
        <v>201.46</v>
      </c>
      <c r="E946" t="s">
        <v>606</v>
      </c>
    </row>
    <row r="947" spans="1:5" x14ac:dyDescent="0.3">
      <c r="A947">
        <v>946</v>
      </c>
      <c r="B947">
        <v>316</v>
      </c>
      <c r="C947" t="s">
        <v>609</v>
      </c>
      <c r="D947">
        <v>0.56999999999999995</v>
      </c>
      <c r="E947" t="s">
        <v>610</v>
      </c>
    </row>
    <row r="948" spans="1:5" x14ac:dyDescent="0.3">
      <c r="A948">
        <v>947</v>
      </c>
      <c r="B948">
        <v>316</v>
      </c>
      <c r="C948" t="s">
        <v>611</v>
      </c>
      <c r="D948">
        <v>15.36</v>
      </c>
      <c r="E948" t="s">
        <v>612</v>
      </c>
    </row>
    <row r="949" spans="1:5" x14ac:dyDescent="0.3">
      <c r="A949">
        <v>948</v>
      </c>
      <c r="B949">
        <v>316</v>
      </c>
      <c r="C949" t="s">
        <v>605</v>
      </c>
      <c r="D949">
        <v>215.39</v>
      </c>
      <c r="E949" t="s">
        <v>606</v>
      </c>
    </row>
    <row r="950" spans="1:5" x14ac:dyDescent="0.3">
      <c r="A950">
        <v>949</v>
      </c>
      <c r="B950">
        <v>317</v>
      </c>
      <c r="C950" t="s">
        <v>603</v>
      </c>
      <c r="D950">
        <v>93.03</v>
      </c>
      <c r="E950" t="s">
        <v>604</v>
      </c>
    </row>
    <row r="951" spans="1:5" x14ac:dyDescent="0.3">
      <c r="A951">
        <v>950</v>
      </c>
      <c r="B951">
        <v>317</v>
      </c>
      <c r="C951" t="s">
        <v>617</v>
      </c>
      <c r="D951">
        <v>9.02</v>
      </c>
      <c r="E951" t="s">
        <v>618</v>
      </c>
    </row>
    <row r="952" spans="1:5" x14ac:dyDescent="0.3">
      <c r="A952">
        <v>951</v>
      </c>
      <c r="B952">
        <v>317</v>
      </c>
      <c r="C952" t="s">
        <v>605</v>
      </c>
      <c r="D952">
        <v>297.04000000000002</v>
      </c>
      <c r="E952" t="s">
        <v>606</v>
      </c>
    </row>
    <row r="953" spans="1:5" x14ac:dyDescent="0.3">
      <c r="A953">
        <v>952</v>
      </c>
      <c r="B953">
        <v>318</v>
      </c>
      <c r="C953" t="s">
        <v>611</v>
      </c>
      <c r="D953">
        <v>15.48</v>
      </c>
      <c r="E953" t="s">
        <v>612</v>
      </c>
    </row>
    <row r="954" spans="1:5" x14ac:dyDescent="0.3">
      <c r="A954">
        <v>953</v>
      </c>
      <c r="B954">
        <v>318</v>
      </c>
      <c r="C954" t="s">
        <v>619</v>
      </c>
      <c r="D954">
        <v>2.79</v>
      </c>
      <c r="E954" t="s">
        <v>620</v>
      </c>
    </row>
    <row r="955" spans="1:5" x14ac:dyDescent="0.3">
      <c r="A955">
        <v>954</v>
      </c>
      <c r="B955">
        <v>318</v>
      </c>
      <c r="C955" t="s">
        <v>609</v>
      </c>
      <c r="D955">
        <v>15.4</v>
      </c>
      <c r="E955" t="s">
        <v>610</v>
      </c>
    </row>
    <row r="956" spans="1:5" x14ac:dyDescent="0.3">
      <c r="A956">
        <v>955</v>
      </c>
      <c r="B956">
        <v>319</v>
      </c>
      <c r="C956" t="s">
        <v>605</v>
      </c>
      <c r="D956">
        <v>209.5</v>
      </c>
      <c r="E956" t="s">
        <v>606</v>
      </c>
    </row>
    <row r="957" spans="1:5" x14ac:dyDescent="0.3">
      <c r="A957">
        <v>956</v>
      </c>
      <c r="B957">
        <v>319</v>
      </c>
      <c r="C957" t="s">
        <v>609</v>
      </c>
      <c r="D957">
        <v>2.71</v>
      </c>
      <c r="E957" t="s">
        <v>610</v>
      </c>
    </row>
    <row r="958" spans="1:5" x14ac:dyDescent="0.3">
      <c r="A958">
        <v>957</v>
      </c>
      <c r="B958">
        <v>319</v>
      </c>
      <c r="C958" t="s">
        <v>615</v>
      </c>
      <c r="D958">
        <v>201.79</v>
      </c>
      <c r="E958" t="s">
        <v>616</v>
      </c>
    </row>
    <row r="959" spans="1:5" x14ac:dyDescent="0.3">
      <c r="A959">
        <v>958</v>
      </c>
      <c r="B959">
        <v>320</v>
      </c>
      <c r="C959" t="s">
        <v>621</v>
      </c>
      <c r="D959">
        <v>11.13</v>
      </c>
      <c r="E959" t="s">
        <v>622</v>
      </c>
    </row>
    <row r="960" spans="1:5" x14ac:dyDescent="0.3">
      <c r="A960">
        <v>959</v>
      </c>
      <c r="B960">
        <v>320</v>
      </c>
      <c r="C960" t="s">
        <v>607</v>
      </c>
      <c r="D960">
        <v>145.03</v>
      </c>
      <c r="E960" t="s">
        <v>608</v>
      </c>
    </row>
    <row r="961" spans="1:5" x14ac:dyDescent="0.3">
      <c r="A961">
        <v>960</v>
      </c>
      <c r="B961">
        <v>320</v>
      </c>
      <c r="C961" t="s">
        <v>603</v>
      </c>
      <c r="D961">
        <v>136.71</v>
      </c>
      <c r="E961" t="s">
        <v>604</v>
      </c>
    </row>
    <row r="962" spans="1:5" x14ac:dyDescent="0.3">
      <c r="A962">
        <v>961</v>
      </c>
      <c r="B962">
        <v>321</v>
      </c>
      <c r="C962" t="s">
        <v>619</v>
      </c>
      <c r="D962">
        <v>2.48</v>
      </c>
      <c r="E962" t="s">
        <v>620</v>
      </c>
    </row>
    <row r="963" spans="1:5" x14ac:dyDescent="0.3">
      <c r="A963">
        <v>962</v>
      </c>
      <c r="B963">
        <v>321</v>
      </c>
      <c r="C963" t="s">
        <v>611</v>
      </c>
      <c r="D963">
        <v>17.440000000000001</v>
      </c>
      <c r="E963" t="s">
        <v>612</v>
      </c>
    </row>
    <row r="964" spans="1:5" x14ac:dyDescent="0.3">
      <c r="A964">
        <v>963</v>
      </c>
      <c r="B964">
        <v>321</v>
      </c>
      <c r="C964" t="s">
        <v>605</v>
      </c>
      <c r="D964">
        <v>139.47999999999999</v>
      </c>
      <c r="E964" t="s">
        <v>606</v>
      </c>
    </row>
    <row r="965" spans="1:5" x14ac:dyDescent="0.3">
      <c r="A965">
        <v>964</v>
      </c>
      <c r="B965">
        <v>322</v>
      </c>
      <c r="C965" t="s">
        <v>603</v>
      </c>
      <c r="D965">
        <v>166.22</v>
      </c>
      <c r="E965" t="s">
        <v>604</v>
      </c>
    </row>
    <row r="966" spans="1:5" x14ac:dyDescent="0.3">
      <c r="A966">
        <v>965</v>
      </c>
      <c r="B966">
        <v>322</v>
      </c>
      <c r="C966" t="s">
        <v>605</v>
      </c>
      <c r="D966">
        <v>313.79000000000002</v>
      </c>
      <c r="E966" t="s">
        <v>606</v>
      </c>
    </row>
    <row r="967" spans="1:5" x14ac:dyDescent="0.3">
      <c r="A967">
        <v>966</v>
      </c>
      <c r="B967">
        <v>322</v>
      </c>
      <c r="C967" t="s">
        <v>617</v>
      </c>
      <c r="D967">
        <v>13.16</v>
      </c>
      <c r="E967" t="s">
        <v>618</v>
      </c>
    </row>
    <row r="968" spans="1:5" x14ac:dyDescent="0.3">
      <c r="A968">
        <v>967</v>
      </c>
      <c r="B968">
        <v>323</v>
      </c>
      <c r="C968" t="s">
        <v>611</v>
      </c>
      <c r="D968">
        <v>11.78</v>
      </c>
      <c r="E968" t="s">
        <v>612</v>
      </c>
    </row>
    <row r="969" spans="1:5" x14ac:dyDescent="0.3">
      <c r="A969">
        <v>968</v>
      </c>
      <c r="B969">
        <v>323</v>
      </c>
      <c r="C969" t="s">
        <v>613</v>
      </c>
      <c r="D969">
        <v>3.38</v>
      </c>
      <c r="E969" t="s">
        <v>614</v>
      </c>
    </row>
    <row r="970" spans="1:5" x14ac:dyDescent="0.3">
      <c r="A970">
        <v>969</v>
      </c>
      <c r="B970">
        <v>323</v>
      </c>
      <c r="C970" t="s">
        <v>621</v>
      </c>
      <c r="D970">
        <v>6.36</v>
      </c>
      <c r="E970" t="s">
        <v>622</v>
      </c>
    </row>
    <row r="971" spans="1:5" x14ac:dyDescent="0.3">
      <c r="A971">
        <v>970</v>
      </c>
      <c r="B971">
        <v>324</v>
      </c>
      <c r="C971" t="s">
        <v>611</v>
      </c>
      <c r="D971">
        <v>10.71</v>
      </c>
      <c r="E971" t="s">
        <v>612</v>
      </c>
    </row>
    <row r="972" spans="1:5" x14ac:dyDescent="0.3">
      <c r="A972">
        <v>971</v>
      </c>
      <c r="B972">
        <v>324</v>
      </c>
      <c r="C972" t="s">
        <v>617</v>
      </c>
      <c r="D972">
        <v>3.92</v>
      </c>
      <c r="E972" t="s">
        <v>618</v>
      </c>
    </row>
    <row r="973" spans="1:5" x14ac:dyDescent="0.3">
      <c r="A973">
        <v>972</v>
      </c>
      <c r="B973">
        <v>324</v>
      </c>
      <c r="C973" t="s">
        <v>615</v>
      </c>
      <c r="D973">
        <v>348.73</v>
      </c>
      <c r="E973" t="s">
        <v>616</v>
      </c>
    </row>
    <row r="974" spans="1:5" x14ac:dyDescent="0.3">
      <c r="A974">
        <v>973</v>
      </c>
      <c r="B974">
        <v>325</v>
      </c>
      <c r="C974" t="s">
        <v>613</v>
      </c>
      <c r="D974">
        <v>6.13</v>
      </c>
      <c r="E974" t="s">
        <v>614</v>
      </c>
    </row>
    <row r="975" spans="1:5" x14ac:dyDescent="0.3">
      <c r="A975">
        <v>974</v>
      </c>
      <c r="B975">
        <v>325</v>
      </c>
      <c r="C975" t="s">
        <v>617</v>
      </c>
      <c r="D975">
        <v>12.92</v>
      </c>
      <c r="E975" t="s">
        <v>618</v>
      </c>
    </row>
    <row r="976" spans="1:5" x14ac:dyDescent="0.3">
      <c r="A976">
        <v>975</v>
      </c>
      <c r="B976">
        <v>325</v>
      </c>
      <c r="C976" t="s">
        <v>621</v>
      </c>
      <c r="D976">
        <v>7.54</v>
      </c>
      <c r="E976" t="s">
        <v>622</v>
      </c>
    </row>
    <row r="977" spans="1:5" x14ac:dyDescent="0.3">
      <c r="A977">
        <v>976</v>
      </c>
      <c r="B977">
        <v>326</v>
      </c>
      <c r="C977" t="s">
        <v>605</v>
      </c>
      <c r="D977">
        <v>127.92</v>
      </c>
      <c r="E977" t="s">
        <v>606</v>
      </c>
    </row>
    <row r="978" spans="1:5" x14ac:dyDescent="0.3">
      <c r="A978">
        <v>977</v>
      </c>
      <c r="B978">
        <v>326</v>
      </c>
      <c r="C978" t="s">
        <v>611</v>
      </c>
      <c r="D978">
        <v>16.02</v>
      </c>
      <c r="E978" t="s">
        <v>612</v>
      </c>
    </row>
    <row r="979" spans="1:5" x14ac:dyDescent="0.3">
      <c r="A979">
        <v>978</v>
      </c>
      <c r="B979">
        <v>326</v>
      </c>
      <c r="C979" t="s">
        <v>613</v>
      </c>
      <c r="D979">
        <v>4.16</v>
      </c>
      <c r="E979" t="s">
        <v>614</v>
      </c>
    </row>
    <row r="980" spans="1:5" x14ac:dyDescent="0.3">
      <c r="A980">
        <v>979</v>
      </c>
      <c r="B980">
        <v>327</v>
      </c>
      <c r="C980" t="s">
        <v>621</v>
      </c>
      <c r="D980">
        <v>6.93</v>
      </c>
      <c r="E980" t="s">
        <v>622</v>
      </c>
    </row>
    <row r="981" spans="1:5" x14ac:dyDescent="0.3">
      <c r="A981">
        <v>980</v>
      </c>
      <c r="B981">
        <v>327</v>
      </c>
      <c r="C981" t="s">
        <v>605</v>
      </c>
      <c r="D981">
        <v>288.97000000000003</v>
      </c>
      <c r="E981" t="s">
        <v>606</v>
      </c>
    </row>
    <row r="982" spans="1:5" x14ac:dyDescent="0.3">
      <c r="A982">
        <v>981</v>
      </c>
      <c r="B982">
        <v>327</v>
      </c>
      <c r="C982" t="s">
        <v>613</v>
      </c>
      <c r="D982">
        <v>6.04</v>
      </c>
      <c r="E982" t="s">
        <v>614</v>
      </c>
    </row>
    <row r="983" spans="1:5" x14ac:dyDescent="0.3">
      <c r="A983">
        <v>982</v>
      </c>
      <c r="B983">
        <v>328</v>
      </c>
      <c r="C983" t="s">
        <v>615</v>
      </c>
      <c r="D983">
        <v>277.08</v>
      </c>
      <c r="E983" t="s">
        <v>616</v>
      </c>
    </row>
    <row r="984" spans="1:5" x14ac:dyDescent="0.3">
      <c r="A984">
        <v>983</v>
      </c>
      <c r="B984">
        <v>328</v>
      </c>
      <c r="C984" t="s">
        <v>611</v>
      </c>
      <c r="D984">
        <v>9.76</v>
      </c>
      <c r="E984" t="s">
        <v>612</v>
      </c>
    </row>
    <row r="985" spans="1:5" x14ac:dyDescent="0.3">
      <c r="A985">
        <v>984</v>
      </c>
      <c r="B985">
        <v>328</v>
      </c>
      <c r="C985" t="s">
        <v>607</v>
      </c>
      <c r="D985">
        <v>147.26</v>
      </c>
      <c r="E985" t="s">
        <v>608</v>
      </c>
    </row>
    <row r="986" spans="1:5" x14ac:dyDescent="0.3">
      <c r="A986">
        <v>985</v>
      </c>
      <c r="B986">
        <v>329</v>
      </c>
      <c r="C986" t="s">
        <v>603</v>
      </c>
      <c r="D986">
        <v>194.45</v>
      </c>
      <c r="E986" t="s">
        <v>604</v>
      </c>
    </row>
    <row r="987" spans="1:5" x14ac:dyDescent="0.3">
      <c r="A987">
        <v>986</v>
      </c>
      <c r="B987">
        <v>329</v>
      </c>
      <c r="C987" t="s">
        <v>621</v>
      </c>
      <c r="D987">
        <v>8.49</v>
      </c>
      <c r="E987" t="s">
        <v>622</v>
      </c>
    </row>
    <row r="988" spans="1:5" x14ac:dyDescent="0.3">
      <c r="A988">
        <v>987</v>
      </c>
      <c r="B988">
        <v>329</v>
      </c>
      <c r="C988" t="s">
        <v>619</v>
      </c>
      <c r="D988">
        <v>1.04</v>
      </c>
      <c r="E988" t="s">
        <v>620</v>
      </c>
    </row>
    <row r="989" spans="1:5" x14ac:dyDescent="0.3">
      <c r="A989">
        <v>988</v>
      </c>
      <c r="B989">
        <v>330</v>
      </c>
      <c r="C989" t="s">
        <v>611</v>
      </c>
      <c r="D989">
        <v>8.66</v>
      </c>
      <c r="E989" t="s">
        <v>612</v>
      </c>
    </row>
    <row r="990" spans="1:5" x14ac:dyDescent="0.3">
      <c r="A990">
        <v>989</v>
      </c>
      <c r="B990">
        <v>330</v>
      </c>
      <c r="C990" t="s">
        <v>617</v>
      </c>
      <c r="D990">
        <v>8.19</v>
      </c>
      <c r="E990" t="s">
        <v>618</v>
      </c>
    </row>
    <row r="991" spans="1:5" x14ac:dyDescent="0.3">
      <c r="A991">
        <v>990</v>
      </c>
      <c r="B991">
        <v>330</v>
      </c>
      <c r="C991" t="s">
        <v>607</v>
      </c>
      <c r="D991">
        <v>129.61000000000001</v>
      </c>
      <c r="E991" t="s">
        <v>608</v>
      </c>
    </row>
    <row r="992" spans="1:5" x14ac:dyDescent="0.3">
      <c r="A992">
        <v>991</v>
      </c>
      <c r="B992">
        <v>331</v>
      </c>
      <c r="C992" t="s">
        <v>607</v>
      </c>
      <c r="D992">
        <v>135.68</v>
      </c>
      <c r="E992" t="s">
        <v>608</v>
      </c>
    </row>
    <row r="993" spans="1:5" x14ac:dyDescent="0.3">
      <c r="A993">
        <v>992</v>
      </c>
      <c r="B993">
        <v>331</v>
      </c>
      <c r="C993" t="s">
        <v>613</v>
      </c>
      <c r="D993">
        <v>4.3899999999999997</v>
      </c>
      <c r="E993" t="s">
        <v>614</v>
      </c>
    </row>
    <row r="994" spans="1:5" x14ac:dyDescent="0.3">
      <c r="A994">
        <v>993</v>
      </c>
      <c r="B994">
        <v>331</v>
      </c>
      <c r="C994" t="s">
        <v>611</v>
      </c>
      <c r="D994">
        <v>12.62</v>
      </c>
      <c r="E994" t="s">
        <v>612</v>
      </c>
    </row>
    <row r="995" spans="1:5" x14ac:dyDescent="0.3">
      <c r="A995">
        <v>994</v>
      </c>
      <c r="B995">
        <v>332</v>
      </c>
      <c r="C995" t="s">
        <v>613</v>
      </c>
      <c r="D995">
        <v>3.41</v>
      </c>
      <c r="E995" t="s">
        <v>614</v>
      </c>
    </row>
    <row r="996" spans="1:5" x14ac:dyDescent="0.3">
      <c r="A996">
        <v>995</v>
      </c>
      <c r="B996">
        <v>332</v>
      </c>
      <c r="C996" t="s">
        <v>611</v>
      </c>
      <c r="D996">
        <v>8.14</v>
      </c>
      <c r="E996" t="s">
        <v>612</v>
      </c>
    </row>
    <row r="997" spans="1:5" x14ac:dyDescent="0.3">
      <c r="A997">
        <v>996</v>
      </c>
      <c r="B997">
        <v>332</v>
      </c>
      <c r="C997" t="s">
        <v>609</v>
      </c>
      <c r="D997">
        <v>19.2</v>
      </c>
      <c r="E997" t="s">
        <v>610</v>
      </c>
    </row>
    <row r="998" spans="1:5" x14ac:dyDescent="0.3">
      <c r="A998">
        <v>997</v>
      </c>
      <c r="B998">
        <v>333</v>
      </c>
      <c r="C998" t="s">
        <v>607</v>
      </c>
      <c r="D998">
        <v>136.83000000000001</v>
      </c>
      <c r="E998" t="s">
        <v>608</v>
      </c>
    </row>
    <row r="999" spans="1:5" x14ac:dyDescent="0.3">
      <c r="A999">
        <v>998</v>
      </c>
      <c r="B999">
        <v>333</v>
      </c>
      <c r="C999" t="s">
        <v>621</v>
      </c>
      <c r="D999">
        <v>4.5199999999999996</v>
      </c>
      <c r="E999" t="s">
        <v>622</v>
      </c>
    </row>
    <row r="1000" spans="1:5" x14ac:dyDescent="0.3">
      <c r="A1000">
        <v>999</v>
      </c>
      <c r="B1000">
        <v>333</v>
      </c>
      <c r="C1000" t="s">
        <v>619</v>
      </c>
      <c r="D1000">
        <v>1.7</v>
      </c>
      <c r="E1000" t="s">
        <v>620</v>
      </c>
    </row>
    <row r="1001" spans="1:5" x14ac:dyDescent="0.3">
      <c r="A1001">
        <v>1000</v>
      </c>
      <c r="B1001">
        <v>334</v>
      </c>
      <c r="C1001" t="s">
        <v>621</v>
      </c>
      <c r="D1001">
        <v>9.6199999999999992</v>
      </c>
      <c r="E1001" t="s">
        <v>622</v>
      </c>
    </row>
    <row r="1002" spans="1:5" x14ac:dyDescent="0.3">
      <c r="A1002">
        <v>1001</v>
      </c>
      <c r="B1002">
        <v>334</v>
      </c>
      <c r="C1002" t="s">
        <v>613</v>
      </c>
      <c r="D1002">
        <v>4.42</v>
      </c>
      <c r="E1002" t="s">
        <v>614</v>
      </c>
    </row>
    <row r="1003" spans="1:5" x14ac:dyDescent="0.3">
      <c r="A1003">
        <v>1002</v>
      </c>
      <c r="B1003">
        <v>334</v>
      </c>
      <c r="C1003" t="s">
        <v>619</v>
      </c>
      <c r="D1003">
        <v>1.47</v>
      </c>
      <c r="E1003" t="s">
        <v>620</v>
      </c>
    </row>
    <row r="1004" spans="1:5" x14ac:dyDescent="0.3">
      <c r="A1004">
        <v>1003</v>
      </c>
      <c r="B1004">
        <v>335</v>
      </c>
      <c r="C1004" t="s">
        <v>603</v>
      </c>
      <c r="D1004">
        <v>240.48</v>
      </c>
      <c r="E1004" t="s">
        <v>604</v>
      </c>
    </row>
    <row r="1005" spans="1:5" x14ac:dyDescent="0.3">
      <c r="A1005">
        <v>1004</v>
      </c>
      <c r="B1005">
        <v>335</v>
      </c>
      <c r="C1005" t="s">
        <v>609</v>
      </c>
      <c r="D1005">
        <v>3</v>
      </c>
      <c r="E1005" t="s">
        <v>610</v>
      </c>
    </row>
    <row r="1006" spans="1:5" x14ac:dyDescent="0.3">
      <c r="A1006">
        <v>1005</v>
      </c>
      <c r="B1006">
        <v>335</v>
      </c>
      <c r="C1006" t="s">
        <v>605</v>
      </c>
      <c r="D1006">
        <v>162.69</v>
      </c>
      <c r="E1006" t="s">
        <v>606</v>
      </c>
    </row>
    <row r="1007" spans="1:5" x14ac:dyDescent="0.3">
      <c r="A1007">
        <v>1006</v>
      </c>
      <c r="B1007">
        <v>336</v>
      </c>
      <c r="C1007" t="s">
        <v>621</v>
      </c>
      <c r="D1007">
        <v>4.5</v>
      </c>
      <c r="E1007" t="s">
        <v>622</v>
      </c>
    </row>
    <row r="1008" spans="1:5" x14ac:dyDescent="0.3">
      <c r="A1008">
        <v>1007</v>
      </c>
      <c r="B1008">
        <v>336</v>
      </c>
      <c r="C1008" t="s">
        <v>603</v>
      </c>
      <c r="D1008">
        <v>214.58</v>
      </c>
      <c r="E1008" t="s">
        <v>604</v>
      </c>
    </row>
    <row r="1009" spans="1:5" x14ac:dyDescent="0.3">
      <c r="A1009">
        <v>1008</v>
      </c>
      <c r="B1009">
        <v>336</v>
      </c>
      <c r="C1009" t="s">
        <v>607</v>
      </c>
      <c r="D1009">
        <v>145.37</v>
      </c>
      <c r="E1009" t="s">
        <v>608</v>
      </c>
    </row>
    <row r="1010" spans="1:5" x14ac:dyDescent="0.3">
      <c r="A1010">
        <v>1009</v>
      </c>
      <c r="B1010">
        <v>337</v>
      </c>
      <c r="C1010" t="s">
        <v>613</v>
      </c>
      <c r="D1010">
        <v>3.52</v>
      </c>
      <c r="E1010" t="s">
        <v>614</v>
      </c>
    </row>
    <row r="1011" spans="1:5" x14ac:dyDescent="0.3">
      <c r="A1011">
        <v>1010</v>
      </c>
      <c r="B1011">
        <v>337</v>
      </c>
      <c r="C1011" t="s">
        <v>619</v>
      </c>
      <c r="D1011">
        <v>0.57999999999999996</v>
      </c>
      <c r="E1011" t="s">
        <v>620</v>
      </c>
    </row>
    <row r="1012" spans="1:5" x14ac:dyDescent="0.3">
      <c r="A1012">
        <v>1011</v>
      </c>
      <c r="B1012">
        <v>337</v>
      </c>
      <c r="C1012" t="s">
        <v>603</v>
      </c>
      <c r="D1012">
        <v>205.34</v>
      </c>
      <c r="E1012" t="s">
        <v>604</v>
      </c>
    </row>
    <row r="1013" spans="1:5" x14ac:dyDescent="0.3">
      <c r="A1013">
        <v>1012</v>
      </c>
      <c r="B1013">
        <v>338</v>
      </c>
      <c r="C1013" t="s">
        <v>607</v>
      </c>
      <c r="D1013">
        <v>141.99</v>
      </c>
      <c r="E1013" t="s">
        <v>608</v>
      </c>
    </row>
    <row r="1014" spans="1:5" x14ac:dyDescent="0.3">
      <c r="A1014">
        <v>1013</v>
      </c>
      <c r="B1014">
        <v>338</v>
      </c>
      <c r="C1014" t="s">
        <v>617</v>
      </c>
      <c r="D1014">
        <v>4.09</v>
      </c>
      <c r="E1014" t="s">
        <v>618</v>
      </c>
    </row>
    <row r="1015" spans="1:5" x14ac:dyDescent="0.3">
      <c r="A1015">
        <v>1014</v>
      </c>
      <c r="B1015">
        <v>338</v>
      </c>
      <c r="C1015" t="s">
        <v>609</v>
      </c>
      <c r="D1015">
        <v>1.48</v>
      </c>
      <c r="E1015" t="s">
        <v>610</v>
      </c>
    </row>
    <row r="1016" spans="1:5" x14ac:dyDescent="0.3">
      <c r="A1016">
        <v>1015</v>
      </c>
      <c r="B1016">
        <v>339</v>
      </c>
      <c r="C1016" t="s">
        <v>607</v>
      </c>
      <c r="D1016">
        <v>147.22</v>
      </c>
      <c r="E1016" t="s">
        <v>608</v>
      </c>
    </row>
    <row r="1017" spans="1:5" x14ac:dyDescent="0.3">
      <c r="A1017">
        <v>1016</v>
      </c>
      <c r="B1017">
        <v>339</v>
      </c>
      <c r="C1017" t="s">
        <v>611</v>
      </c>
      <c r="D1017">
        <v>11.74</v>
      </c>
      <c r="E1017" t="s">
        <v>612</v>
      </c>
    </row>
    <row r="1018" spans="1:5" x14ac:dyDescent="0.3">
      <c r="A1018">
        <v>1017</v>
      </c>
      <c r="B1018">
        <v>339</v>
      </c>
      <c r="C1018" t="s">
        <v>617</v>
      </c>
      <c r="D1018">
        <v>8.4600000000000009</v>
      </c>
      <c r="E1018" t="s">
        <v>618</v>
      </c>
    </row>
    <row r="1019" spans="1:5" x14ac:dyDescent="0.3">
      <c r="A1019">
        <v>1018</v>
      </c>
      <c r="B1019">
        <v>340</v>
      </c>
      <c r="C1019" t="s">
        <v>619</v>
      </c>
      <c r="D1019">
        <v>3.41</v>
      </c>
      <c r="E1019" t="s">
        <v>620</v>
      </c>
    </row>
    <row r="1020" spans="1:5" x14ac:dyDescent="0.3">
      <c r="A1020">
        <v>1019</v>
      </c>
      <c r="B1020">
        <v>340</v>
      </c>
      <c r="C1020" t="s">
        <v>617</v>
      </c>
      <c r="D1020">
        <v>4.2</v>
      </c>
      <c r="E1020" t="s">
        <v>618</v>
      </c>
    </row>
    <row r="1021" spans="1:5" x14ac:dyDescent="0.3">
      <c r="A1021">
        <v>1020</v>
      </c>
      <c r="B1021">
        <v>340</v>
      </c>
      <c r="C1021" t="s">
        <v>605</v>
      </c>
      <c r="D1021">
        <v>300.33</v>
      </c>
      <c r="E1021" t="s">
        <v>606</v>
      </c>
    </row>
    <row r="1022" spans="1:5" x14ac:dyDescent="0.3">
      <c r="A1022">
        <v>1021</v>
      </c>
      <c r="B1022">
        <v>341</v>
      </c>
      <c r="C1022" t="s">
        <v>615</v>
      </c>
      <c r="D1022">
        <v>169.51</v>
      </c>
      <c r="E1022" t="s">
        <v>616</v>
      </c>
    </row>
    <row r="1023" spans="1:5" x14ac:dyDescent="0.3">
      <c r="A1023">
        <v>1022</v>
      </c>
      <c r="B1023">
        <v>341</v>
      </c>
      <c r="C1023" t="s">
        <v>617</v>
      </c>
      <c r="D1023">
        <v>15.25</v>
      </c>
      <c r="E1023" t="s">
        <v>618</v>
      </c>
    </row>
    <row r="1024" spans="1:5" x14ac:dyDescent="0.3">
      <c r="A1024">
        <v>1023</v>
      </c>
      <c r="B1024">
        <v>341</v>
      </c>
      <c r="C1024" t="s">
        <v>605</v>
      </c>
      <c r="D1024">
        <v>216.33</v>
      </c>
      <c r="E1024" t="s">
        <v>606</v>
      </c>
    </row>
    <row r="1025" spans="1:5" x14ac:dyDescent="0.3">
      <c r="A1025">
        <v>1024</v>
      </c>
      <c r="B1025">
        <v>342</v>
      </c>
      <c r="C1025" t="s">
        <v>609</v>
      </c>
      <c r="D1025">
        <v>7.16</v>
      </c>
      <c r="E1025" t="s">
        <v>610</v>
      </c>
    </row>
    <row r="1026" spans="1:5" x14ac:dyDescent="0.3">
      <c r="A1026">
        <v>1025</v>
      </c>
      <c r="B1026">
        <v>342</v>
      </c>
      <c r="C1026" t="s">
        <v>605</v>
      </c>
      <c r="D1026">
        <v>258.58</v>
      </c>
      <c r="E1026" t="s">
        <v>606</v>
      </c>
    </row>
    <row r="1027" spans="1:5" x14ac:dyDescent="0.3">
      <c r="A1027">
        <v>1026</v>
      </c>
      <c r="B1027">
        <v>342</v>
      </c>
      <c r="C1027" t="s">
        <v>607</v>
      </c>
      <c r="D1027">
        <v>136.56</v>
      </c>
      <c r="E1027" t="s">
        <v>608</v>
      </c>
    </row>
    <row r="1028" spans="1:5" x14ac:dyDescent="0.3">
      <c r="A1028">
        <v>1027</v>
      </c>
      <c r="B1028">
        <v>343</v>
      </c>
      <c r="C1028" t="s">
        <v>603</v>
      </c>
      <c r="D1028">
        <v>79.39</v>
      </c>
      <c r="E1028" t="s">
        <v>604</v>
      </c>
    </row>
    <row r="1029" spans="1:5" x14ac:dyDescent="0.3">
      <c r="A1029">
        <v>1028</v>
      </c>
      <c r="B1029">
        <v>343</v>
      </c>
      <c r="C1029" t="s">
        <v>609</v>
      </c>
      <c r="D1029">
        <v>13.39</v>
      </c>
      <c r="E1029" t="s">
        <v>610</v>
      </c>
    </row>
    <row r="1030" spans="1:5" x14ac:dyDescent="0.3">
      <c r="A1030">
        <v>1029</v>
      </c>
      <c r="B1030">
        <v>343</v>
      </c>
      <c r="C1030" t="s">
        <v>619</v>
      </c>
      <c r="D1030">
        <v>2.66</v>
      </c>
      <c r="E1030" t="s">
        <v>620</v>
      </c>
    </row>
    <row r="1031" spans="1:5" x14ac:dyDescent="0.3">
      <c r="A1031">
        <v>1030</v>
      </c>
      <c r="B1031">
        <v>344</v>
      </c>
      <c r="C1031" t="s">
        <v>615</v>
      </c>
      <c r="D1031">
        <v>152.68</v>
      </c>
      <c r="E1031" t="s">
        <v>616</v>
      </c>
    </row>
    <row r="1032" spans="1:5" x14ac:dyDescent="0.3">
      <c r="A1032">
        <v>1031</v>
      </c>
      <c r="B1032">
        <v>344</v>
      </c>
      <c r="C1032" t="s">
        <v>621</v>
      </c>
      <c r="D1032">
        <v>7.67</v>
      </c>
      <c r="E1032" t="s">
        <v>622</v>
      </c>
    </row>
    <row r="1033" spans="1:5" x14ac:dyDescent="0.3">
      <c r="A1033">
        <v>1032</v>
      </c>
      <c r="B1033">
        <v>344</v>
      </c>
      <c r="C1033" t="s">
        <v>603</v>
      </c>
      <c r="D1033">
        <v>92.29</v>
      </c>
      <c r="E1033" t="s">
        <v>604</v>
      </c>
    </row>
    <row r="1034" spans="1:5" x14ac:dyDescent="0.3">
      <c r="A1034">
        <v>1033</v>
      </c>
      <c r="B1034">
        <v>345</v>
      </c>
      <c r="C1034" t="s">
        <v>615</v>
      </c>
      <c r="D1034">
        <v>191.98</v>
      </c>
      <c r="E1034" t="s">
        <v>616</v>
      </c>
    </row>
    <row r="1035" spans="1:5" x14ac:dyDescent="0.3">
      <c r="A1035">
        <v>1034</v>
      </c>
      <c r="B1035">
        <v>345</v>
      </c>
      <c r="C1035" t="s">
        <v>611</v>
      </c>
      <c r="D1035">
        <v>14.58</v>
      </c>
      <c r="E1035" t="s">
        <v>612</v>
      </c>
    </row>
    <row r="1036" spans="1:5" x14ac:dyDescent="0.3">
      <c r="A1036">
        <v>1035</v>
      </c>
      <c r="B1036">
        <v>345</v>
      </c>
      <c r="C1036" t="s">
        <v>607</v>
      </c>
      <c r="D1036">
        <v>149.74</v>
      </c>
      <c r="E1036" t="s">
        <v>608</v>
      </c>
    </row>
    <row r="1037" spans="1:5" x14ac:dyDescent="0.3">
      <c r="A1037">
        <v>1036</v>
      </c>
      <c r="B1037">
        <v>346</v>
      </c>
      <c r="C1037" t="s">
        <v>605</v>
      </c>
      <c r="D1037">
        <v>127.3</v>
      </c>
      <c r="E1037" t="s">
        <v>606</v>
      </c>
    </row>
    <row r="1038" spans="1:5" x14ac:dyDescent="0.3">
      <c r="A1038">
        <v>1037</v>
      </c>
      <c r="B1038">
        <v>346</v>
      </c>
      <c r="C1038" t="s">
        <v>613</v>
      </c>
      <c r="D1038">
        <v>5.34</v>
      </c>
      <c r="E1038" t="s">
        <v>614</v>
      </c>
    </row>
    <row r="1039" spans="1:5" x14ac:dyDescent="0.3">
      <c r="A1039">
        <v>1038</v>
      </c>
      <c r="B1039">
        <v>346</v>
      </c>
      <c r="C1039" t="s">
        <v>611</v>
      </c>
      <c r="D1039">
        <v>8.9700000000000006</v>
      </c>
      <c r="E1039" t="s">
        <v>612</v>
      </c>
    </row>
    <row r="1040" spans="1:5" x14ac:dyDescent="0.3">
      <c r="A1040">
        <v>1039</v>
      </c>
      <c r="B1040">
        <v>347</v>
      </c>
      <c r="C1040" t="s">
        <v>609</v>
      </c>
      <c r="D1040">
        <v>4.4000000000000004</v>
      </c>
      <c r="E1040" t="s">
        <v>610</v>
      </c>
    </row>
    <row r="1041" spans="1:5" x14ac:dyDescent="0.3">
      <c r="A1041">
        <v>1040</v>
      </c>
      <c r="B1041">
        <v>347</v>
      </c>
      <c r="C1041" t="s">
        <v>605</v>
      </c>
      <c r="D1041">
        <v>161.94999999999999</v>
      </c>
      <c r="E1041" t="s">
        <v>606</v>
      </c>
    </row>
    <row r="1042" spans="1:5" x14ac:dyDescent="0.3">
      <c r="A1042">
        <v>1041</v>
      </c>
      <c r="B1042">
        <v>347</v>
      </c>
      <c r="C1042" t="s">
        <v>607</v>
      </c>
      <c r="D1042">
        <v>132.21</v>
      </c>
      <c r="E1042" t="s">
        <v>608</v>
      </c>
    </row>
    <row r="1043" spans="1:5" x14ac:dyDescent="0.3">
      <c r="A1043">
        <v>1042</v>
      </c>
      <c r="B1043">
        <v>348</v>
      </c>
      <c r="C1043" t="s">
        <v>621</v>
      </c>
      <c r="D1043">
        <v>10.51</v>
      </c>
      <c r="E1043" t="s">
        <v>622</v>
      </c>
    </row>
    <row r="1044" spans="1:5" x14ac:dyDescent="0.3">
      <c r="A1044">
        <v>1043</v>
      </c>
      <c r="B1044">
        <v>348</v>
      </c>
      <c r="C1044" t="s">
        <v>603</v>
      </c>
      <c r="D1044">
        <v>68</v>
      </c>
      <c r="E1044" t="s">
        <v>604</v>
      </c>
    </row>
    <row r="1045" spans="1:5" x14ac:dyDescent="0.3">
      <c r="A1045">
        <v>1044</v>
      </c>
      <c r="B1045">
        <v>348</v>
      </c>
      <c r="C1045" t="s">
        <v>615</v>
      </c>
      <c r="D1045">
        <v>413.83</v>
      </c>
      <c r="E1045" t="s">
        <v>616</v>
      </c>
    </row>
    <row r="1046" spans="1:5" x14ac:dyDescent="0.3">
      <c r="A1046">
        <v>1045</v>
      </c>
      <c r="B1046">
        <v>349</v>
      </c>
      <c r="C1046" t="s">
        <v>609</v>
      </c>
      <c r="D1046">
        <v>13.01</v>
      </c>
      <c r="E1046" t="s">
        <v>610</v>
      </c>
    </row>
    <row r="1047" spans="1:5" x14ac:dyDescent="0.3">
      <c r="A1047">
        <v>1046</v>
      </c>
      <c r="B1047">
        <v>349</v>
      </c>
      <c r="C1047" t="s">
        <v>611</v>
      </c>
      <c r="D1047">
        <v>11.79</v>
      </c>
      <c r="E1047" t="s">
        <v>612</v>
      </c>
    </row>
    <row r="1048" spans="1:5" x14ac:dyDescent="0.3">
      <c r="A1048">
        <v>1047</v>
      </c>
      <c r="B1048">
        <v>349</v>
      </c>
      <c r="C1048" t="s">
        <v>613</v>
      </c>
      <c r="D1048">
        <v>4.2</v>
      </c>
      <c r="E1048" t="s">
        <v>614</v>
      </c>
    </row>
    <row r="1049" spans="1:5" x14ac:dyDescent="0.3">
      <c r="A1049">
        <v>1048</v>
      </c>
      <c r="B1049">
        <v>350</v>
      </c>
      <c r="C1049" t="s">
        <v>615</v>
      </c>
      <c r="D1049">
        <v>283.11</v>
      </c>
      <c r="E1049" t="s">
        <v>616</v>
      </c>
    </row>
    <row r="1050" spans="1:5" x14ac:dyDescent="0.3">
      <c r="A1050">
        <v>1049</v>
      </c>
      <c r="B1050">
        <v>350</v>
      </c>
      <c r="C1050" t="s">
        <v>609</v>
      </c>
      <c r="D1050">
        <v>15.33</v>
      </c>
      <c r="E1050" t="s">
        <v>610</v>
      </c>
    </row>
    <row r="1051" spans="1:5" x14ac:dyDescent="0.3">
      <c r="A1051">
        <v>1050</v>
      </c>
      <c r="B1051">
        <v>350</v>
      </c>
      <c r="C1051" t="s">
        <v>607</v>
      </c>
      <c r="D1051">
        <v>130.49</v>
      </c>
      <c r="E1051" t="s">
        <v>608</v>
      </c>
    </row>
    <row r="1052" spans="1:5" x14ac:dyDescent="0.3">
      <c r="A1052">
        <v>1051</v>
      </c>
      <c r="B1052">
        <v>351</v>
      </c>
      <c r="C1052" t="s">
        <v>605</v>
      </c>
      <c r="D1052">
        <v>194.62</v>
      </c>
      <c r="E1052" t="s">
        <v>606</v>
      </c>
    </row>
    <row r="1053" spans="1:5" x14ac:dyDescent="0.3">
      <c r="A1053">
        <v>1052</v>
      </c>
      <c r="B1053">
        <v>351</v>
      </c>
      <c r="C1053" t="s">
        <v>613</v>
      </c>
      <c r="D1053">
        <v>4.68</v>
      </c>
      <c r="E1053" t="s">
        <v>614</v>
      </c>
    </row>
    <row r="1054" spans="1:5" x14ac:dyDescent="0.3">
      <c r="A1054">
        <v>1053</v>
      </c>
      <c r="B1054">
        <v>351</v>
      </c>
      <c r="C1054" t="s">
        <v>607</v>
      </c>
      <c r="D1054">
        <v>131.58000000000001</v>
      </c>
      <c r="E1054" t="s">
        <v>608</v>
      </c>
    </row>
    <row r="1055" spans="1:5" x14ac:dyDescent="0.3">
      <c r="A1055">
        <v>1054</v>
      </c>
      <c r="B1055">
        <v>352</v>
      </c>
      <c r="C1055" t="s">
        <v>607</v>
      </c>
      <c r="D1055">
        <v>146.59</v>
      </c>
      <c r="E1055" t="s">
        <v>608</v>
      </c>
    </row>
    <row r="1056" spans="1:5" x14ac:dyDescent="0.3">
      <c r="A1056">
        <v>1055</v>
      </c>
      <c r="B1056">
        <v>352</v>
      </c>
      <c r="C1056" t="s">
        <v>621</v>
      </c>
      <c r="D1056">
        <v>9.51</v>
      </c>
      <c r="E1056" t="s">
        <v>622</v>
      </c>
    </row>
    <row r="1057" spans="1:5" x14ac:dyDescent="0.3">
      <c r="A1057">
        <v>1056</v>
      </c>
      <c r="B1057">
        <v>352</v>
      </c>
      <c r="C1057" t="s">
        <v>617</v>
      </c>
      <c r="D1057">
        <v>8.69</v>
      </c>
      <c r="E1057" t="s">
        <v>618</v>
      </c>
    </row>
    <row r="1058" spans="1:5" x14ac:dyDescent="0.3">
      <c r="A1058">
        <v>1057</v>
      </c>
      <c r="B1058">
        <v>353</v>
      </c>
      <c r="C1058" t="s">
        <v>617</v>
      </c>
      <c r="D1058">
        <v>13.48</v>
      </c>
      <c r="E1058" t="s">
        <v>618</v>
      </c>
    </row>
    <row r="1059" spans="1:5" x14ac:dyDescent="0.3">
      <c r="A1059">
        <v>1058</v>
      </c>
      <c r="B1059">
        <v>353</v>
      </c>
      <c r="C1059" t="s">
        <v>611</v>
      </c>
      <c r="D1059">
        <v>8.09</v>
      </c>
      <c r="E1059" t="s">
        <v>612</v>
      </c>
    </row>
    <row r="1060" spans="1:5" x14ac:dyDescent="0.3">
      <c r="A1060">
        <v>1059</v>
      </c>
      <c r="B1060">
        <v>353</v>
      </c>
      <c r="C1060" t="s">
        <v>609</v>
      </c>
      <c r="D1060">
        <v>13.03</v>
      </c>
      <c r="E1060" t="s">
        <v>610</v>
      </c>
    </row>
    <row r="1061" spans="1:5" x14ac:dyDescent="0.3">
      <c r="A1061">
        <v>1060</v>
      </c>
      <c r="B1061">
        <v>354</v>
      </c>
      <c r="C1061" t="s">
        <v>621</v>
      </c>
      <c r="D1061">
        <v>7.97</v>
      </c>
      <c r="E1061" t="s">
        <v>622</v>
      </c>
    </row>
    <row r="1062" spans="1:5" x14ac:dyDescent="0.3">
      <c r="A1062">
        <v>1061</v>
      </c>
      <c r="B1062">
        <v>354</v>
      </c>
      <c r="C1062" t="s">
        <v>607</v>
      </c>
      <c r="D1062">
        <v>144.54</v>
      </c>
      <c r="E1062" t="s">
        <v>608</v>
      </c>
    </row>
    <row r="1063" spans="1:5" x14ac:dyDescent="0.3">
      <c r="A1063">
        <v>1062</v>
      </c>
      <c r="B1063">
        <v>354</v>
      </c>
      <c r="C1063" t="s">
        <v>611</v>
      </c>
      <c r="D1063">
        <v>16.739999999999998</v>
      </c>
      <c r="E1063" t="s">
        <v>612</v>
      </c>
    </row>
    <row r="1064" spans="1:5" x14ac:dyDescent="0.3">
      <c r="A1064">
        <v>1063</v>
      </c>
      <c r="B1064">
        <v>355</v>
      </c>
      <c r="C1064" t="s">
        <v>611</v>
      </c>
      <c r="D1064">
        <v>14.01</v>
      </c>
      <c r="E1064" t="s">
        <v>612</v>
      </c>
    </row>
    <row r="1065" spans="1:5" x14ac:dyDescent="0.3">
      <c r="A1065">
        <v>1064</v>
      </c>
      <c r="B1065">
        <v>355</v>
      </c>
      <c r="C1065" t="s">
        <v>613</v>
      </c>
      <c r="D1065">
        <v>5.7</v>
      </c>
      <c r="E1065" t="s">
        <v>614</v>
      </c>
    </row>
    <row r="1066" spans="1:5" x14ac:dyDescent="0.3">
      <c r="A1066">
        <v>1065</v>
      </c>
      <c r="B1066">
        <v>355</v>
      </c>
      <c r="C1066" t="s">
        <v>603</v>
      </c>
      <c r="D1066">
        <v>104.2</v>
      </c>
      <c r="E1066" t="s">
        <v>604</v>
      </c>
    </row>
    <row r="1067" spans="1:5" x14ac:dyDescent="0.3">
      <c r="A1067">
        <v>1066</v>
      </c>
      <c r="B1067">
        <v>356</v>
      </c>
      <c r="C1067" t="s">
        <v>613</v>
      </c>
      <c r="D1067">
        <v>3.19</v>
      </c>
      <c r="E1067" t="s">
        <v>614</v>
      </c>
    </row>
    <row r="1068" spans="1:5" x14ac:dyDescent="0.3">
      <c r="A1068">
        <v>1067</v>
      </c>
      <c r="B1068">
        <v>356</v>
      </c>
      <c r="C1068" t="s">
        <v>609</v>
      </c>
      <c r="D1068">
        <v>17.14</v>
      </c>
      <c r="E1068" t="s">
        <v>610</v>
      </c>
    </row>
    <row r="1069" spans="1:5" x14ac:dyDescent="0.3">
      <c r="A1069">
        <v>1068</v>
      </c>
      <c r="B1069">
        <v>356</v>
      </c>
      <c r="C1069" t="s">
        <v>607</v>
      </c>
      <c r="D1069">
        <v>148.91</v>
      </c>
      <c r="E1069" t="s">
        <v>608</v>
      </c>
    </row>
    <row r="1070" spans="1:5" x14ac:dyDescent="0.3">
      <c r="A1070">
        <v>1069</v>
      </c>
      <c r="B1070">
        <v>357</v>
      </c>
      <c r="C1070" t="s">
        <v>615</v>
      </c>
      <c r="D1070">
        <v>417.8</v>
      </c>
      <c r="E1070" t="s">
        <v>616</v>
      </c>
    </row>
    <row r="1071" spans="1:5" x14ac:dyDescent="0.3">
      <c r="A1071">
        <v>1070</v>
      </c>
      <c r="B1071">
        <v>357</v>
      </c>
      <c r="C1071" t="s">
        <v>613</v>
      </c>
      <c r="D1071">
        <v>4.99</v>
      </c>
      <c r="E1071" t="s">
        <v>614</v>
      </c>
    </row>
    <row r="1072" spans="1:5" x14ac:dyDescent="0.3">
      <c r="A1072">
        <v>1071</v>
      </c>
      <c r="B1072">
        <v>357</v>
      </c>
      <c r="C1072" t="s">
        <v>607</v>
      </c>
      <c r="D1072">
        <v>145.26</v>
      </c>
      <c r="E1072" t="s">
        <v>608</v>
      </c>
    </row>
    <row r="1073" spans="1:5" x14ac:dyDescent="0.3">
      <c r="A1073">
        <v>1072</v>
      </c>
      <c r="B1073">
        <v>358</v>
      </c>
      <c r="C1073" t="s">
        <v>607</v>
      </c>
      <c r="D1073">
        <v>145.21</v>
      </c>
      <c r="E1073" t="s">
        <v>608</v>
      </c>
    </row>
    <row r="1074" spans="1:5" x14ac:dyDescent="0.3">
      <c r="A1074">
        <v>1073</v>
      </c>
      <c r="B1074">
        <v>358</v>
      </c>
      <c r="C1074" t="s">
        <v>603</v>
      </c>
      <c r="D1074">
        <v>158.9</v>
      </c>
      <c r="E1074" t="s">
        <v>604</v>
      </c>
    </row>
    <row r="1075" spans="1:5" x14ac:dyDescent="0.3">
      <c r="A1075">
        <v>1074</v>
      </c>
      <c r="B1075">
        <v>358</v>
      </c>
      <c r="C1075" t="s">
        <v>615</v>
      </c>
      <c r="D1075">
        <v>193.66</v>
      </c>
      <c r="E1075" t="s">
        <v>616</v>
      </c>
    </row>
    <row r="1076" spans="1:5" x14ac:dyDescent="0.3">
      <c r="A1076">
        <v>1075</v>
      </c>
      <c r="B1076">
        <v>359</v>
      </c>
      <c r="C1076" t="s">
        <v>617</v>
      </c>
      <c r="D1076">
        <v>11.75</v>
      </c>
      <c r="E1076" t="s">
        <v>618</v>
      </c>
    </row>
    <row r="1077" spans="1:5" x14ac:dyDescent="0.3">
      <c r="A1077">
        <v>1076</v>
      </c>
      <c r="B1077">
        <v>359</v>
      </c>
      <c r="C1077" t="s">
        <v>621</v>
      </c>
      <c r="D1077">
        <v>4.03</v>
      </c>
      <c r="E1077" t="s">
        <v>622</v>
      </c>
    </row>
    <row r="1078" spans="1:5" x14ac:dyDescent="0.3">
      <c r="A1078">
        <v>1077</v>
      </c>
      <c r="B1078">
        <v>359</v>
      </c>
      <c r="C1078" t="s">
        <v>607</v>
      </c>
      <c r="D1078">
        <v>148</v>
      </c>
      <c r="E1078" t="s">
        <v>608</v>
      </c>
    </row>
    <row r="1079" spans="1:5" x14ac:dyDescent="0.3">
      <c r="A1079">
        <v>1078</v>
      </c>
      <c r="B1079">
        <v>360</v>
      </c>
      <c r="C1079" t="s">
        <v>603</v>
      </c>
      <c r="D1079">
        <v>93.37</v>
      </c>
      <c r="E1079" t="s">
        <v>604</v>
      </c>
    </row>
    <row r="1080" spans="1:5" x14ac:dyDescent="0.3">
      <c r="A1080">
        <v>1079</v>
      </c>
      <c r="B1080">
        <v>360</v>
      </c>
      <c r="C1080" t="s">
        <v>621</v>
      </c>
      <c r="D1080">
        <v>7</v>
      </c>
      <c r="E1080" t="s">
        <v>622</v>
      </c>
    </row>
    <row r="1081" spans="1:5" x14ac:dyDescent="0.3">
      <c r="A1081">
        <v>1080</v>
      </c>
      <c r="B1081">
        <v>360</v>
      </c>
      <c r="C1081" t="s">
        <v>609</v>
      </c>
      <c r="D1081">
        <v>16.350000000000001</v>
      </c>
      <c r="E1081" t="s">
        <v>610</v>
      </c>
    </row>
    <row r="1082" spans="1:5" x14ac:dyDescent="0.3">
      <c r="A1082">
        <v>1081</v>
      </c>
      <c r="B1082">
        <v>361</v>
      </c>
      <c r="C1082" t="s">
        <v>621</v>
      </c>
      <c r="D1082">
        <v>5.36</v>
      </c>
      <c r="E1082" t="s">
        <v>622</v>
      </c>
    </row>
    <row r="1083" spans="1:5" x14ac:dyDescent="0.3">
      <c r="A1083">
        <v>1082</v>
      </c>
      <c r="B1083">
        <v>361</v>
      </c>
      <c r="C1083" t="s">
        <v>615</v>
      </c>
      <c r="D1083">
        <v>300.27</v>
      </c>
      <c r="E1083" t="s">
        <v>616</v>
      </c>
    </row>
    <row r="1084" spans="1:5" x14ac:dyDescent="0.3">
      <c r="A1084">
        <v>1083</v>
      </c>
      <c r="B1084">
        <v>361</v>
      </c>
      <c r="C1084" t="s">
        <v>609</v>
      </c>
      <c r="D1084">
        <v>8.66</v>
      </c>
      <c r="E1084" t="s">
        <v>610</v>
      </c>
    </row>
    <row r="1085" spans="1:5" x14ac:dyDescent="0.3">
      <c r="A1085">
        <v>1084</v>
      </c>
      <c r="B1085">
        <v>362</v>
      </c>
      <c r="C1085" t="s">
        <v>609</v>
      </c>
      <c r="D1085">
        <v>12.36</v>
      </c>
      <c r="E1085" t="s">
        <v>610</v>
      </c>
    </row>
    <row r="1086" spans="1:5" x14ac:dyDescent="0.3">
      <c r="A1086">
        <v>1085</v>
      </c>
      <c r="B1086">
        <v>362</v>
      </c>
      <c r="C1086" t="s">
        <v>607</v>
      </c>
      <c r="D1086">
        <v>136.65</v>
      </c>
      <c r="E1086" t="s">
        <v>608</v>
      </c>
    </row>
    <row r="1087" spans="1:5" x14ac:dyDescent="0.3">
      <c r="A1087">
        <v>1086</v>
      </c>
      <c r="B1087">
        <v>362</v>
      </c>
      <c r="C1087" t="s">
        <v>619</v>
      </c>
      <c r="D1087">
        <v>0.68</v>
      </c>
      <c r="E1087" t="s">
        <v>620</v>
      </c>
    </row>
    <row r="1088" spans="1:5" x14ac:dyDescent="0.3">
      <c r="A1088">
        <v>1087</v>
      </c>
      <c r="B1088">
        <v>363</v>
      </c>
      <c r="C1088" t="s">
        <v>621</v>
      </c>
      <c r="D1088">
        <v>11.52</v>
      </c>
      <c r="E1088" t="s">
        <v>622</v>
      </c>
    </row>
    <row r="1089" spans="1:5" x14ac:dyDescent="0.3">
      <c r="A1089">
        <v>1088</v>
      </c>
      <c r="B1089">
        <v>363</v>
      </c>
      <c r="C1089" t="s">
        <v>607</v>
      </c>
      <c r="D1089">
        <v>136.59</v>
      </c>
      <c r="E1089" t="s">
        <v>608</v>
      </c>
    </row>
    <row r="1090" spans="1:5" x14ac:dyDescent="0.3">
      <c r="A1090">
        <v>1089</v>
      </c>
      <c r="B1090">
        <v>363</v>
      </c>
      <c r="C1090" t="s">
        <v>605</v>
      </c>
      <c r="D1090">
        <v>265.62</v>
      </c>
      <c r="E1090" t="s">
        <v>606</v>
      </c>
    </row>
    <row r="1091" spans="1:5" x14ac:dyDescent="0.3">
      <c r="A1091">
        <v>1090</v>
      </c>
      <c r="B1091">
        <v>364</v>
      </c>
      <c r="C1091" t="s">
        <v>607</v>
      </c>
      <c r="D1091">
        <v>137.62</v>
      </c>
      <c r="E1091" t="s">
        <v>608</v>
      </c>
    </row>
    <row r="1092" spans="1:5" x14ac:dyDescent="0.3">
      <c r="A1092">
        <v>1091</v>
      </c>
      <c r="B1092">
        <v>364</v>
      </c>
      <c r="C1092" t="s">
        <v>615</v>
      </c>
      <c r="D1092">
        <v>134.85</v>
      </c>
      <c r="E1092" t="s">
        <v>616</v>
      </c>
    </row>
    <row r="1093" spans="1:5" x14ac:dyDescent="0.3">
      <c r="A1093">
        <v>1092</v>
      </c>
      <c r="B1093">
        <v>364</v>
      </c>
      <c r="C1093" t="s">
        <v>605</v>
      </c>
      <c r="D1093">
        <v>280.23</v>
      </c>
      <c r="E1093" t="s">
        <v>606</v>
      </c>
    </row>
    <row r="1094" spans="1:5" x14ac:dyDescent="0.3">
      <c r="A1094">
        <v>1093</v>
      </c>
      <c r="B1094">
        <v>365</v>
      </c>
      <c r="C1094" t="s">
        <v>609</v>
      </c>
      <c r="D1094">
        <v>16.88</v>
      </c>
      <c r="E1094" t="s">
        <v>610</v>
      </c>
    </row>
    <row r="1095" spans="1:5" x14ac:dyDescent="0.3">
      <c r="A1095">
        <v>1094</v>
      </c>
      <c r="B1095">
        <v>365</v>
      </c>
      <c r="C1095" t="s">
        <v>611</v>
      </c>
      <c r="D1095">
        <v>13.59</v>
      </c>
      <c r="E1095" t="s">
        <v>612</v>
      </c>
    </row>
    <row r="1096" spans="1:5" x14ac:dyDescent="0.3">
      <c r="A1096">
        <v>1095</v>
      </c>
      <c r="B1096">
        <v>365</v>
      </c>
      <c r="C1096" t="s">
        <v>607</v>
      </c>
      <c r="D1096">
        <v>133.72999999999999</v>
      </c>
      <c r="E1096" t="s">
        <v>608</v>
      </c>
    </row>
    <row r="1097" spans="1:5" x14ac:dyDescent="0.3">
      <c r="A1097">
        <v>1096</v>
      </c>
      <c r="B1097">
        <v>366</v>
      </c>
      <c r="C1097" t="s">
        <v>609</v>
      </c>
      <c r="D1097">
        <v>4.1500000000000004</v>
      </c>
      <c r="E1097" t="s">
        <v>610</v>
      </c>
    </row>
    <row r="1098" spans="1:5" x14ac:dyDescent="0.3">
      <c r="A1098">
        <v>1097</v>
      </c>
      <c r="B1098">
        <v>366</v>
      </c>
      <c r="C1098" t="s">
        <v>605</v>
      </c>
      <c r="D1098">
        <v>138.65</v>
      </c>
      <c r="E1098" t="s">
        <v>606</v>
      </c>
    </row>
    <row r="1099" spans="1:5" x14ac:dyDescent="0.3">
      <c r="A1099">
        <v>1098</v>
      </c>
      <c r="B1099">
        <v>366</v>
      </c>
      <c r="C1099" t="s">
        <v>615</v>
      </c>
      <c r="D1099">
        <v>253.1</v>
      </c>
      <c r="E1099" t="s">
        <v>616</v>
      </c>
    </row>
    <row r="1100" spans="1:5" x14ac:dyDescent="0.3">
      <c r="A1100">
        <v>1099</v>
      </c>
      <c r="B1100">
        <v>367</v>
      </c>
      <c r="C1100" t="s">
        <v>621</v>
      </c>
      <c r="D1100">
        <v>8.94</v>
      </c>
      <c r="E1100" t="s">
        <v>622</v>
      </c>
    </row>
    <row r="1101" spans="1:5" x14ac:dyDescent="0.3">
      <c r="A1101">
        <v>1100</v>
      </c>
      <c r="B1101">
        <v>367</v>
      </c>
      <c r="C1101" t="s">
        <v>605</v>
      </c>
      <c r="D1101">
        <v>228.73</v>
      </c>
      <c r="E1101" t="s">
        <v>606</v>
      </c>
    </row>
    <row r="1102" spans="1:5" x14ac:dyDescent="0.3">
      <c r="A1102">
        <v>1101</v>
      </c>
      <c r="B1102">
        <v>367</v>
      </c>
      <c r="C1102" t="s">
        <v>603</v>
      </c>
      <c r="D1102">
        <v>244.89</v>
      </c>
      <c r="E1102" t="s">
        <v>604</v>
      </c>
    </row>
    <row r="1103" spans="1:5" x14ac:dyDescent="0.3">
      <c r="A1103">
        <v>1102</v>
      </c>
      <c r="B1103">
        <v>368</v>
      </c>
      <c r="C1103" t="s">
        <v>621</v>
      </c>
      <c r="D1103">
        <v>9.94</v>
      </c>
      <c r="E1103" t="s">
        <v>622</v>
      </c>
    </row>
    <row r="1104" spans="1:5" x14ac:dyDescent="0.3">
      <c r="A1104">
        <v>1103</v>
      </c>
      <c r="B1104">
        <v>368</v>
      </c>
      <c r="C1104" t="s">
        <v>607</v>
      </c>
      <c r="D1104">
        <v>130.87</v>
      </c>
      <c r="E1104" t="s">
        <v>608</v>
      </c>
    </row>
    <row r="1105" spans="1:5" x14ac:dyDescent="0.3">
      <c r="A1105">
        <v>1104</v>
      </c>
      <c r="B1105">
        <v>368</v>
      </c>
      <c r="C1105" t="s">
        <v>603</v>
      </c>
      <c r="D1105">
        <v>148.94</v>
      </c>
      <c r="E1105" t="s">
        <v>604</v>
      </c>
    </row>
    <row r="1106" spans="1:5" x14ac:dyDescent="0.3">
      <c r="A1106">
        <v>1105</v>
      </c>
      <c r="B1106">
        <v>369</v>
      </c>
      <c r="C1106" t="s">
        <v>615</v>
      </c>
      <c r="D1106">
        <v>328.38</v>
      </c>
      <c r="E1106" t="s">
        <v>616</v>
      </c>
    </row>
    <row r="1107" spans="1:5" x14ac:dyDescent="0.3">
      <c r="A1107">
        <v>1106</v>
      </c>
      <c r="B1107">
        <v>369</v>
      </c>
      <c r="C1107" t="s">
        <v>605</v>
      </c>
      <c r="D1107">
        <v>164.35</v>
      </c>
      <c r="E1107" t="s">
        <v>606</v>
      </c>
    </row>
    <row r="1108" spans="1:5" x14ac:dyDescent="0.3">
      <c r="A1108">
        <v>1107</v>
      </c>
      <c r="B1108">
        <v>369</v>
      </c>
      <c r="C1108" t="s">
        <v>619</v>
      </c>
      <c r="D1108">
        <v>1.18</v>
      </c>
      <c r="E1108" t="s">
        <v>620</v>
      </c>
    </row>
    <row r="1109" spans="1:5" x14ac:dyDescent="0.3">
      <c r="A1109">
        <v>1108</v>
      </c>
      <c r="B1109">
        <v>370</v>
      </c>
      <c r="C1109" t="s">
        <v>619</v>
      </c>
      <c r="D1109">
        <v>2.81</v>
      </c>
      <c r="E1109" t="s">
        <v>620</v>
      </c>
    </row>
    <row r="1110" spans="1:5" x14ac:dyDescent="0.3">
      <c r="A1110">
        <v>1109</v>
      </c>
      <c r="B1110">
        <v>370</v>
      </c>
      <c r="C1110" t="s">
        <v>607</v>
      </c>
      <c r="D1110">
        <v>134.05000000000001</v>
      </c>
      <c r="E1110" t="s">
        <v>608</v>
      </c>
    </row>
    <row r="1111" spans="1:5" x14ac:dyDescent="0.3">
      <c r="A1111">
        <v>1110</v>
      </c>
      <c r="B1111">
        <v>370</v>
      </c>
      <c r="C1111" t="s">
        <v>617</v>
      </c>
      <c r="D1111">
        <v>15.15</v>
      </c>
      <c r="E1111" t="s">
        <v>618</v>
      </c>
    </row>
    <row r="1112" spans="1:5" x14ac:dyDescent="0.3">
      <c r="A1112">
        <v>1111</v>
      </c>
      <c r="B1112">
        <v>371</v>
      </c>
      <c r="C1112" t="s">
        <v>603</v>
      </c>
      <c r="D1112">
        <v>149.94</v>
      </c>
      <c r="E1112" t="s">
        <v>604</v>
      </c>
    </row>
    <row r="1113" spans="1:5" x14ac:dyDescent="0.3">
      <c r="A1113">
        <v>1112</v>
      </c>
      <c r="B1113">
        <v>371</v>
      </c>
      <c r="C1113" t="s">
        <v>611</v>
      </c>
      <c r="D1113">
        <v>13.26</v>
      </c>
      <c r="E1113" t="s">
        <v>612</v>
      </c>
    </row>
    <row r="1114" spans="1:5" x14ac:dyDescent="0.3">
      <c r="A1114">
        <v>1113</v>
      </c>
      <c r="B1114">
        <v>371</v>
      </c>
      <c r="C1114" t="s">
        <v>609</v>
      </c>
      <c r="D1114">
        <v>2.23</v>
      </c>
      <c r="E1114" t="s">
        <v>610</v>
      </c>
    </row>
    <row r="1115" spans="1:5" x14ac:dyDescent="0.3">
      <c r="A1115">
        <v>1114</v>
      </c>
      <c r="B1115">
        <v>372</v>
      </c>
      <c r="C1115" t="s">
        <v>617</v>
      </c>
      <c r="D1115">
        <v>4.21</v>
      </c>
      <c r="E1115" t="s">
        <v>618</v>
      </c>
    </row>
    <row r="1116" spans="1:5" x14ac:dyDescent="0.3">
      <c r="A1116">
        <v>1115</v>
      </c>
      <c r="B1116">
        <v>372</v>
      </c>
      <c r="C1116" t="s">
        <v>621</v>
      </c>
      <c r="D1116">
        <v>7.95</v>
      </c>
      <c r="E1116" t="s">
        <v>622</v>
      </c>
    </row>
    <row r="1117" spans="1:5" x14ac:dyDescent="0.3">
      <c r="A1117">
        <v>1116</v>
      </c>
      <c r="B1117">
        <v>372</v>
      </c>
      <c r="C1117" t="s">
        <v>605</v>
      </c>
      <c r="D1117">
        <v>192.28</v>
      </c>
      <c r="E1117" t="s">
        <v>606</v>
      </c>
    </row>
    <row r="1118" spans="1:5" x14ac:dyDescent="0.3">
      <c r="A1118">
        <v>1117</v>
      </c>
      <c r="B1118">
        <v>373</v>
      </c>
      <c r="C1118" t="s">
        <v>619</v>
      </c>
      <c r="D1118">
        <v>2.2200000000000002</v>
      </c>
      <c r="E1118" t="s">
        <v>620</v>
      </c>
    </row>
    <row r="1119" spans="1:5" x14ac:dyDescent="0.3">
      <c r="A1119">
        <v>1118</v>
      </c>
      <c r="B1119">
        <v>373</v>
      </c>
      <c r="C1119" t="s">
        <v>607</v>
      </c>
      <c r="D1119">
        <v>128.47999999999999</v>
      </c>
      <c r="E1119" t="s">
        <v>608</v>
      </c>
    </row>
    <row r="1120" spans="1:5" x14ac:dyDescent="0.3">
      <c r="A1120">
        <v>1119</v>
      </c>
      <c r="B1120">
        <v>373</v>
      </c>
      <c r="C1120" t="s">
        <v>611</v>
      </c>
      <c r="D1120">
        <v>7.77</v>
      </c>
      <c r="E1120" t="s">
        <v>612</v>
      </c>
    </row>
    <row r="1121" spans="1:5" x14ac:dyDescent="0.3">
      <c r="A1121">
        <v>1120</v>
      </c>
      <c r="B1121">
        <v>374</v>
      </c>
      <c r="C1121" t="s">
        <v>611</v>
      </c>
      <c r="D1121">
        <v>10.94</v>
      </c>
      <c r="E1121" t="s">
        <v>612</v>
      </c>
    </row>
    <row r="1122" spans="1:5" x14ac:dyDescent="0.3">
      <c r="A1122">
        <v>1121</v>
      </c>
      <c r="B1122">
        <v>374</v>
      </c>
      <c r="C1122" t="s">
        <v>619</v>
      </c>
      <c r="D1122">
        <v>1.6</v>
      </c>
      <c r="E1122" t="s">
        <v>620</v>
      </c>
    </row>
    <row r="1123" spans="1:5" x14ac:dyDescent="0.3">
      <c r="A1123">
        <v>1122</v>
      </c>
      <c r="B1123">
        <v>374</v>
      </c>
      <c r="C1123" t="s">
        <v>607</v>
      </c>
      <c r="D1123">
        <v>147.97999999999999</v>
      </c>
      <c r="E1123" t="s">
        <v>608</v>
      </c>
    </row>
    <row r="1124" spans="1:5" x14ac:dyDescent="0.3">
      <c r="A1124">
        <v>1123</v>
      </c>
      <c r="B1124">
        <v>375</v>
      </c>
      <c r="C1124" t="s">
        <v>605</v>
      </c>
      <c r="D1124">
        <v>122.03</v>
      </c>
      <c r="E1124" t="s">
        <v>606</v>
      </c>
    </row>
    <row r="1125" spans="1:5" x14ac:dyDescent="0.3">
      <c r="A1125">
        <v>1124</v>
      </c>
      <c r="B1125">
        <v>375</v>
      </c>
      <c r="C1125" t="s">
        <v>621</v>
      </c>
      <c r="D1125">
        <v>5.43</v>
      </c>
      <c r="E1125" t="s">
        <v>622</v>
      </c>
    </row>
    <row r="1126" spans="1:5" x14ac:dyDescent="0.3">
      <c r="A1126">
        <v>1125</v>
      </c>
      <c r="B1126">
        <v>375</v>
      </c>
      <c r="C1126" t="s">
        <v>617</v>
      </c>
      <c r="D1126">
        <v>10.37</v>
      </c>
      <c r="E1126" t="s">
        <v>618</v>
      </c>
    </row>
    <row r="1127" spans="1:5" x14ac:dyDescent="0.3">
      <c r="A1127">
        <v>1126</v>
      </c>
      <c r="B1127">
        <v>376</v>
      </c>
      <c r="C1127" t="s">
        <v>621</v>
      </c>
      <c r="D1127">
        <v>11.81</v>
      </c>
      <c r="E1127" t="s">
        <v>622</v>
      </c>
    </row>
    <row r="1128" spans="1:5" x14ac:dyDescent="0.3">
      <c r="A1128">
        <v>1127</v>
      </c>
      <c r="B1128">
        <v>376</v>
      </c>
      <c r="C1128" t="s">
        <v>603</v>
      </c>
      <c r="D1128">
        <v>248.84</v>
      </c>
      <c r="E1128" t="s">
        <v>604</v>
      </c>
    </row>
    <row r="1129" spans="1:5" x14ac:dyDescent="0.3">
      <c r="A1129">
        <v>1128</v>
      </c>
      <c r="B1129">
        <v>376</v>
      </c>
      <c r="C1129" t="s">
        <v>611</v>
      </c>
      <c r="D1129">
        <v>12.08</v>
      </c>
      <c r="E1129" t="s">
        <v>612</v>
      </c>
    </row>
    <row r="1130" spans="1:5" x14ac:dyDescent="0.3">
      <c r="A1130">
        <v>1129</v>
      </c>
      <c r="B1130">
        <v>377</v>
      </c>
      <c r="C1130" t="s">
        <v>621</v>
      </c>
      <c r="D1130">
        <v>5.27</v>
      </c>
      <c r="E1130" t="s">
        <v>622</v>
      </c>
    </row>
    <row r="1131" spans="1:5" x14ac:dyDescent="0.3">
      <c r="A1131">
        <v>1130</v>
      </c>
      <c r="B1131">
        <v>377</v>
      </c>
      <c r="C1131" t="s">
        <v>609</v>
      </c>
      <c r="D1131">
        <v>14.86</v>
      </c>
      <c r="E1131" t="s">
        <v>610</v>
      </c>
    </row>
    <row r="1132" spans="1:5" x14ac:dyDescent="0.3">
      <c r="A1132">
        <v>1131</v>
      </c>
      <c r="B1132">
        <v>377</v>
      </c>
      <c r="C1132" t="s">
        <v>603</v>
      </c>
      <c r="D1132">
        <v>236.42</v>
      </c>
      <c r="E1132" t="s">
        <v>604</v>
      </c>
    </row>
    <row r="1133" spans="1:5" x14ac:dyDescent="0.3">
      <c r="A1133">
        <v>1132</v>
      </c>
      <c r="B1133">
        <v>378</v>
      </c>
      <c r="C1133" t="s">
        <v>619</v>
      </c>
      <c r="D1133">
        <v>2.31</v>
      </c>
      <c r="E1133" t="s">
        <v>620</v>
      </c>
    </row>
    <row r="1134" spans="1:5" x14ac:dyDescent="0.3">
      <c r="A1134">
        <v>1133</v>
      </c>
      <c r="B1134">
        <v>378</v>
      </c>
      <c r="C1134" t="s">
        <v>603</v>
      </c>
      <c r="D1134">
        <v>205.78</v>
      </c>
      <c r="E1134" t="s">
        <v>604</v>
      </c>
    </row>
    <row r="1135" spans="1:5" x14ac:dyDescent="0.3">
      <c r="A1135">
        <v>1134</v>
      </c>
      <c r="B1135">
        <v>378</v>
      </c>
      <c r="C1135" t="s">
        <v>609</v>
      </c>
      <c r="D1135">
        <v>4.4000000000000004</v>
      </c>
      <c r="E1135" t="s">
        <v>610</v>
      </c>
    </row>
    <row r="1136" spans="1:5" x14ac:dyDescent="0.3">
      <c r="A1136">
        <v>1135</v>
      </c>
      <c r="B1136">
        <v>379</v>
      </c>
      <c r="C1136" t="s">
        <v>615</v>
      </c>
      <c r="D1136">
        <v>110.32</v>
      </c>
      <c r="E1136" t="s">
        <v>616</v>
      </c>
    </row>
    <row r="1137" spans="1:5" x14ac:dyDescent="0.3">
      <c r="A1137">
        <v>1136</v>
      </c>
      <c r="B1137">
        <v>379</v>
      </c>
      <c r="C1137" t="s">
        <v>611</v>
      </c>
      <c r="D1137">
        <v>8.4499999999999993</v>
      </c>
      <c r="E1137" t="s">
        <v>612</v>
      </c>
    </row>
    <row r="1138" spans="1:5" x14ac:dyDescent="0.3">
      <c r="A1138">
        <v>1137</v>
      </c>
      <c r="B1138">
        <v>379</v>
      </c>
      <c r="C1138" t="s">
        <v>619</v>
      </c>
      <c r="D1138">
        <v>0.79</v>
      </c>
      <c r="E1138" t="s">
        <v>620</v>
      </c>
    </row>
    <row r="1139" spans="1:5" x14ac:dyDescent="0.3">
      <c r="A1139">
        <v>1138</v>
      </c>
      <c r="B1139">
        <v>380</v>
      </c>
      <c r="C1139" t="s">
        <v>605</v>
      </c>
      <c r="D1139">
        <v>216.31</v>
      </c>
      <c r="E1139" t="s">
        <v>606</v>
      </c>
    </row>
    <row r="1140" spans="1:5" x14ac:dyDescent="0.3">
      <c r="A1140">
        <v>1139</v>
      </c>
      <c r="B1140">
        <v>380</v>
      </c>
      <c r="C1140" t="s">
        <v>617</v>
      </c>
      <c r="D1140">
        <v>15.39</v>
      </c>
      <c r="E1140" t="s">
        <v>618</v>
      </c>
    </row>
    <row r="1141" spans="1:5" x14ac:dyDescent="0.3">
      <c r="A1141">
        <v>1140</v>
      </c>
      <c r="B1141">
        <v>380</v>
      </c>
      <c r="C1141" t="s">
        <v>609</v>
      </c>
      <c r="D1141">
        <v>7.04</v>
      </c>
      <c r="E1141" t="s">
        <v>610</v>
      </c>
    </row>
    <row r="1142" spans="1:5" x14ac:dyDescent="0.3">
      <c r="A1142">
        <v>1141</v>
      </c>
      <c r="B1142">
        <v>381</v>
      </c>
      <c r="C1142" t="s">
        <v>609</v>
      </c>
      <c r="D1142">
        <v>14.93</v>
      </c>
      <c r="E1142" t="s">
        <v>610</v>
      </c>
    </row>
    <row r="1143" spans="1:5" x14ac:dyDescent="0.3">
      <c r="A1143">
        <v>1142</v>
      </c>
      <c r="B1143">
        <v>381</v>
      </c>
      <c r="C1143" t="s">
        <v>617</v>
      </c>
      <c r="D1143">
        <v>9.4499999999999993</v>
      </c>
      <c r="E1143" t="s">
        <v>618</v>
      </c>
    </row>
    <row r="1144" spans="1:5" x14ac:dyDescent="0.3">
      <c r="A1144">
        <v>1143</v>
      </c>
      <c r="B1144">
        <v>381</v>
      </c>
      <c r="C1144" t="s">
        <v>613</v>
      </c>
      <c r="D1144">
        <v>4.54</v>
      </c>
      <c r="E1144" t="s">
        <v>614</v>
      </c>
    </row>
    <row r="1145" spans="1:5" x14ac:dyDescent="0.3">
      <c r="A1145">
        <v>1144</v>
      </c>
      <c r="B1145">
        <v>382</v>
      </c>
      <c r="C1145" t="s">
        <v>607</v>
      </c>
      <c r="D1145">
        <v>131.81</v>
      </c>
      <c r="E1145" t="s">
        <v>608</v>
      </c>
    </row>
    <row r="1146" spans="1:5" x14ac:dyDescent="0.3">
      <c r="A1146">
        <v>1145</v>
      </c>
      <c r="B1146">
        <v>382</v>
      </c>
      <c r="C1146" t="s">
        <v>619</v>
      </c>
      <c r="D1146">
        <v>2.9</v>
      </c>
      <c r="E1146" t="s">
        <v>620</v>
      </c>
    </row>
    <row r="1147" spans="1:5" x14ac:dyDescent="0.3">
      <c r="A1147">
        <v>1146</v>
      </c>
      <c r="B1147">
        <v>382</v>
      </c>
      <c r="C1147" t="s">
        <v>617</v>
      </c>
      <c r="D1147">
        <v>14.54</v>
      </c>
      <c r="E1147" t="s">
        <v>618</v>
      </c>
    </row>
    <row r="1148" spans="1:5" x14ac:dyDescent="0.3">
      <c r="A1148">
        <v>1147</v>
      </c>
      <c r="B1148">
        <v>383</v>
      </c>
      <c r="C1148" t="s">
        <v>617</v>
      </c>
      <c r="D1148">
        <v>10.59</v>
      </c>
      <c r="E1148" t="s">
        <v>618</v>
      </c>
    </row>
    <row r="1149" spans="1:5" x14ac:dyDescent="0.3">
      <c r="A1149">
        <v>1148</v>
      </c>
      <c r="B1149">
        <v>383</v>
      </c>
      <c r="C1149" t="s">
        <v>607</v>
      </c>
      <c r="D1149">
        <v>144.86000000000001</v>
      </c>
      <c r="E1149" t="s">
        <v>608</v>
      </c>
    </row>
    <row r="1150" spans="1:5" x14ac:dyDescent="0.3">
      <c r="A1150">
        <v>1149</v>
      </c>
      <c r="B1150">
        <v>383</v>
      </c>
      <c r="C1150" t="s">
        <v>611</v>
      </c>
      <c r="D1150">
        <v>10.27</v>
      </c>
      <c r="E1150" t="s">
        <v>612</v>
      </c>
    </row>
    <row r="1151" spans="1:5" x14ac:dyDescent="0.3">
      <c r="A1151">
        <v>1150</v>
      </c>
      <c r="B1151">
        <v>384</v>
      </c>
      <c r="C1151" t="s">
        <v>619</v>
      </c>
      <c r="D1151">
        <v>3.59</v>
      </c>
      <c r="E1151" t="s">
        <v>620</v>
      </c>
    </row>
    <row r="1152" spans="1:5" x14ac:dyDescent="0.3">
      <c r="A1152">
        <v>1151</v>
      </c>
      <c r="B1152">
        <v>384</v>
      </c>
      <c r="C1152" t="s">
        <v>613</v>
      </c>
      <c r="D1152">
        <v>4.24</v>
      </c>
      <c r="E1152" t="s">
        <v>614</v>
      </c>
    </row>
    <row r="1153" spans="1:5" x14ac:dyDescent="0.3">
      <c r="A1153">
        <v>1152</v>
      </c>
      <c r="B1153">
        <v>384</v>
      </c>
      <c r="C1153" t="s">
        <v>607</v>
      </c>
      <c r="D1153">
        <v>144.44</v>
      </c>
      <c r="E1153" t="s">
        <v>608</v>
      </c>
    </row>
    <row r="1154" spans="1:5" x14ac:dyDescent="0.3">
      <c r="A1154">
        <v>1153</v>
      </c>
      <c r="B1154">
        <v>385</v>
      </c>
      <c r="C1154" t="s">
        <v>615</v>
      </c>
      <c r="D1154">
        <v>250.26</v>
      </c>
      <c r="E1154" t="s">
        <v>616</v>
      </c>
    </row>
    <row r="1155" spans="1:5" x14ac:dyDescent="0.3">
      <c r="A1155">
        <v>1154</v>
      </c>
      <c r="B1155">
        <v>385</v>
      </c>
      <c r="C1155" t="s">
        <v>611</v>
      </c>
      <c r="D1155">
        <v>12.95</v>
      </c>
      <c r="E1155" t="s">
        <v>612</v>
      </c>
    </row>
    <row r="1156" spans="1:5" x14ac:dyDescent="0.3">
      <c r="A1156">
        <v>1155</v>
      </c>
      <c r="B1156">
        <v>385</v>
      </c>
      <c r="C1156" t="s">
        <v>607</v>
      </c>
      <c r="D1156">
        <v>136.22999999999999</v>
      </c>
      <c r="E1156" t="s">
        <v>608</v>
      </c>
    </row>
    <row r="1157" spans="1:5" x14ac:dyDescent="0.3">
      <c r="A1157">
        <v>1156</v>
      </c>
      <c r="B1157">
        <v>386</v>
      </c>
      <c r="C1157" t="s">
        <v>611</v>
      </c>
      <c r="D1157">
        <v>16.34</v>
      </c>
      <c r="E1157" t="s">
        <v>612</v>
      </c>
    </row>
    <row r="1158" spans="1:5" x14ac:dyDescent="0.3">
      <c r="A1158">
        <v>1157</v>
      </c>
      <c r="B1158">
        <v>386</v>
      </c>
      <c r="C1158" t="s">
        <v>613</v>
      </c>
      <c r="D1158">
        <v>6.06</v>
      </c>
      <c r="E1158" t="s">
        <v>614</v>
      </c>
    </row>
    <row r="1159" spans="1:5" x14ac:dyDescent="0.3">
      <c r="A1159">
        <v>1158</v>
      </c>
      <c r="B1159">
        <v>386</v>
      </c>
      <c r="C1159" t="s">
        <v>605</v>
      </c>
      <c r="D1159">
        <v>170.61</v>
      </c>
      <c r="E1159" t="s">
        <v>606</v>
      </c>
    </row>
    <row r="1160" spans="1:5" x14ac:dyDescent="0.3">
      <c r="A1160">
        <v>1159</v>
      </c>
      <c r="B1160">
        <v>387</v>
      </c>
      <c r="C1160" t="s">
        <v>607</v>
      </c>
      <c r="D1160">
        <v>136.76</v>
      </c>
      <c r="E1160" t="s">
        <v>608</v>
      </c>
    </row>
    <row r="1161" spans="1:5" x14ac:dyDescent="0.3">
      <c r="A1161">
        <v>1160</v>
      </c>
      <c r="B1161">
        <v>387</v>
      </c>
      <c r="C1161" t="s">
        <v>617</v>
      </c>
      <c r="D1161">
        <v>4.49</v>
      </c>
      <c r="E1161" t="s">
        <v>618</v>
      </c>
    </row>
    <row r="1162" spans="1:5" x14ac:dyDescent="0.3">
      <c r="A1162">
        <v>1161</v>
      </c>
      <c r="B1162">
        <v>387</v>
      </c>
      <c r="C1162" t="s">
        <v>615</v>
      </c>
      <c r="D1162">
        <v>383.16</v>
      </c>
      <c r="E1162" t="s">
        <v>616</v>
      </c>
    </row>
    <row r="1163" spans="1:5" x14ac:dyDescent="0.3">
      <c r="A1163">
        <v>1162</v>
      </c>
      <c r="B1163">
        <v>388</v>
      </c>
      <c r="C1163" t="s">
        <v>607</v>
      </c>
      <c r="D1163">
        <v>133.4</v>
      </c>
      <c r="E1163" t="s">
        <v>608</v>
      </c>
    </row>
    <row r="1164" spans="1:5" x14ac:dyDescent="0.3">
      <c r="A1164">
        <v>1163</v>
      </c>
      <c r="B1164">
        <v>388</v>
      </c>
      <c r="C1164" t="s">
        <v>605</v>
      </c>
      <c r="D1164">
        <v>163.04</v>
      </c>
      <c r="E1164" t="s">
        <v>606</v>
      </c>
    </row>
    <row r="1165" spans="1:5" x14ac:dyDescent="0.3">
      <c r="A1165">
        <v>1164</v>
      </c>
      <c r="B1165">
        <v>388</v>
      </c>
      <c r="C1165" t="s">
        <v>615</v>
      </c>
      <c r="D1165">
        <v>230.08</v>
      </c>
      <c r="E1165" t="s">
        <v>616</v>
      </c>
    </row>
    <row r="1166" spans="1:5" x14ac:dyDescent="0.3">
      <c r="A1166">
        <v>1165</v>
      </c>
      <c r="B1166">
        <v>389</v>
      </c>
      <c r="C1166" t="s">
        <v>605</v>
      </c>
      <c r="D1166">
        <v>121.93</v>
      </c>
      <c r="E1166" t="s">
        <v>606</v>
      </c>
    </row>
    <row r="1167" spans="1:5" x14ac:dyDescent="0.3">
      <c r="A1167">
        <v>1166</v>
      </c>
      <c r="B1167">
        <v>389</v>
      </c>
      <c r="C1167" t="s">
        <v>615</v>
      </c>
      <c r="D1167">
        <v>340.9</v>
      </c>
      <c r="E1167" t="s">
        <v>616</v>
      </c>
    </row>
    <row r="1168" spans="1:5" x14ac:dyDescent="0.3">
      <c r="A1168">
        <v>1167</v>
      </c>
      <c r="B1168">
        <v>389</v>
      </c>
      <c r="C1168" t="s">
        <v>611</v>
      </c>
      <c r="D1168">
        <v>14.53</v>
      </c>
      <c r="E1168" t="s">
        <v>612</v>
      </c>
    </row>
    <row r="1169" spans="1:5" x14ac:dyDescent="0.3">
      <c r="A1169">
        <v>1168</v>
      </c>
      <c r="B1169">
        <v>390</v>
      </c>
      <c r="C1169" t="s">
        <v>619</v>
      </c>
      <c r="D1169">
        <v>3.65</v>
      </c>
      <c r="E1169" t="s">
        <v>620</v>
      </c>
    </row>
    <row r="1170" spans="1:5" x14ac:dyDescent="0.3">
      <c r="A1170">
        <v>1169</v>
      </c>
      <c r="B1170">
        <v>390</v>
      </c>
      <c r="C1170" t="s">
        <v>613</v>
      </c>
      <c r="D1170">
        <v>4.71</v>
      </c>
      <c r="E1170" t="s">
        <v>614</v>
      </c>
    </row>
    <row r="1171" spans="1:5" x14ac:dyDescent="0.3">
      <c r="A1171">
        <v>1170</v>
      </c>
      <c r="B1171">
        <v>390</v>
      </c>
      <c r="C1171" t="s">
        <v>615</v>
      </c>
      <c r="D1171">
        <v>234.96</v>
      </c>
      <c r="E1171" t="s">
        <v>616</v>
      </c>
    </row>
    <row r="1172" spans="1:5" x14ac:dyDescent="0.3">
      <c r="A1172">
        <v>1171</v>
      </c>
      <c r="B1172">
        <v>391</v>
      </c>
      <c r="C1172" t="s">
        <v>621</v>
      </c>
      <c r="D1172">
        <v>4.82</v>
      </c>
      <c r="E1172" t="s">
        <v>622</v>
      </c>
    </row>
    <row r="1173" spans="1:5" x14ac:dyDescent="0.3">
      <c r="A1173">
        <v>1172</v>
      </c>
      <c r="B1173">
        <v>391</v>
      </c>
      <c r="C1173" t="s">
        <v>619</v>
      </c>
      <c r="D1173">
        <v>1.47</v>
      </c>
      <c r="E1173" t="s">
        <v>620</v>
      </c>
    </row>
    <row r="1174" spans="1:5" x14ac:dyDescent="0.3">
      <c r="A1174">
        <v>1173</v>
      </c>
      <c r="B1174">
        <v>391</v>
      </c>
      <c r="C1174" t="s">
        <v>609</v>
      </c>
      <c r="D1174">
        <v>12.2</v>
      </c>
      <c r="E1174" t="s">
        <v>610</v>
      </c>
    </row>
    <row r="1175" spans="1:5" x14ac:dyDescent="0.3">
      <c r="A1175">
        <v>1174</v>
      </c>
      <c r="B1175">
        <v>392</v>
      </c>
      <c r="C1175" t="s">
        <v>611</v>
      </c>
      <c r="D1175">
        <v>10.34</v>
      </c>
      <c r="E1175" t="s">
        <v>612</v>
      </c>
    </row>
    <row r="1176" spans="1:5" x14ac:dyDescent="0.3">
      <c r="A1176">
        <v>1175</v>
      </c>
      <c r="B1176">
        <v>392</v>
      </c>
      <c r="C1176" t="s">
        <v>607</v>
      </c>
      <c r="D1176">
        <v>135.04</v>
      </c>
      <c r="E1176" t="s">
        <v>608</v>
      </c>
    </row>
    <row r="1177" spans="1:5" x14ac:dyDescent="0.3">
      <c r="A1177">
        <v>1176</v>
      </c>
      <c r="B1177">
        <v>392</v>
      </c>
      <c r="C1177" t="s">
        <v>609</v>
      </c>
      <c r="D1177">
        <v>4.0199999999999996</v>
      </c>
      <c r="E1177" t="s">
        <v>610</v>
      </c>
    </row>
    <row r="1178" spans="1:5" x14ac:dyDescent="0.3">
      <c r="A1178">
        <v>1177</v>
      </c>
      <c r="B1178">
        <v>393</v>
      </c>
      <c r="C1178" t="s">
        <v>613</v>
      </c>
      <c r="D1178">
        <v>6.17</v>
      </c>
      <c r="E1178" t="s">
        <v>614</v>
      </c>
    </row>
    <row r="1179" spans="1:5" x14ac:dyDescent="0.3">
      <c r="A1179">
        <v>1178</v>
      </c>
      <c r="B1179">
        <v>393</v>
      </c>
      <c r="C1179" t="s">
        <v>621</v>
      </c>
      <c r="D1179">
        <v>7.37</v>
      </c>
      <c r="E1179" t="s">
        <v>622</v>
      </c>
    </row>
    <row r="1180" spans="1:5" x14ac:dyDescent="0.3">
      <c r="A1180">
        <v>1179</v>
      </c>
      <c r="B1180">
        <v>393</v>
      </c>
      <c r="C1180" t="s">
        <v>603</v>
      </c>
      <c r="D1180">
        <v>87.96</v>
      </c>
      <c r="E1180" t="s">
        <v>604</v>
      </c>
    </row>
    <row r="1181" spans="1:5" x14ac:dyDescent="0.3">
      <c r="A1181">
        <v>1180</v>
      </c>
      <c r="B1181">
        <v>394</v>
      </c>
      <c r="C1181" t="s">
        <v>605</v>
      </c>
      <c r="D1181">
        <v>167.28</v>
      </c>
      <c r="E1181" t="s">
        <v>606</v>
      </c>
    </row>
    <row r="1182" spans="1:5" x14ac:dyDescent="0.3">
      <c r="A1182">
        <v>1181</v>
      </c>
      <c r="B1182">
        <v>394</v>
      </c>
      <c r="C1182" t="s">
        <v>615</v>
      </c>
      <c r="D1182">
        <v>107.44</v>
      </c>
      <c r="E1182" t="s">
        <v>616</v>
      </c>
    </row>
    <row r="1183" spans="1:5" x14ac:dyDescent="0.3">
      <c r="A1183">
        <v>1182</v>
      </c>
      <c r="B1183">
        <v>394</v>
      </c>
      <c r="C1183" t="s">
        <v>607</v>
      </c>
      <c r="D1183">
        <v>128.38999999999999</v>
      </c>
      <c r="E1183" t="s">
        <v>608</v>
      </c>
    </row>
    <row r="1184" spans="1:5" x14ac:dyDescent="0.3">
      <c r="A1184">
        <v>1183</v>
      </c>
      <c r="B1184">
        <v>395</v>
      </c>
      <c r="C1184" t="s">
        <v>621</v>
      </c>
      <c r="D1184">
        <v>6.27</v>
      </c>
      <c r="E1184" t="s">
        <v>622</v>
      </c>
    </row>
    <row r="1185" spans="1:5" x14ac:dyDescent="0.3">
      <c r="A1185">
        <v>1184</v>
      </c>
      <c r="B1185">
        <v>395</v>
      </c>
      <c r="C1185" t="s">
        <v>603</v>
      </c>
      <c r="D1185">
        <v>220.7</v>
      </c>
      <c r="E1185" t="s">
        <v>604</v>
      </c>
    </row>
    <row r="1186" spans="1:5" x14ac:dyDescent="0.3">
      <c r="A1186">
        <v>1185</v>
      </c>
      <c r="B1186">
        <v>395</v>
      </c>
      <c r="C1186" t="s">
        <v>613</v>
      </c>
      <c r="D1186">
        <v>4.17</v>
      </c>
      <c r="E1186" t="s">
        <v>614</v>
      </c>
    </row>
    <row r="1187" spans="1:5" x14ac:dyDescent="0.3">
      <c r="A1187">
        <v>1186</v>
      </c>
      <c r="B1187">
        <v>396</v>
      </c>
      <c r="C1187" t="s">
        <v>609</v>
      </c>
      <c r="D1187">
        <v>6.81</v>
      </c>
      <c r="E1187" t="s">
        <v>610</v>
      </c>
    </row>
    <row r="1188" spans="1:5" x14ac:dyDescent="0.3">
      <c r="A1188">
        <v>1187</v>
      </c>
      <c r="B1188">
        <v>396</v>
      </c>
      <c r="C1188" t="s">
        <v>621</v>
      </c>
      <c r="D1188">
        <v>4.13</v>
      </c>
      <c r="E1188" t="s">
        <v>622</v>
      </c>
    </row>
    <row r="1189" spans="1:5" x14ac:dyDescent="0.3">
      <c r="A1189">
        <v>1188</v>
      </c>
      <c r="B1189">
        <v>396</v>
      </c>
      <c r="C1189" t="s">
        <v>603</v>
      </c>
      <c r="D1189">
        <v>151.93</v>
      </c>
      <c r="E1189" t="s">
        <v>604</v>
      </c>
    </row>
    <row r="1190" spans="1:5" x14ac:dyDescent="0.3">
      <c r="A1190">
        <v>1189</v>
      </c>
      <c r="B1190">
        <v>397</v>
      </c>
      <c r="C1190" t="s">
        <v>607</v>
      </c>
      <c r="D1190">
        <v>134.97999999999999</v>
      </c>
      <c r="E1190" t="s">
        <v>608</v>
      </c>
    </row>
    <row r="1191" spans="1:5" x14ac:dyDescent="0.3">
      <c r="A1191">
        <v>1190</v>
      </c>
      <c r="B1191">
        <v>397</v>
      </c>
      <c r="C1191" t="s">
        <v>617</v>
      </c>
      <c r="D1191">
        <v>7.5</v>
      </c>
      <c r="E1191" t="s">
        <v>618</v>
      </c>
    </row>
    <row r="1192" spans="1:5" x14ac:dyDescent="0.3">
      <c r="A1192">
        <v>1191</v>
      </c>
      <c r="B1192">
        <v>397</v>
      </c>
      <c r="C1192" t="s">
        <v>609</v>
      </c>
      <c r="D1192">
        <v>1.69</v>
      </c>
      <c r="E1192" t="s">
        <v>610</v>
      </c>
    </row>
    <row r="1193" spans="1:5" x14ac:dyDescent="0.3">
      <c r="A1193">
        <v>1192</v>
      </c>
      <c r="B1193">
        <v>398</v>
      </c>
      <c r="C1193" t="s">
        <v>615</v>
      </c>
      <c r="D1193">
        <v>237.66</v>
      </c>
      <c r="E1193" t="s">
        <v>616</v>
      </c>
    </row>
    <row r="1194" spans="1:5" x14ac:dyDescent="0.3">
      <c r="A1194">
        <v>1193</v>
      </c>
      <c r="B1194">
        <v>398</v>
      </c>
      <c r="C1194" t="s">
        <v>613</v>
      </c>
      <c r="D1194">
        <v>5.17</v>
      </c>
      <c r="E1194" t="s">
        <v>614</v>
      </c>
    </row>
    <row r="1195" spans="1:5" x14ac:dyDescent="0.3">
      <c r="A1195">
        <v>1194</v>
      </c>
      <c r="B1195">
        <v>398</v>
      </c>
      <c r="C1195" t="s">
        <v>603</v>
      </c>
      <c r="D1195">
        <v>149.1</v>
      </c>
      <c r="E1195" t="s">
        <v>604</v>
      </c>
    </row>
    <row r="1196" spans="1:5" x14ac:dyDescent="0.3">
      <c r="A1196">
        <v>1195</v>
      </c>
      <c r="B1196">
        <v>399</v>
      </c>
      <c r="C1196" t="s">
        <v>611</v>
      </c>
      <c r="D1196">
        <v>7.31</v>
      </c>
      <c r="E1196" t="s">
        <v>612</v>
      </c>
    </row>
    <row r="1197" spans="1:5" x14ac:dyDescent="0.3">
      <c r="A1197">
        <v>1196</v>
      </c>
      <c r="B1197">
        <v>399</v>
      </c>
      <c r="C1197" t="s">
        <v>615</v>
      </c>
      <c r="D1197">
        <v>116.74</v>
      </c>
      <c r="E1197" t="s">
        <v>616</v>
      </c>
    </row>
    <row r="1198" spans="1:5" x14ac:dyDescent="0.3">
      <c r="A1198">
        <v>1197</v>
      </c>
      <c r="B1198">
        <v>399</v>
      </c>
      <c r="C1198" t="s">
        <v>621</v>
      </c>
      <c r="D1198">
        <v>4.08</v>
      </c>
      <c r="E1198" t="s">
        <v>622</v>
      </c>
    </row>
    <row r="1199" spans="1:5" x14ac:dyDescent="0.3">
      <c r="A1199">
        <v>1198</v>
      </c>
      <c r="B1199">
        <v>400</v>
      </c>
      <c r="C1199" t="s">
        <v>611</v>
      </c>
      <c r="D1199">
        <v>9.3800000000000008</v>
      </c>
      <c r="E1199" t="s">
        <v>612</v>
      </c>
    </row>
    <row r="1200" spans="1:5" x14ac:dyDescent="0.3">
      <c r="A1200">
        <v>1199</v>
      </c>
      <c r="B1200">
        <v>400</v>
      </c>
      <c r="C1200" t="s">
        <v>615</v>
      </c>
      <c r="D1200">
        <v>130.81</v>
      </c>
      <c r="E1200" t="s">
        <v>616</v>
      </c>
    </row>
    <row r="1201" spans="1:5" x14ac:dyDescent="0.3">
      <c r="A1201">
        <v>1200</v>
      </c>
      <c r="B1201">
        <v>400</v>
      </c>
      <c r="C1201" t="s">
        <v>607</v>
      </c>
      <c r="D1201">
        <v>143.93</v>
      </c>
      <c r="E1201" t="s">
        <v>608</v>
      </c>
    </row>
    <row r="1202" spans="1:5" x14ac:dyDescent="0.3">
      <c r="A1202">
        <v>1201</v>
      </c>
      <c r="B1202">
        <v>401</v>
      </c>
      <c r="C1202" t="s">
        <v>615</v>
      </c>
      <c r="D1202">
        <v>426.94</v>
      </c>
      <c r="E1202" t="s">
        <v>616</v>
      </c>
    </row>
    <row r="1203" spans="1:5" x14ac:dyDescent="0.3">
      <c r="A1203">
        <v>1202</v>
      </c>
      <c r="B1203">
        <v>401</v>
      </c>
      <c r="C1203" t="s">
        <v>609</v>
      </c>
      <c r="D1203">
        <v>17.37</v>
      </c>
      <c r="E1203" t="s">
        <v>610</v>
      </c>
    </row>
    <row r="1204" spans="1:5" x14ac:dyDescent="0.3">
      <c r="A1204">
        <v>1203</v>
      </c>
      <c r="B1204">
        <v>401</v>
      </c>
      <c r="C1204" t="s">
        <v>603</v>
      </c>
      <c r="D1204">
        <v>113.04</v>
      </c>
      <c r="E1204" t="s">
        <v>604</v>
      </c>
    </row>
    <row r="1205" spans="1:5" x14ac:dyDescent="0.3">
      <c r="A1205">
        <v>1204</v>
      </c>
      <c r="B1205">
        <v>402</v>
      </c>
      <c r="C1205" t="s">
        <v>603</v>
      </c>
      <c r="D1205">
        <v>240.22</v>
      </c>
      <c r="E1205" t="s">
        <v>604</v>
      </c>
    </row>
    <row r="1206" spans="1:5" x14ac:dyDescent="0.3">
      <c r="A1206">
        <v>1205</v>
      </c>
      <c r="B1206">
        <v>402</v>
      </c>
      <c r="C1206" t="s">
        <v>611</v>
      </c>
      <c r="D1206">
        <v>7.79</v>
      </c>
      <c r="E1206" t="s">
        <v>612</v>
      </c>
    </row>
    <row r="1207" spans="1:5" x14ac:dyDescent="0.3">
      <c r="A1207">
        <v>1206</v>
      </c>
      <c r="B1207">
        <v>402</v>
      </c>
      <c r="C1207" t="s">
        <v>621</v>
      </c>
      <c r="D1207">
        <v>6.63</v>
      </c>
      <c r="E1207" t="s">
        <v>622</v>
      </c>
    </row>
    <row r="1208" spans="1:5" x14ac:dyDescent="0.3">
      <c r="A1208">
        <v>1207</v>
      </c>
      <c r="B1208">
        <v>403</v>
      </c>
      <c r="C1208" t="s">
        <v>621</v>
      </c>
      <c r="D1208">
        <v>9.59</v>
      </c>
      <c r="E1208" t="s">
        <v>622</v>
      </c>
    </row>
    <row r="1209" spans="1:5" x14ac:dyDescent="0.3">
      <c r="A1209">
        <v>1208</v>
      </c>
      <c r="B1209">
        <v>403</v>
      </c>
      <c r="C1209" t="s">
        <v>607</v>
      </c>
      <c r="D1209">
        <v>148.35</v>
      </c>
      <c r="E1209" t="s">
        <v>608</v>
      </c>
    </row>
    <row r="1210" spans="1:5" x14ac:dyDescent="0.3">
      <c r="A1210">
        <v>1209</v>
      </c>
      <c r="B1210">
        <v>403</v>
      </c>
      <c r="C1210" t="s">
        <v>617</v>
      </c>
      <c r="D1210">
        <v>10.58</v>
      </c>
      <c r="E1210" t="s">
        <v>618</v>
      </c>
    </row>
    <row r="1211" spans="1:5" x14ac:dyDescent="0.3">
      <c r="A1211">
        <v>1210</v>
      </c>
      <c r="B1211">
        <v>404</v>
      </c>
      <c r="C1211" t="s">
        <v>611</v>
      </c>
      <c r="D1211">
        <v>16.05</v>
      </c>
      <c r="E1211" t="s">
        <v>612</v>
      </c>
    </row>
    <row r="1212" spans="1:5" x14ac:dyDescent="0.3">
      <c r="A1212">
        <v>1211</v>
      </c>
      <c r="B1212">
        <v>404</v>
      </c>
      <c r="C1212" t="s">
        <v>605</v>
      </c>
      <c r="D1212">
        <v>270.61</v>
      </c>
      <c r="E1212" t="s">
        <v>606</v>
      </c>
    </row>
    <row r="1213" spans="1:5" x14ac:dyDescent="0.3">
      <c r="A1213">
        <v>1212</v>
      </c>
      <c r="B1213">
        <v>404</v>
      </c>
      <c r="C1213" t="s">
        <v>615</v>
      </c>
      <c r="D1213">
        <v>410.73</v>
      </c>
      <c r="E1213" t="s">
        <v>616</v>
      </c>
    </row>
    <row r="1214" spans="1:5" x14ac:dyDescent="0.3">
      <c r="A1214">
        <v>1213</v>
      </c>
      <c r="B1214">
        <v>405</v>
      </c>
      <c r="C1214" t="s">
        <v>607</v>
      </c>
      <c r="D1214">
        <v>139.47999999999999</v>
      </c>
      <c r="E1214" t="s">
        <v>608</v>
      </c>
    </row>
    <row r="1215" spans="1:5" x14ac:dyDescent="0.3">
      <c r="A1215">
        <v>1214</v>
      </c>
      <c r="B1215">
        <v>405</v>
      </c>
      <c r="C1215" t="s">
        <v>613</v>
      </c>
      <c r="D1215">
        <v>3.62</v>
      </c>
      <c r="E1215" t="s">
        <v>614</v>
      </c>
    </row>
    <row r="1216" spans="1:5" x14ac:dyDescent="0.3">
      <c r="A1216">
        <v>1215</v>
      </c>
      <c r="B1216">
        <v>405</v>
      </c>
      <c r="C1216" t="s">
        <v>611</v>
      </c>
      <c r="D1216">
        <v>12.02</v>
      </c>
      <c r="E1216" t="s">
        <v>612</v>
      </c>
    </row>
    <row r="1217" spans="1:5" x14ac:dyDescent="0.3">
      <c r="A1217">
        <v>1216</v>
      </c>
      <c r="B1217">
        <v>406</v>
      </c>
      <c r="C1217" t="s">
        <v>613</v>
      </c>
      <c r="D1217">
        <v>5.43</v>
      </c>
      <c r="E1217" t="s">
        <v>614</v>
      </c>
    </row>
    <row r="1218" spans="1:5" x14ac:dyDescent="0.3">
      <c r="A1218">
        <v>1217</v>
      </c>
      <c r="B1218">
        <v>406</v>
      </c>
      <c r="C1218" t="s">
        <v>617</v>
      </c>
      <c r="D1218">
        <v>9.2799999999999994</v>
      </c>
      <c r="E1218" t="s">
        <v>618</v>
      </c>
    </row>
    <row r="1219" spans="1:5" x14ac:dyDescent="0.3">
      <c r="A1219">
        <v>1218</v>
      </c>
      <c r="B1219">
        <v>406</v>
      </c>
      <c r="C1219" t="s">
        <v>615</v>
      </c>
      <c r="D1219">
        <v>132.13</v>
      </c>
      <c r="E1219" t="s">
        <v>616</v>
      </c>
    </row>
    <row r="1220" spans="1:5" x14ac:dyDescent="0.3">
      <c r="A1220">
        <v>1219</v>
      </c>
      <c r="B1220">
        <v>407</v>
      </c>
      <c r="C1220" t="s">
        <v>617</v>
      </c>
      <c r="D1220">
        <v>10.26</v>
      </c>
      <c r="E1220" t="s">
        <v>618</v>
      </c>
    </row>
    <row r="1221" spans="1:5" x14ac:dyDescent="0.3">
      <c r="A1221">
        <v>1220</v>
      </c>
      <c r="B1221">
        <v>407</v>
      </c>
      <c r="C1221" t="s">
        <v>611</v>
      </c>
      <c r="D1221">
        <v>16.170000000000002</v>
      </c>
      <c r="E1221" t="s">
        <v>612</v>
      </c>
    </row>
    <row r="1222" spans="1:5" x14ac:dyDescent="0.3">
      <c r="A1222">
        <v>1221</v>
      </c>
      <c r="B1222">
        <v>407</v>
      </c>
      <c r="C1222" t="s">
        <v>615</v>
      </c>
      <c r="D1222">
        <v>330.82</v>
      </c>
      <c r="E1222" t="s">
        <v>616</v>
      </c>
    </row>
    <row r="1223" spans="1:5" x14ac:dyDescent="0.3">
      <c r="A1223">
        <v>1222</v>
      </c>
      <c r="B1223">
        <v>408</v>
      </c>
      <c r="C1223" t="s">
        <v>619</v>
      </c>
      <c r="D1223">
        <v>3.9</v>
      </c>
      <c r="E1223" t="s">
        <v>620</v>
      </c>
    </row>
    <row r="1224" spans="1:5" x14ac:dyDescent="0.3">
      <c r="A1224">
        <v>1223</v>
      </c>
      <c r="B1224">
        <v>408</v>
      </c>
      <c r="C1224" t="s">
        <v>611</v>
      </c>
      <c r="D1224">
        <v>7.63</v>
      </c>
      <c r="E1224" t="s">
        <v>612</v>
      </c>
    </row>
    <row r="1225" spans="1:5" x14ac:dyDescent="0.3">
      <c r="A1225">
        <v>1224</v>
      </c>
      <c r="B1225">
        <v>408</v>
      </c>
      <c r="C1225" t="s">
        <v>609</v>
      </c>
      <c r="D1225">
        <v>0.36</v>
      </c>
      <c r="E1225" t="s">
        <v>610</v>
      </c>
    </row>
    <row r="1226" spans="1:5" x14ac:dyDescent="0.3">
      <c r="A1226">
        <v>1225</v>
      </c>
      <c r="B1226">
        <v>409</v>
      </c>
      <c r="C1226" t="s">
        <v>619</v>
      </c>
      <c r="D1226">
        <v>1.1599999999999999</v>
      </c>
      <c r="E1226" t="s">
        <v>620</v>
      </c>
    </row>
    <row r="1227" spans="1:5" x14ac:dyDescent="0.3">
      <c r="A1227">
        <v>1226</v>
      </c>
      <c r="B1227">
        <v>409</v>
      </c>
      <c r="C1227" t="s">
        <v>613</v>
      </c>
      <c r="D1227">
        <v>3.16</v>
      </c>
      <c r="E1227" t="s">
        <v>614</v>
      </c>
    </row>
    <row r="1228" spans="1:5" x14ac:dyDescent="0.3">
      <c r="A1228">
        <v>1227</v>
      </c>
      <c r="B1228">
        <v>409</v>
      </c>
      <c r="C1228" t="s">
        <v>607</v>
      </c>
      <c r="D1228">
        <v>132.59</v>
      </c>
      <c r="E1228" t="s">
        <v>608</v>
      </c>
    </row>
    <row r="1229" spans="1:5" x14ac:dyDescent="0.3">
      <c r="A1229">
        <v>1228</v>
      </c>
      <c r="B1229">
        <v>410</v>
      </c>
      <c r="C1229" t="s">
        <v>621</v>
      </c>
      <c r="D1229">
        <v>10.08</v>
      </c>
      <c r="E1229" t="s">
        <v>622</v>
      </c>
    </row>
    <row r="1230" spans="1:5" x14ac:dyDescent="0.3">
      <c r="A1230">
        <v>1229</v>
      </c>
      <c r="B1230">
        <v>410</v>
      </c>
      <c r="C1230" t="s">
        <v>609</v>
      </c>
      <c r="D1230">
        <v>6.31</v>
      </c>
      <c r="E1230" t="s">
        <v>610</v>
      </c>
    </row>
    <row r="1231" spans="1:5" x14ac:dyDescent="0.3">
      <c r="A1231">
        <v>1230</v>
      </c>
      <c r="B1231">
        <v>410</v>
      </c>
      <c r="C1231" t="s">
        <v>615</v>
      </c>
      <c r="D1231">
        <v>258.91000000000003</v>
      </c>
      <c r="E1231" t="s">
        <v>616</v>
      </c>
    </row>
    <row r="1232" spans="1:5" x14ac:dyDescent="0.3">
      <c r="A1232">
        <v>1231</v>
      </c>
      <c r="B1232">
        <v>411</v>
      </c>
      <c r="C1232" t="s">
        <v>605</v>
      </c>
      <c r="D1232">
        <v>302.83</v>
      </c>
      <c r="E1232" t="s">
        <v>606</v>
      </c>
    </row>
    <row r="1233" spans="1:5" x14ac:dyDescent="0.3">
      <c r="A1233">
        <v>1232</v>
      </c>
      <c r="B1233">
        <v>411</v>
      </c>
      <c r="C1233" t="s">
        <v>609</v>
      </c>
      <c r="D1233">
        <v>4.45</v>
      </c>
      <c r="E1233" t="s">
        <v>610</v>
      </c>
    </row>
    <row r="1234" spans="1:5" x14ac:dyDescent="0.3">
      <c r="A1234">
        <v>1233</v>
      </c>
      <c r="B1234">
        <v>411</v>
      </c>
      <c r="C1234" t="s">
        <v>611</v>
      </c>
      <c r="D1234">
        <v>10.82</v>
      </c>
      <c r="E1234" t="s">
        <v>612</v>
      </c>
    </row>
    <row r="1235" spans="1:5" x14ac:dyDescent="0.3">
      <c r="A1235">
        <v>1234</v>
      </c>
      <c r="B1235">
        <v>412</v>
      </c>
      <c r="C1235" t="s">
        <v>613</v>
      </c>
      <c r="D1235">
        <v>5.45</v>
      </c>
      <c r="E1235" t="s">
        <v>614</v>
      </c>
    </row>
    <row r="1236" spans="1:5" x14ac:dyDescent="0.3">
      <c r="A1236">
        <v>1235</v>
      </c>
      <c r="B1236">
        <v>412</v>
      </c>
      <c r="C1236" t="s">
        <v>609</v>
      </c>
      <c r="D1236">
        <v>3.84</v>
      </c>
      <c r="E1236" t="s">
        <v>610</v>
      </c>
    </row>
    <row r="1237" spans="1:5" x14ac:dyDescent="0.3">
      <c r="A1237">
        <v>1236</v>
      </c>
      <c r="B1237">
        <v>412</v>
      </c>
      <c r="C1237" t="s">
        <v>619</v>
      </c>
      <c r="D1237">
        <v>1.47</v>
      </c>
      <c r="E1237" t="s">
        <v>620</v>
      </c>
    </row>
    <row r="1238" spans="1:5" x14ac:dyDescent="0.3">
      <c r="A1238">
        <v>1237</v>
      </c>
      <c r="B1238">
        <v>413</v>
      </c>
      <c r="C1238" t="s">
        <v>605</v>
      </c>
      <c r="D1238">
        <v>149.46</v>
      </c>
      <c r="E1238" t="s">
        <v>606</v>
      </c>
    </row>
    <row r="1239" spans="1:5" x14ac:dyDescent="0.3">
      <c r="A1239">
        <v>1238</v>
      </c>
      <c r="B1239">
        <v>413</v>
      </c>
      <c r="C1239" t="s">
        <v>617</v>
      </c>
      <c r="D1239">
        <v>14.39</v>
      </c>
      <c r="E1239" t="s">
        <v>618</v>
      </c>
    </row>
    <row r="1240" spans="1:5" x14ac:dyDescent="0.3">
      <c r="A1240">
        <v>1239</v>
      </c>
      <c r="B1240">
        <v>413</v>
      </c>
      <c r="C1240" t="s">
        <v>611</v>
      </c>
      <c r="D1240">
        <v>14.82</v>
      </c>
      <c r="E1240" t="s">
        <v>612</v>
      </c>
    </row>
    <row r="1241" spans="1:5" x14ac:dyDescent="0.3">
      <c r="A1241">
        <v>1240</v>
      </c>
      <c r="B1241">
        <v>414</v>
      </c>
      <c r="C1241" t="s">
        <v>619</v>
      </c>
      <c r="D1241">
        <v>1.1499999999999999</v>
      </c>
      <c r="E1241" t="s">
        <v>620</v>
      </c>
    </row>
    <row r="1242" spans="1:5" x14ac:dyDescent="0.3">
      <c r="A1242">
        <v>1241</v>
      </c>
      <c r="B1242">
        <v>414</v>
      </c>
      <c r="C1242" t="s">
        <v>603</v>
      </c>
      <c r="D1242">
        <v>70.290000000000006</v>
      </c>
      <c r="E1242" t="s">
        <v>604</v>
      </c>
    </row>
    <row r="1243" spans="1:5" x14ac:dyDescent="0.3">
      <c r="A1243">
        <v>1242</v>
      </c>
      <c r="B1243">
        <v>414</v>
      </c>
      <c r="C1243" t="s">
        <v>613</v>
      </c>
      <c r="D1243">
        <v>5.05</v>
      </c>
      <c r="E1243" t="s">
        <v>614</v>
      </c>
    </row>
    <row r="1244" spans="1:5" x14ac:dyDescent="0.3">
      <c r="A1244">
        <v>1243</v>
      </c>
      <c r="B1244">
        <v>415</v>
      </c>
      <c r="C1244" t="s">
        <v>613</v>
      </c>
      <c r="D1244">
        <v>3.2</v>
      </c>
      <c r="E1244" t="s">
        <v>614</v>
      </c>
    </row>
    <row r="1245" spans="1:5" x14ac:dyDescent="0.3">
      <c r="A1245">
        <v>1244</v>
      </c>
      <c r="B1245">
        <v>415</v>
      </c>
      <c r="C1245" t="s">
        <v>615</v>
      </c>
      <c r="D1245">
        <v>292.61</v>
      </c>
      <c r="E1245" t="s">
        <v>616</v>
      </c>
    </row>
    <row r="1246" spans="1:5" x14ac:dyDescent="0.3">
      <c r="A1246">
        <v>1245</v>
      </c>
      <c r="B1246">
        <v>415</v>
      </c>
      <c r="C1246" t="s">
        <v>617</v>
      </c>
      <c r="D1246">
        <v>7.61</v>
      </c>
      <c r="E1246" t="s">
        <v>618</v>
      </c>
    </row>
    <row r="1247" spans="1:5" x14ac:dyDescent="0.3">
      <c r="A1247">
        <v>1246</v>
      </c>
      <c r="B1247">
        <v>416</v>
      </c>
      <c r="C1247" t="s">
        <v>619</v>
      </c>
      <c r="D1247">
        <v>2.2599999999999998</v>
      </c>
      <c r="E1247" t="s">
        <v>620</v>
      </c>
    </row>
    <row r="1248" spans="1:5" x14ac:dyDescent="0.3">
      <c r="A1248">
        <v>1247</v>
      </c>
      <c r="B1248">
        <v>416</v>
      </c>
      <c r="C1248" t="s">
        <v>605</v>
      </c>
      <c r="D1248">
        <v>221.59</v>
      </c>
      <c r="E1248" t="s">
        <v>606</v>
      </c>
    </row>
    <row r="1249" spans="1:5" x14ac:dyDescent="0.3">
      <c r="A1249">
        <v>1248</v>
      </c>
      <c r="B1249">
        <v>416</v>
      </c>
      <c r="C1249" t="s">
        <v>607</v>
      </c>
      <c r="D1249">
        <v>129.16999999999999</v>
      </c>
      <c r="E1249" t="s">
        <v>608</v>
      </c>
    </row>
    <row r="1250" spans="1:5" x14ac:dyDescent="0.3">
      <c r="A1250">
        <v>1249</v>
      </c>
      <c r="B1250">
        <v>417</v>
      </c>
      <c r="C1250" t="s">
        <v>617</v>
      </c>
      <c r="D1250">
        <v>3.64</v>
      </c>
      <c r="E1250" t="s">
        <v>618</v>
      </c>
    </row>
    <row r="1251" spans="1:5" x14ac:dyDescent="0.3">
      <c r="A1251">
        <v>1250</v>
      </c>
      <c r="B1251">
        <v>417</v>
      </c>
      <c r="C1251" t="s">
        <v>615</v>
      </c>
      <c r="D1251">
        <v>233.88</v>
      </c>
      <c r="E1251" t="s">
        <v>616</v>
      </c>
    </row>
    <row r="1252" spans="1:5" x14ac:dyDescent="0.3">
      <c r="A1252">
        <v>1251</v>
      </c>
      <c r="B1252">
        <v>417</v>
      </c>
      <c r="C1252" t="s">
        <v>611</v>
      </c>
      <c r="D1252">
        <v>16.739999999999998</v>
      </c>
      <c r="E1252" t="s">
        <v>612</v>
      </c>
    </row>
    <row r="1253" spans="1:5" x14ac:dyDescent="0.3">
      <c r="A1253">
        <v>1252</v>
      </c>
      <c r="B1253">
        <v>418</v>
      </c>
      <c r="C1253" t="s">
        <v>619</v>
      </c>
      <c r="D1253">
        <v>1.91</v>
      </c>
      <c r="E1253" t="s">
        <v>620</v>
      </c>
    </row>
    <row r="1254" spans="1:5" x14ac:dyDescent="0.3">
      <c r="A1254">
        <v>1253</v>
      </c>
      <c r="B1254">
        <v>418</v>
      </c>
      <c r="C1254" t="s">
        <v>617</v>
      </c>
      <c r="D1254">
        <v>10.72</v>
      </c>
      <c r="E1254" t="s">
        <v>618</v>
      </c>
    </row>
    <row r="1255" spans="1:5" x14ac:dyDescent="0.3">
      <c r="A1255">
        <v>1254</v>
      </c>
      <c r="B1255">
        <v>418</v>
      </c>
      <c r="C1255" t="s">
        <v>621</v>
      </c>
      <c r="D1255">
        <v>8.24</v>
      </c>
      <c r="E1255" t="s">
        <v>622</v>
      </c>
    </row>
    <row r="1256" spans="1:5" x14ac:dyDescent="0.3">
      <c r="A1256">
        <v>1255</v>
      </c>
      <c r="B1256">
        <v>419</v>
      </c>
      <c r="C1256" t="s">
        <v>613</v>
      </c>
      <c r="D1256">
        <v>3.17</v>
      </c>
      <c r="E1256" t="s">
        <v>614</v>
      </c>
    </row>
    <row r="1257" spans="1:5" x14ac:dyDescent="0.3">
      <c r="A1257">
        <v>1256</v>
      </c>
      <c r="B1257">
        <v>419</v>
      </c>
      <c r="C1257" t="s">
        <v>609</v>
      </c>
      <c r="D1257">
        <v>1.0900000000000001</v>
      </c>
      <c r="E1257" t="s">
        <v>610</v>
      </c>
    </row>
    <row r="1258" spans="1:5" x14ac:dyDescent="0.3">
      <c r="A1258">
        <v>1257</v>
      </c>
      <c r="B1258">
        <v>419</v>
      </c>
      <c r="C1258" t="s">
        <v>607</v>
      </c>
      <c r="D1258">
        <v>133.47999999999999</v>
      </c>
      <c r="E1258" t="s">
        <v>608</v>
      </c>
    </row>
    <row r="1259" spans="1:5" x14ac:dyDescent="0.3">
      <c r="A1259">
        <v>1258</v>
      </c>
      <c r="B1259">
        <v>420</v>
      </c>
      <c r="C1259" t="s">
        <v>611</v>
      </c>
      <c r="D1259">
        <v>7.56</v>
      </c>
      <c r="E1259" t="s">
        <v>612</v>
      </c>
    </row>
    <row r="1260" spans="1:5" x14ac:dyDescent="0.3">
      <c r="A1260">
        <v>1259</v>
      </c>
      <c r="B1260">
        <v>420</v>
      </c>
      <c r="C1260" t="s">
        <v>619</v>
      </c>
      <c r="D1260">
        <v>0.62</v>
      </c>
      <c r="E1260" t="s">
        <v>620</v>
      </c>
    </row>
    <row r="1261" spans="1:5" x14ac:dyDescent="0.3">
      <c r="A1261">
        <v>1260</v>
      </c>
      <c r="B1261">
        <v>420</v>
      </c>
      <c r="C1261" t="s">
        <v>621</v>
      </c>
      <c r="D1261">
        <v>6.13</v>
      </c>
      <c r="E1261" t="s">
        <v>622</v>
      </c>
    </row>
    <row r="1262" spans="1:5" x14ac:dyDescent="0.3">
      <c r="A1262">
        <v>1261</v>
      </c>
      <c r="B1262">
        <v>421</v>
      </c>
      <c r="C1262" t="s">
        <v>611</v>
      </c>
      <c r="D1262">
        <v>9.89</v>
      </c>
      <c r="E1262" t="s">
        <v>612</v>
      </c>
    </row>
    <row r="1263" spans="1:5" x14ac:dyDescent="0.3">
      <c r="A1263">
        <v>1262</v>
      </c>
      <c r="B1263">
        <v>421</v>
      </c>
      <c r="C1263" t="s">
        <v>609</v>
      </c>
      <c r="D1263">
        <v>17.66</v>
      </c>
      <c r="E1263" t="s">
        <v>610</v>
      </c>
    </row>
    <row r="1264" spans="1:5" x14ac:dyDescent="0.3">
      <c r="A1264">
        <v>1263</v>
      </c>
      <c r="B1264">
        <v>421</v>
      </c>
      <c r="C1264" t="s">
        <v>621</v>
      </c>
      <c r="D1264">
        <v>9.6</v>
      </c>
      <c r="E1264" t="s">
        <v>622</v>
      </c>
    </row>
    <row r="1265" spans="1:5" x14ac:dyDescent="0.3">
      <c r="A1265">
        <v>1264</v>
      </c>
      <c r="B1265">
        <v>422</v>
      </c>
      <c r="C1265" t="s">
        <v>607</v>
      </c>
      <c r="D1265">
        <v>130.22999999999999</v>
      </c>
      <c r="E1265" t="s">
        <v>608</v>
      </c>
    </row>
    <row r="1266" spans="1:5" x14ac:dyDescent="0.3">
      <c r="A1266">
        <v>1265</v>
      </c>
      <c r="B1266">
        <v>422</v>
      </c>
      <c r="C1266" t="s">
        <v>621</v>
      </c>
      <c r="D1266">
        <v>9.8699999999999992</v>
      </c>
      <c r="E1266" t="s">
        <v>622</v>
      </c>
    </row>
    <row r="1267" spans="1:5" x14ac:dyDescent="0.3">
      <c r="A1267">
        <v>1266</v>
      </c>
      <c r="B1267">
        <v>422</v>
      </c>
      <c r="C1267" t="s">
        <v>609</v>
      </c>
      <c r="D1267">
        <v>17.600000000000001</v>
      </c>
      <c r="E1267" t="s">
        <v>610</v>
      </c>
    </row>
    <row r="1268" spans="1:5" x14ac:dyDescent="0.3">
      <c r="A1268">
        <v>1267</v>
      </c>
      <c r="B1268">
        <v>423</v>
      </c>
      <c r="C1268" t="s">
        <v>617</v>
      </c>
      <c r="D1268">
        <v>5.22</v>
      </c>
      <c r="E1268" t="s">
        <v>618</v>
      </c>
    </row>
    <row r="1269" spans="1:5" x14ac:dyDescent="0.3">
      <c r="A1269">
        <v>1268</v>
      </c>
      <c r="B1269">
        <v>423</v>
      </c>
      <c r="C1269" t="s">
        <v>613</v>
      </c>
      <c r="D1269">
        <v>3.49</v>
      </c>
      <c r="E1269" t="s">
        <v>614</v>
      </c>
    </row>
    <row r="1270" spans="1:5" x14ac:dyDescent="0.3">
      <c r="A1270">
        <v>1269</v>
      </c>
      <c r="B1270">
        <v>423</v>
      </c>
      <c r="C1270" t="s">
        <v>619</v>
      </c>
      <c r="D1270">
        <v>2.73</v>
      </c>
      <c r="E1270" t="s">
        <v>620</v>
      </c>
    </row>
    <row r="1271" spans="1:5" x14ac:dyDescent="0.3">
      <c r="A1271">
        <v>1270</v>
      </c>
      <c r="B1271">
        <v>424</v>
      </c>
      <c r="C1271" t="s">
        <v>621</v>
      </c>
      <c r="D1271">
        <v>4.75</v>
      </c>
      <c r="E1271" t="s">
        <v>622</v>
      </c>
    </row>
    <row r="1272" spans="1:5" x14ac:dyDescent="0.3">
      <c r="A1272">
        <v>1271</v>
      </c>
      <c r="B1272">
        <v>424</v>
      </c>
      <c r="C1272" t="s">
        <v>617</v>
      </c>
      <c r="D1272">
        <v>9.5399999999999991</v>
      </c>
      <c r="E1272" t="s">
        <v>618</v>
      </c>
    </row>
    <row r="1273" spans="1:5" x14ac:dyDescent="0.3">
      <c r="A1273">
        <v>1272</v>
      </c>
      <c r="B1273">
        <v>424</v>
      </c>
      <c r="C1273" t="s">
        <v>603</v>
      </c>
      <c r="D1273">
        <v>194.59</v>
      </c>
      <c r="E1273" t="s">
        <v>604</v>
      </c>
    </row>
    <row r="1274" spans="1:5" x14ac:dyDescent="0.3">
      <c r="A1274">
        <v>1273</v>
      </c>
      <c r="B1274">
        <v>425</v>
      </c>
      <c r="C1274" t="s">
        <v>613</v>
      </c>
      <c r="D1274">
        <v>3.38</v>
      </c>
      <c r="E1274" t="s">
        <v>614</v>
      </c>
    </row>
    <row r="1275" spans="1:5" x14ac:dyDescent="0.3">
      <c r="A1275">
        <v>1274</v>
      </c>
      <c r="B1275">
        <v>425</v>
      </c>
      <c r="C1275" t="s">
        <v>617</v>
      </c>
      <c r="D1275">
        <v>11.86</v>
      </c>
      <c r="E1275" t="s">
        <v>618</v>
      </c>
    </row>
    <row r="1276" spans="1:5" x14ac:dyDescent="0.3">
      <c r="A1276">
        <v>1275</v>
      </c>
      <c r="B1276">
        <v>425</v>
      </c>
      <c r="C1276" t="s">
        <v>619</v>
      </c>
      <c r="D1276">
        <v>1.08</v>
      </c>
      <c r="E1276" t="s">
        <v>620</v>
      </c>
    </row>
    <row r="1277" spans="1:5" x14ac:dyDescent="0.3">
      <c r="A1277">
        <v>1276</v>
      </c>
      <c r="B1277">
        <v>426</v>
      </c>
      <c r="C1277" t="s">
        <v>615</v>
      </c>
      <c r="D1277">
        <v>436.79</v>
      </c>
      <c r="E1277" t="s">
        <v>616</v>
      </c>
    </row>
    <row r="1278" spans="1:5" x14ac:dyDescent="0.3">
      <c r="A1278">
        <v>1277</v>
      </c>
      <c r="B1278">
        <v>426</v>
      </c>
      <c r="C1278" t="s">
        <v>613</v>
      </c>
      <c r="D1278">
        <v>5.0599999999999996</v>
      </c>
      <c r="E1278" t="s">
        <v>614</v>
      </c>
    </row>
    <row r="1279" spans="1:5" x14ac:dyDescent="0.3">
      <c r="A1279">
        <v>1278</v>
      </c>
      <c r="B1279">
        <v>426</v>
      </c>
      <c r="C1279" t="s">
        <v>605</v>
      </c>
      <c r="D1279">
        <v>205.58</v>
      </c>
      <c r="E1279" t="s">
        <v>606</v>
      </c>
    </row>
    <row r="1280" spans="1:5" x14ac:dyDescent="0.3">
      <c r="A1280">
        <v>1279</v>
      </c>
      <c r="B1280">
        <v>427</v>
      </c>
      <c r="C1280" t="s">
        <v>603</v>
      </c>
      <c r="D1280">
        <v>228.03</v>
      </c>
      <c r="E1280" t="s">
        <v>604</v>
      </c>
    </row>
    <row r="1281" spans="1:5" x14ac:dyDescent="0.3">
      <c r="A1281">
        <v>1280</v>
      </c>
      <c r="B1281">
        <v>427</v>
      </c>
      <c r="C1281" t="s">
        <v>605</v>
      </c>
      <c r="D1281">
        <v>154.15</v>
      </c>
      <c r="E1281" t="s">
        <v>606</v>
      </c>
    </row>
    <row r="1282" spans="1:5" x14ac:dyDescent="0.3">
      <c r="A1282">
        <v>1281</v>
      </c>
      <c r="B1282">
        <v>427</v>
      </c>
      <c r="C1282" t="s">
        <v>617</v>
      </c>
      <c r="D1282">
        <v>12.88</v>
      </c>
      <c r="E1282" t="s">
        <v>618</v>
      </c>
    </row>
    <row r="1283" spans="1:5" x14ac:dyDescent="0.3">
      <c r="A1283">
        <v>1282</v>
      </c>
      <c r="B1283">
        <v>428</v>
      </c>
      <c r="C1283" t="s">
        <v>603</v>
      </c>
      <c r="D1283">
        <v>172.88</v>
      </c>
      <c r="E1283" t="s">
        <v>604</v>
      </c>
    </row>
    <row r="1284" spans="1:5" x14ac:dyDescent="0.3">
      <c r="A1284">
        <v>1283</v>
      </c>
      <c r="B1284">
        <v>428</v>
      </c>
      <c r="C1284" t="s">
        <v>615</v>
      </c>
      <c r="D1284">
        <v>270.91000000000003</v>
      </c>
      <c r="E1284" t="s">
        <v>616</v>
      </c>
    </row>
    <row r="1285" spans="1:5" x14ac:dyDescent="0.3">
      <c r="A1285">
        <v>1284</v>
      </c>
      <c r="B1285">
        <v>428</v>
      </c>
      <c r="C1285" t="s">
        <v>613</v>
      </c>
      <c r="D1285">
        <v>3.64</v>
      </c>
      <c r="E1285" t="s">
        <v>614</v>
      </c>
    </row>
    <row r="1286" spans="1:5" x14ac:dyDescent="0.3">
      <c r="A1286">
        <v>1285</v>
      </c>
      <c r="B1286">
        <v>429</v>
      </c>
      <c r="C1286" t="s">
        <v>611</v>
      </c>
      <c r="D1286">
        <v>12.96</v>
      </c>
      <c r="E1286" t="s">
        <v>612</v>
      </c>
    </row>
    <row r="1287" spans="1:5" x14ac:dyDescent="0.3">
      <c r="A1287">
        <v>1286</v>
      </c>
      <c r="B1287">
        <v>429</v>
      </c>
      <c r="C1287" t="s">
        <v>603</v>
      </c>
      <c r="D1287">
        <v>248.23</v>
      </c>
      <c r="E1287" t="s">
        <v>604</v>
      </c>
    </row>
    <row r="1288" spans="1:5" x14ac:dyDescent="0.3">
      <c r="A1288">
        <v>1287</v>
      </c>
      <c r="B1288">
        <v>429</v>
      </c>
      <c r="C1288" t="s">
        <v>609</v>
      </c>
      <c r="D1288">
        <v>16.72</v>
      </c>
      <c r="E1288" t="s">
        <v>610</v>
      </c>
    </row>
    <row r="1289" spans="1:5" x14ac:dyDescent="0.3">
      <c r="A1289">
        <v>1288</v>
      </c>
      <c r="B1289">
        <v>430</v>
      </c>
      <c r="C1289" t="s">
        <v>609</v>
      </c>
      <c r="D1289">
        <v>15.12</v>
      </c>
      <c r="E1289" t="s">
        <v>610</v>
      </c>
    </row>
    <row r="1290" spans="1:5" x14ac:dyDescent="0.3">
      <c r="A1290">
        <v>1289</v>
      </c>
      <c r="B1290">
        <v>430</v>
      </c>
      <c r="C1290" t="s">
        <v>621</v>
      </c>
      <c r="D1290">
        <v>10.199999999999999</v>
      </c>
      <c r="E1290" t="s">
        <v>622</v>
      </c>
    </row>
    <row r="1291" spans="1:5" x14ac:dyDescent="0.3">
      <c r="A1291">
        <v>1290</v>
      </c>
      <c r="B1291">
        <v>430</v>
      </c>
      <c r="C1291" t="s">
        <v>605</v>
      </c>
      <c r="D1291">
        <v>140</v>
      </c>
      <c r="E1291" t="s">
        <v>606</v>
      </c>
    </row>
    <row r="1292" spans="1:5" x14ac:dyDescent="0.3">
      <c r="A1292">
        <v>1291</v>
      </c>
      <c r="B1292">
        <v>431</v>
      </c>
      <c r="C1292" t="s">
        <v>615</v>
      </c>
      <c r="D1292">
        <v>357.19</v>
      </c>
      <c r="E1292" t="s">
        <v>616</v>
      </c>
    </row>
    <row r="1293" spans="1:5" x14ac:dyDescent="0.3">
      <c r="A1293">
        <v>1292</v>
      </c>
      <c r="B1293">
        <v>431</v>
      </c>
      <c r="C1293" t="s">
        <v>613</v>
      </c>
      <c r="D1293">
        <v>6.17</v>
      </c>
      <c r="E1293" t="s">
        <v>614</v>
      </c>
    </row>
    <row r="1294" spans="1:5" x14ac:dyDescent="0.3">
      <c r="A1294">
        <v>1293</v>
      </c>
      <c r="B1294">
        <v>431</v>
      </c>
      <c r="C1294" t="s">
        <v>609</v>
      </c>
      <c r="D1294">
        <v>5.22</v>
      </c>
      <c r="E1294" t="s">
        <v>610</v>
      </c>
    </row>
    <row r="1295" spans="1:5" x14ac:dyDescent="0.3">
      <c r="A1295">
        <v>1294</v>
      </c>
      <c r="B1295">
        <v>432</v>
      </c>
      <c r="C1295" t="s">
        <v>613</v>
      </c>
      <c r="D1295">
        <v>4.3600000000000003</v>
      </c>
      <c r="E1295" t="s">
        <v>614</v>
      </c>
    </row>
    <row r="1296" spans="1:5" x14ac:dyDescent="0.3">
      <c r="A1296">
        <v>1295</v>
      </c>
      <c r="B1296">
        <v>432</v>
      </c>
      <c r="C1296" t="s">
        <v>617</v>
      </c>
      <c r="D1296">
        <v>13.76</v>
      </c>
      <c r="E1296" t="s">
        <v>618</v>
      </c>
    </row>
    <row r="1297" spans="1:5" x14ac:dyDescent="0.3">
      <c r="A1297">
        <v>1296</v>
      </c>
      <c r="B1297">
        <v>432</v>
      </c>
      <c r="C1297" t="s">
        <v>615</v>
      </c>
      <c r="D1297">
        <v>205.4</v>
      </c>
      <c r="E1297" t="s">
        <v>616</v>
      </c>
    </row>
    <row r="1298" spans="1:5" x14ac:dyDescent="0.3">
      <c r="A1298">
        <v>1297</v>
      </c>
      <c r="B1298">
        <v>433</v>
      </c>
      <c r="C1298" t="s">
        <v>615</v>
      </c>
      <c r="D1298">
        <v>139.47</v>
      </c>
      <c r="E1298" t="s">
        <v>616</v>
      </c>
    </row>
    <row r="1299" spans="1:5" x14ac:dyDescent="0.3">
      <c r="A1299">
        <v>1298</v>
      </c>
      <c r="B1299">
        <v>433</v>
      </c>
      <c r="C1299" t="s">
        <v>609</v>
      </c>
      <c r="D1299">
        <v>13.75</v>
      </c>
      <c r="E1299" t="s">
        <v>610</v>
      </c>
    </row>
    <row r="1300" spans="1:5" x14ac:dyDescent="0.3">
      <c r="A1300">
        <v>1299</v>
      </c>
      <c r="B1300">
        <v>433</v>
      </c>
      <c r="C1300" t="s">
        <v>613</v>
      </c>
      <c r="D1300">
        <v>5.28</v>
      </c>
      <c r="E1300" t="s">
        <v>614</v>
      </c>
    </row>
    <row r="1301" spans="1:5" x14ac:dyDescent="0.3">
      <c r="A1301">
        <v>1300</v>
      </c>
      <c r="B1301">
        <v>434</v>
      </c>
      <c r="C1301" t="s">
        <v>603</v>
      </c>
      <c r="D1301">
        <v>223.41</v>
      </c>
      <c r="E1301" t="s">
        <v>604</v>
      </c>
    </row>
    <row r="1302" spans="1:5" x14ac:dyDescent="0.3">
      <c r="A1302">
        <v>1301</v>
      </c>
      <c r="B1302">
        <v>434</v>
      </c>
      <c r="C1302" t="s">
        <v>605</v>
      </c>
      <c r="D1302">
        <v>251.87</v>
      </c>
      <c r="E1302" t="s">
        <v>606</v>
      </c>
    </row>
    <row r="1303" spans="1:5" x14ac:dyDescent="0.3">
      <c r="A1303">
        <v>1302</v>
      </c>
      <c r="B1303">
        <v>434</v>
      </c>
      <c r="C1303" t="s">
        <v>607</v>
      </c>
      <c r="D1303">
        <v>131.12</v>
      </c>
      <c r="E1303" t="s">
        <v>608</v>
      </c>
    </row>
    <row r="1304" spans="1:5" x14ac:dyDescent="0.3">
      <c r="A1304">
        <v>1303</v>
      </c>
      <c r="B1304">
        <v>435</v>
      </c>
      <c r="C1304" t="s">
        <v>613</v>
      </c>
      <c r="D1304">
        <v>4.76</v>
      </c>
      <c r="E1304" t="s">
        <v>614</v>
      </c>
    </row>
    <row r="1305" spans="1:5" x14ac:dyDescent="0.3">
      <c r="A1305">
        <v>1304</v>
      </c>
      <c r="B1305">
        <v>435</v>
      </c>
      <c r="C1305" t="s">
        <v>603</v>
      </c>
      <c r="D1305">
        <v>193.72</v>
      </c>
      <c r="E1305" t="s">
        <v>604</v>
      </c>
    </row>
    <row r="1306" spans="1:5" x14ac:dyDescent="0.3">
      <c r="A1306">
        <v>1305</v>
      </c>
      <c r="B1306">
        <v>435</v>
      </c>
      <c r="C1306" t="s">
        <v>619</v>
      </c>
      <c r="D1306">
        <v>2.0099999999999998</v>
      </c>
      <c r="E1306" t="s">
        <v>620</v>
      </c>
    </row>
    <row r="1307" spans="1:5" x14ac:dyDescent="0.3">
      <c r="A1307">
        <v>1306</v>
      </c>
      <c r="B1307">
        <v>436</v>
      </c>
      <c r="C1307" t="s">
        <v>619</v>
      </c>
      <c r="D1307">
        <v>3.72</v>
      </c>
      <c r="E1307" t="s">
        <v>620</v>
      </c>
    </row>
    <row r="1308" spans="1:5" x14ac:dyDescent="0.3">
      <c r="A1308">
        <v>1307</v>
      </c>
      <c r="B1308">
        <v>436</v>
      </c>
      <c r="C1308" t="s">
        <v>611</v>
      </c>
      <c r="D1308">
        <v>10.97</v>
      </c>
      <c r="E1308" t="s">
        <v>612</v>
      </c>
    </row>
    <row r="1309" spans="1:5" x14ac:dyDescent="0.3">
      <c r="A1309">
        <v>1308</v>
      </c>
      <c r="B1309">
        <v>436</v>
      </c>
      <c r="C1309" t="s">
        <v>621</v>
      </c>
      <c r="D1309">
        <v>4.8600000000000003</v>
      </c>
      <c r="E1309" t="s">
        <v>622</v>
      </c>
    </row>
    <row r="1310" spans="1:5" x14ac:dyDescent="0.3">
      <c r="A1310">
        <v>1309</v>
      </c>
      <c r="B1310">
        <v>437</v>
      </c>
      <c r="C1310" t="s">
        <v>617</v>
      </c>
      <c r="D1310">
        <v>15.84</v>
      </c>
      <c r="E1310" t="s">
        <v>618</v>
      </c>
    </row>
    <row r="1311" spans="1:5" x14ac:dyDescent="0.3">
      <c r="A1311">
        <v>1310</v>
      </c>
      <c r="B1311">
        <v>437</v>
      </c>
      <c r="C1311" t="s">
        <v>609</v>
      </c>
      <c r="D1311">
        <v>17.53</v>
      </c>
      <c r="E1311" t="s">
        <v>610</v>
      </c>
    </row>
    <row r="1312" spans="1:5" x14ac:dyDescent="0.3">
      <c r="A1312">
        <v>1311</v>
      </c>
      <c r="B1312">
        <v>437</v>
      </c>
      <c r="C1312" t="s">
        <v>613</v>
      </c>
      <c r="D1312">
        <v>3.39</v>
      </c>
      <c r="E1312" t="s">
        <v>614</v>
      </c>
    </row>
    <row r="1313" spans="1:5" x14ac:dyDescent="0.3">
      <c r="A1313">
        <v>1312</v>
      </c>
      <c r="B1313">
        <v>438</v>
      </c>
      <c r="C1313" t="s">
        <v>615</v>
      </c>
      <c r="D1313">
        <v>306.2</v>
      </c>
      <c r="E1313" t="s">
        <v>616</v>
      </c>
    </row>
    <row r="1314" spans="1:5" x14ac:dyDescent="0.3">
      <c r="A1314">
        <v>1313</v>
      </c>
      <c r="B1314">
        <v>438</v>
      </c>
      <c r="C1314" t="s">
        <v>621</v>
      </c>
      <c r="D1314">
        <v>11.56</v>
      </c>
      <c r="E1314" t="s">
        <v>622</v>
      </c>
    </row>
    <row r="1315" spans="1:5" x14ac:dyDescent="0.3">
      <c r="A1315">
        <v>1314</v>
      </c>
      <c r="B1315">
        <v>438</v>
      </c>
      <c r="C1315" t="s">
        <v>607</v>
      </c>
      <c r="D1315">
        <v>134.08000000000001</v>
      </c>
      <c r="E1315" t="s">
        <v>608</v>
      </c>
    </row>
    <row r="1316" spans="1:5" x14ac:dyDescent="0.3">
      <c r="A1316">
        <v>1315</v>
      </c>
      <c r="B1316">
        <v>439</v>
      </c>
      <c r="C1316" t="s">
        <v>619</v>
      </c>
      <c r="D1316">
        <v>3.42</v>
      </c>
      <c r="E1316" t="s">
        <v>620</v>
      </c>
    </row>
    <row r="1317" spans="1:5" x14ac:dyDescent="0.3">
      <c r="A1317">
        <v>1316</v>
      </c>
      <c r="B1317">
        <v>439</v>
      </c>
      <c r="C1317" t="s">
        <v>603</v>
      </c>
      <c r="D1317">
        <v>87.75</v>
      </c>
      <c r="E1317" t="s">
        <v>604</v>
      </c>
    </row>
    <row r="1318" spans="1:5" x14ac:dyDescent="0.3">
      <c r="A1318">
        <v>1317</v>
      </c>
      <c r="B1318">
        <v>439</v>
      </c>
      <c r="C1318" t="s">
        <v>615</v>
      </c>
      <c r="D1318">
        <v>378.37</v>
      </c>
      <c r="E1318" t="s">
        <v>616</v>
      </c>
    </row>
    <row r="1319" spans="1:5" x14ac:dyDescent="0.3">
      <c r="A1319">
        <v>1318</v>
      </c>
      <c r="B1319">
        <v>440</v>
      </c>
      <c r="C1319" t="s">
        <v>621</v>
      </c>
      <c r="D1319">
        <v>4.88</v>
      </c>
      <c r="E1319" t="s">
        <v>622</v>
      </c>
    </row>
    <row r="1320" spans="1:5" x14ac:dyDescent="0.3">
      <c r="A1320">
        <v>1319</v>
      </c>
      <c r="B1320">
        <v>440</v>
      </c>
      <c r="C1320" t="s">
        <v>615</v>
      </c>
      <c r="D1320">
        <v>102.92</v>
      </c>
      <c r="E1320" t="s">
        <v>616</v>
      </c>
    </row>
    <row r="1321" spans="1:5" x14ac:dyDescent="0.3">
      <c r="A1321">
        <v>1320</v>
      </c>
      <c r="B1321">
        <v>440</v>
      </c>
      <c r="C1321" t="s">
        <v>617</v>
      </c>
      <c r="D1321">
        <v>15.05</v>
      </c>
      <c r="E1321" t="s">
        <v>618</v>
      </c>
    </row>
    <row r="1322" spans="1:5" x14ac:dyDescent="0.3">
      <c r="A1322">
        <v>1321</v>
      </c>
      <c r="B1322">
        <v>441</v>
      </c>
      <c r="C1322" t="s">
        <v>605</v>
      </c>
      <c r="D1322">
        <v>224.64</v>
      </c>
      <c r="E1322" t="s">
        <v>606</v>
      </c>
    </row>
    <row r="1323" spans="1:5" x14ac:dyDescent="0.3">
      <c r="A1323">
        <v>1322</v>
      </c>
      <c r="B1323">
        <v>441</v>
      </c>
      <c r="C1323" t="s">
        <v>613</v>
      </c>
      <c r="D1323">
        <v>3.79</v>
      </c>
      <c r="E1323" t="s">
        <v>614</v>
      </c>
    </row>
    <row r="1324" spans="1:5" x14ac:dyDescent="0.3">
      <c r="A1324">
        <v>1323</v>
      </c>
      <c r="B1324">
        <v>441</v>
      </c>
      <c r="C1324" t="s">
        <v>621</v>
      </c>
      <c r="D1324">
        <v>8.4700000000000006</v>
      </c>
      <c r="E1324" t="s">
        <v>622</v>
      </c>
    </row>
    <row r="1325" spans="1:5" x14ac:dyDescent="0.3">
      <c r="A1325">
        <v>1324</v>
      </c>
      <c r="B1325">
        <v>442</v>
      </c>
      <c r="C1325" t="s">
        <v>605</v>
      </c>
      <c r="D1325">
        <v>177.65</v>
      </c>
      <c r="E1325" t="s">
        <v>606</v>
      </c>
    </row>
    <row r="1326" spans="1:5" x14ac:dyDescent="0.3">
      <c r="A1326">
        <v>1325</v>
      </c>
      <c r="B1326">
        <v>442</v>
      </c>
      <c r="C1326" t="s">
        <v>617</v>
      </c>
      <c r="D1326">
        <v>13.4</v>
      </c>
      <c r="E1326" t="s">
        <v>618</v>
      </c>
    </row>
    <row r="1327" spans="1:5" x14ac:dyDescent="0.3">
      <c r="A1327">
        <v>1326</v>
      </c>
      <c r="B1327">
        <v>442</v>
      </c>
      <c r="C1327" t="s">
        <v>613</v>
      </c>
      <c r="D1327">
        <v>2.85</v>
      </c>
      <c r="E1327" t="s">
        <v>614</v>
      </c>
    </row>
    <row r="1328" spans="1:5" x14ac:dyDescent="0.3">
      <c r="A1328">
        <v>1327</v>
      </c>
      <c r="B1328">
        <v>443</v>
      </c>
      <c r="C1328" t="s">
        <v>603</v>
      </c>
      <c r="D1328">
        <v>217.71</v>
      </c>
      <c r="E1328" t="s">
        <v>604</v>
      </c>
    </row>
    <row r="1329" spans="1:5" x14ac:dyDescent="0.3">
      <c r="A1329">
        <v>1328</v>
      </c>
      <c r="B1329">
        <v>443</v>
      </c>
      <c r="C1329" t="s">
        <v>619</v>
      </c>
      <c r="D1329">
        <v>0.93</v>
      </c>
      <c r="E1329" t="s">
        <v>620</v>
      </c>
    </row>
    <row r="1330" spans="1:5" x14ac:dyDescent="0.3">
      <c r="A1330">
        <v>1329</v>
      </c>
      <c r="B1330">
        <v>443</v>
      </c>
      <c r="C1330" t="s">
        <v>617</v>
      </c>
      <c r="D1330">
        <v>9.35</v>
      </c>
      <c r="E1330" t="s">
        <v>618</v>
      </c>
    </row>
    <row r="1331" spans="1:5" x14ac:dyDescent="0.3">
      <c r="A1331">
        <v>1330</v>
      </c>
      <c r="B1331">
        <v>444</v>
      </c>
      <c r="C1331" t="s">
        <v>603</v>
      </c>
      <c r="D1331">
        <v>187.15</v>
      </c>
      <c r="E1331" t="s">
        <v>604</v>
      </c>
    </row>
    <row r="1332" spans="1:5" x14ac:dyDescent="0.3">
      <c r="A1332">
        <v>1331</v>
      </c>
      <c r="B1332">
        <v>444</v>
      </c>
      <c r="C1332" t="s">
        <v>607</v>
      </c>
      <c r="D1332">
        <v>128.01</v>
      </c>
      <c r="E1332" t="s">
        <v>608</v>
      </c>
    </row>
    <row r="1333" spans="1:5" x14ac:dyDescent="0.3">
      <c r="A1333">
        <v>1332</v>
      </c>
      <c r="B1333">
        <v>444</v>
      </c>
      <c r="C1333" t="s">
        <v>615</v>
      </c>
      <c r="D1333">
        <v>188</v>
      </c>
      <c r="E1333" t="s">
        <v>616</v>
      </c>
    </row>
    <row r="1334" spans="1:5" x14ac:dyDescent="0.3">
      <c r="A1334">
        <v>1333</v>
      </c>
      <c r="B1334">
        <v>445</v>
      </c>
      <c r="C1334" t="s">
        <v>615</v>
      </c>
      <c r="D1334">
        <v>433.79</v>
      </c>
      <c r="E1334" t="s">
        <v>616</v>
      </c>
    </row>
    <row r="1335" spans="1:5" x14ac:dyDescent="0.3">
      <c r="A1335">
        <v>1334</v>
      </c>
      <c r="B1335">
        <v>445</v>
      </c>
      <c r="C1335" t="s">
        <v>617</v>
      </c>
      <c r="D1335">
        <v>12.27</v>
      </c>
      <c r="E1335" t="s">
        <v>618</v>
      </c>
    </row>
    <row r="1336" spans="1:5" x14ac:dyDescent="0.3">
      <c r="A1336">
        <v>1335</v>
      </c>
      <c r="B1336">
        <v>445</v>
      </c>
      <c r="C1336" t="s">
        <v>605</v>
      </c>
      <c r="D1336">
        <v>148.53</v>
      </c>
      <c r="E1336" t="s">
        <v>606</v>
      </c>
    </row>
    <row r="1337" spans="1:5" x14ac:dyDescent="0.3">
      <c r="A1337">
        <v>1336</v>
      </c>
      <c r="B1337">
        <v>446</v>
      </c>
      <c r="C1337" t="s">
        <v>619</v>
      </c>
      <c r="D1337">
        <v>1.52</v>
      </c>
      <c r="E1337" t="s">
        <v>620</v>
      </c>
    </row>
    <row r="1338" spans="1:5" x14ac:dyDescent="0.3">
      <c r="A1338">
        <v>1337</v>
      </c>
      <c r="B1338">
        <v>446</v>
      </c>
      <c r="C1338" t="s">
        <v>607</v>
      </c>
      <c r="D1338">
        <v>128.71</v>
      </c>
      <c r="E1338" t="s">
        <v>608</v>
      </c>
    </row>
    <row r="1339" spans="1:5" x14ac:dyDescent="0.3">
      <c r="A1339">
        <v>1338</v>
      </c>
      <c r="B1339">
        <v>446</v>
      </c>
      <c r="C1339" t="s">
        <v>611</v>
      </c>
      <c r="D1339">
        <v>16.8</v>
      </c>
      <c r="E1339" t="s">
        <v>612</v>
      </c>
    </row>
    <row r="1340" spans="1:5" x14ac:dyDescent="0.3">
      <c r="A1340">
        <v>1339</v>
      </c>
      <c r="B1340">
        <v>447</v>
      </c>
      <c r="C1340" t="s">
        <v>619</v>
      </c>
      <c r="D1340">
        <v>1.9</v>
      </c>
      <c r="E1340" t="s">
        <v>620</v>
      </c>
    </row>
    <row r="1341" spans="1:5" x14ac:dyDescent="0.3">
      <c r="A1341">
        <v>1340</v>
      </c>
      <c r="B1341">
        <v>447</v>
      </c>
      <c r="C1341" t="s">
        <v>607</v>
      </c>
      <c r="D1341">
        <v>147.88999999999999</v>
      </c>
      <c r="E1341" t="s">
        <v>608</v>
      </c>
    </row>
    <row r="1342" spans="1:5" x14ac:dyDescent="0.3">
      <c r="A1342">
        <v>1341</v>
      </c>
      <c r="B1342">
        <v>447</v>
      </c>
      <c r="C1342" t="s">
        <v>609</v>
      </c>
      <c r="D1342">
        <v>17.87</v>
      </c>
      <c r="E1342" t="s">
        <v>610</v>
      </c>
    </row>
    <row r="1343" spans="1:5" x14ac:dyDescent="0.3">
      <c r="A1343">
        <v>1342</v>
      </c>
      <c r="B1343">
        <v>448</v>
      </c>
      <c r="C1343" t="s">
        <v>617</v>
      </c>
      <c r="D1343">
        <v>10.33</v>
      </c>
      <c r="E1343" t="s">
        <v>618</v>
      </c>
    </row>
    <row r="1344" spans="1:5" x14ac:dyDescent="0.3">
      <c r="A1344">
        <v>1343</v>
      </c>
      <c r="B1344">
        <v>448</v>
      </c>
      <c r="C1344" t="s">
        <v>621</v>
      </c>
      <c r="D1344">
        <v>9.43</v>
      </c>
      <c r="E1344" t="s">
        <v>622</v>
      </c>
    </row>
    <row r="1345" spans="1:5" x14ac:dyDescent="0.3">
      <c r="A1345">
        <v>1344</v>
      </c>
      <c r="B1345">
        <v>448</v>
      </c>
      <c r="C1345" t="s">
        <v>605</v>
      </c>
      <c r="D1345">
        <v>184.5</v>
      </c>
      <c r="E1345" t="s">
        <v>606</v>
      </c>
    </row>
    <row r="1346" spans="1:5" x14ac:dyDescent="0.3">
      <c r="A1346">
        <v>1345</v>
      </c>
      <c r="B1346">
        <v>449</v>
      </c>
      <c r="C1346" t="s">
        <v>621</v>
      </c>
      <c r="D1346">
        <v>6</v>
      </c>
      <c r="E1346" t="s">
        <v>622</v>
      </c>
    </row>
    <row r="1347" spans="1:5" x14ac:dyDescent="0.3">
      <c r="A1347">
        <v>1346</v>
      </c>
      <c r="B1347">
        <v>449</v>
      </c>
      <c r="C1347" t="s">
        <v>605</v>
      </c>
      <c r="D1347">
        <v>203.26</v>
      </c>
      <c r="E1347" t="s">
        <v>606</v>
      </c>
    </row>
    <row r="1348" spans="1:5" x14ac:dyDescent="0.3">
      <c r="A1348">
        <v>1347</v>
      </c>
      <c r="B1348">
        <v>449</v>
      </c>
      <c r="C1348" t="s">
        <v>619</v>
      </c>
      <c r="D1348">
        <v>1.2</v>
      </c>
      <c r="E1348" t="s">
        <v>620</v>
      </c>
    </row>
    <row r="1349" spans="1:5" x14ac:dyDescent="0.3">
      <c r="A1349">
        <v>1348</v>
      </c>
      <c r="B1349">
        <v>450</v>
      </c>
      <c r="C1349" t="s">
        <v>617</v>
      </c>
      <c r="D1349">
        <v>10.37</v>
      </c>
      <c r="E1349" t="s">
        <v>618</v>
      </c>
    </row>
    <row r="1350" spans="1:5" x14ac:dyDescent="0.3">
      <c r="A1350">
        <v>1349</v>
      </c>
      <c r="B1350">
        <v>450</v>
      </c>
      <c r="C1350" t="s">
        <v>611</v>
      </c>
      <c r="D1350">
        <v>13.6</v>
      </c>
      <c r="E1350" t="s">
        <v>612</v>
      </c>
    </row>
    <row r="1351" spans="1:5" x14ac:dyDescent="0.3">
      <c r="A1351">
        <v>1350</v>
      </c>
      <c r="B1351">
        <v>450</v>
      </c>
      <c r="C1351" t="s">
        <v>621</v>
      </c>
      <c r="D1351">
        <v>8.3699999999999992</v>
      </c>
      <c r="E1351" t="s">
        <v>622</v>
      </c>
    </row>
    <row r="1352" spans="1:5" x14ac:dyDescent="0.3">
      <c r="A1352">
        <v>1351</v>
      </c>
      <c r="B1352">
        <v>451</v>
      </c>
      <c r="C1352" t="s">
        <v>607</v>
      </c>
      <c r="D1352">
        <v>131.05000000000001</v>
      </c>
      <c r="E1352" t="s">
        <v>608</v>
      </c>
    </row>
    <row r="1353" spans="1:5" x14ac:dyDescent="0.3">
      <c r="A1353">
        <v>1352</v>
      </c>
      <c r="B1353">
        <v>451</v>
      </c>
      <c r="C1353" t="s">
        <v>621</v>
      </c>
      <c r="D1353">
        <v>7.54</v>
      </c>
      <c r="E1353" t="s">
        <v>622</v>
      </c>
    </row>
    <row r="1354" spans="1:5" x14ac:dyDescent="0.3">
      <c r="A1354">
        <v>1353</v>
      </c>
      <c r="B1354">
        <v>451</v>
      </c>
      <c r="C1354" t="s">
        <v>611</v>
      </c>
      <c r="D1354">
        <v>10.29</v>
      </c>
      <c r="E1354" t="s">
        <v>612</v>
      </c>
    </row>
    <row r="1355" spans="1:5" x14ac:dyDescent="0.3">
      <c r="A1355">
        <v>1354</v>
      </c>
      <c r="B1355">
        <v>452</v>
      </c>
      <c r="C1355" t="s">
        <v>615</v>
      </c>
      <c r="D1355">
        <v>249.68</v>
      </c>
      <c r="E1355" t="s">
        <v>616</v>
      </c>
    </row>
    <row r="1356" spans="1:5" x14ac:dyDescent="0.3">
      <c r="A1356">
        <v>1355</v>
      </c>
      <c r="B1356">
        <v>452</v>
      </c>
      <c r="C1356" t="s">
        <v>613</v>
      </c>
      <c r="D1356">
        <v>4.2300000000000004</v>
      </c>
      <c r="E1356" t="s">
        <v>614</v>
      </c>
    </row>
    <row r="1357" spans="1:5" x14ac:dyDescent="0.3">
      <c r="A1357">
        <v>1356</v>
      </c>
      <c r="B1357">
        <v>452</v>
      </c>
      <c r="C1357" t="s">
        <v>621</v>
      </c>
      <c r="D1357">
        <v>7.28</v>
      </c>
      <c r="E1357" t="s">
        <v>622</v>
      </c>
    </row>
    <row r="1358" spans="1:5" x14ac:dyDescent="0.3">
      <c r="A1358">
        <v>1357</v>
      </c>
      <c r="B1358">
        <v>453</v>
      </c>
      <c r="C1358" t="s">
        <v>603</v>
      </c>
      <c r="D1358">
        <v>242.14</v>
      </c>
      <c r="E1358" t="s">
        <v>604</v>
      </c>
    </row>
    <row r="1359" spans="1:5" x14ac:dyDescent="0.3">
      <c r="A1359">
        <v>1358</v>
      </c>
      <c r="B1359">
        <v>453</v>
      </c>
      <c r="C1359" t="s">
        <v>609</v>
      </c>
      <c r="D1359">
        <v>8.48</v>
      </c>
      <c r="E1359" t="s">
        <v>610</v>
      </c>
    </row>
    <row r="1360" spans="1:5" x14ac:dyDescent="0.3">
      <c r="A1360">
        <v>1359</v>
      </c>
      <c r="B1360">
        <v>453</v>
      </c>
      <c r="C1360" t="s">
        <v>621</v>
      </c>
      <c r="D1360">
        <v>10.050000000000001</v>
      </c>
      <c r="E1360" t="s">
        <v>622</v>
      </c>
    </row>
    <row r="1361" spans="1:5" x14ac:dyDescent="0.3">
      <c r="A1361">
        <v>1360</v>
      </c>
      <c r="B1361">
        <v>454</v>
      </c>
      <c r="C1361" t="s">
        <v>621</v>
      </c>
      <c r="D1361">
        <v>8.64</v>
      </c>
      <c r="E1361" t="s">
        <v>622</v>
      </c>
    </row>
    <row r="1362" spans="1:5" x14ac:dyDescent="0.3">
      <c r="A1362">
        <v>1361</v>
      </c>
      <c r="B1362">
        <v>454</v>
      </c>
      <c r="C1362" t="s">
        <v>617</v>
      </c>
      <c r="D1362">
        <v>7.85</v>
      </c>
      <c r="E1362" t="s">
        <v>618</v>
      </c>
    </row>
    <row r="1363" spans="1:5" x14ac:dyDescent="0.3">
      <c r="A1363">
        <v>1362</v>
      </c>
      <c r="B1363">
        <v>454</v>
      </c>
      <c r="C1363" t="s">
        <v>619</v>
      </c>
      <c r="D1363">
        <v>2.67</v>
      </c>
      <c r="E1363" t="s">
        <v>620</v>
      </c>
    </row>
    <row r="1364" spans="1:5" x14ac:dyDescent="0.3">
      <c r="A1364">
        <v>1363</v>
      </c>
      <c r="B1364">
        <v>455</v>
      </c>
      <c r="C1364" t="s">
        <v>621</v>
      </c>
      <c r="D1364">
        <v>10.039999999999999</v>
      </c>
      <c r="E1364" t="s">
        <v>622</v>
      </c>
    </row>
    <row r="1365" spans="1:5" x14ac:dyDescent="0.3">
      <c r="A1365">
        <v>1364</v>
      </c>
      <c r="B1365">
        <v>455</v>
      </c>
      <c r="C1365" t="s">
        <v>617</v>
      </c>
      <c r="D1365">
        <v>8.1</v>
      </c>
      <c r="E1365" t="s">
        <v>618</v>
      </c>
    </row>
    <row r="1366" spans="1:5" x14ac:dyDescent="0.3">
      <c r="A1366">
        <v>1365</v>
      </c>
      <c r="B1366">
        <v>455</v>
      </c>
      <c r="C1366" t="s">
        <v>603</v>
      </c>
      <c r="D1366">
        <v>139.54</v>
      </c>
      <c r="E1366" t="s">
        <v>604</v>
      </c>
    </row>
    <row r="1367" spans="1:5" x14ac:dyDescent="0.3">
      <c r="A1367">
        <v>1366</v>
      </c>
      <c r="B1367">
        <v>456</v>
      </c>
      <c r="C1367" t="s">
        <v>603</v>
      </c>
      <c r="D1367">
        <v>220.25</v>
      </c>
      <c r="E1367" t="s">
        <v>604</v>
      </c>
    </row>
    <row r="1368" spans="1:5" x14ac:dyDescent="0.3">
      <c r="A1368">
        <v>1367</v>
      </c>
      <c r="B1368">
        <v>456</v>
      </c>
      <c r="C1368" t="s">
        <v>613</v>
      </c>
      <c r="D1368">
        <v>3.09</v>
      </c>
      <c r="E1368" t="s">
        <v>614</v>
      </c>
    </row>
    <row r="1369" spans="1:5" x14ac:dyDescent="0.3">
      <c r="A1369">
        <v>1368</v>
      </c>
      <c r="B1369">
        <v>456</v>
      </c>
      <c r="C1369" t="s">
        <v>609</v>
      </c>
      <c r="D1369">
        <v>5.48</v>
      </c>
      <c r="E1369" t="s">
        <v>610</v>
      </c>
    </row>
    <row r="1370" spans="1:5" x14ac:dyDescent="0.3">
      <c r="A1370">
        <v>1369</v>
      </c>
      <c r="B1370">
        <v>457</v>
      </c>
      <c r="C1370" t="s">
        <v>611</v>
      </c>
      <c r="D1370">
        <v>15.63</v>
      </c>
      <c r="E1370" t="s">
        <v>612</v>
      </c>
    </row>
    <row r="1371" spans="1:5" x14ac:dyDescent="0.3">
      <c r="A1371">
        <v>1370</v>
      </c>
      <c r="B1371">
        <v>457</v>
      </c>
      <c r="C1371" t="s">
        <v>615</v>
      </c>
      <c r="D1371">
        <v>297.91000000000003</v>
      </c>
      <c r="E1371" t="s">
        <v>616</v>
      </c>
    </row>
    <row r="1372" spans="1:5" x14ac:dyDescent="0.3">
      <c r="A1372">
        <v>1371</v>
      </c>
      <c r="B1372">
        <v>457</v>
      </c>
      <c r="C1372" t="s">
        <v>621</v>
      </c>
      <c r="D1372">
        <v>9.52</v>
      </c>
      <c r="E1372" t="s">
        <v>622</v>
      </c>
    </row>
    <row r="1373" spans="1:5" x14ac:dyDescent="0.3">
      <c r="A1373">
        <v>1372</v>
      </c>
      <c r="B1373">
        <v>458</v>
      </c>
      <c r="C1373" t="s">
        <v>603</v>
      </c>
      <c r="D1373">
        <v>194.79</v>
      </c>
      <c r="E1373" t="s">
        <v>604</v>
      </c>
    </row>
    <row r="1374" spans="1:5" x14ac:dyDescent="0.3">
      <c r="A1374">
        <v>1373</v>
      </c>
      <c r="B1374">
        <v>458</v>
      </c>
      <c r="C1374" t="s">
        <v>611</v>
      </c>
      <c r="D1374">
        <v>12.42</v>
      </c>
      <c r="E1374" t="s">
        <v>612</v>
      </c>
    </row>
    <row r="1375" spans="1:5" x14ac:dyDescent="0.3">
      <c r="A1375">
        <v>1374</v>
      </c>
      <c r="B1375">
        <v>458</v>
      </c>
      <c r="C1375" t="s">
        <v>621</v>
      </c>
      <c r="D1375">
        <v>8.5</v>
      </c>
      <c r="E1375" t="s">
        <v>622</v>
      </c>
    </row>
    <row r="1376" spans="1:5" x14ac:dyDescent="0.3">
      <c r="A1376">
        <v>1375</v>
      </c>
      <c r="B1376">
        <v>459</v>
      </c>
      <c r="C1376" t="s">
        <v>613</v>
      </c>
      <c r="D1376">
        <v>5.84</v>
      </c>
      <c r="E1376" t="s">
        <v>614</v>
      </c>
    </row>
    <row r="1377" spans="1:5" x14ac:dyDescent="0.3">
      <c r="A1377">
        <v>1376</v>
      </c>
      <c r="B1377">
        <v>459</v>
      </c>
      <c r="C1377" t="s">
        <v>605</v>
      </c>
      <c r="D1377">
        <v>247.93</v>
      </c>
      <c r="E1377" t="s">
        <v>606</v>
      </c>
    </row>
    <row r="1378" spans="1:5" x14ac:dyDescent="0.3">
      <c r="A1378">
        <v>1377</v>
      </c>
      <c r="B1378">
        <v>459</v>
      </c>
      <c r="C1378" t="s">
        <v>619</v>
      </c>
      <c r="D1378">
        <v>1.04</v>
      </c>
      <c r="E1378" t="s">
        <v>620</v>
      </c>
    </row>
    <row r="1379" spans="1:5" x14ac:dyDescent="0.3">
      <c r="A1379">
        <v>1378</v>
      </c>
      <c r="B1379">
        <v>460</v>
      </c>
      <c r="C1379" t="s">
        <v>617</v>
      </c>
      <c r="D1379">
        <v>11.11</v>
      </c>
      <c r="E1379" t="s">
        <v>618</v>
      </c>
    </row>
    <row r="1380" spans="1:5" x14ac:dyDescent="0.3">
      <c r="A1380">
        <v>1379</v>
      </c>
      <c r="B1380">
        <v>460</v>
      </c>
      <c r="C1380" t="s">
        <v>603</v>
      </c>
      <c r="D1380">
        <v>102.13</v>
      </c>
      <c r="E1380" t="s">
        <v>604</v>
      </c>
    </row>
    <row r="1381" spans="1:5" x14ac:dyDescent="0.3">
      <c r="A1381">
        <v>1380</v>
      </c>
      <c r="B1381">
        <v>460</v>
      </c>
      <c r="C1381" t="s">
        <v>613</v>
      </c>
      <c r="D1381">
        <v>3.03</v>
      </c>
      <c r="E1381" t="s">
        <v>614</v>
      </c>
    </row>
    <row r="1382" spans="1:5" x14ac:dyDescent="0.3">
      <c r="A1382">
        <v>1381</v>
      </c>
      <c r="B1382">
        <v>461</v>
      </c>
      <c r="C1382" t="s">
        <v>605</v>
      </c>
      <c r="D1382">
        <v>169.44</v>
      </c>
      <c r="E1382" t="s">
        <v>606</v>
      </c>
    </row>
    <row r="1383" spans="1:5" x14ac:dyDescent="0.3">
      <c r="A1383">
        <v>1382</v>
      </c>
      <c r="B1383">
        <v>461</v>
      </c>
      <c r="C1383" t="s">
        <v>611</v>
      </c>
      <c r="D1383">
        <v>8.09</v>
      </c>
      <c r="E1383" t="s">
        <v>612</v>
      </c>
    </row>
    <row r="1384" spans="1:5" x14ac:dyDescent="0.3">
      <c r="A1384">
        <v>1383</v>
      </c>
      <c r="B1384">
        <v>461</v>
      </c>
      <c r="C1384" t="s">
        <v>609</v>
      </c>
      <c r="D1384">
        <v>0.59</v>
      </c>
      <c r="E1384" t="s">
        <v>610</v>
      </c>
    </row>
    <row r="1385" spans="1:5" x14ac:dyDescent="0.3">
      <c r="A1385">
        <v>1384</v>
      </c>
      <c r="B1385">
        <v>462</v>
      </c>
      <c r="C1385" t="s">
        <v>609</v>
      </c>
      <c r="D1385">
        <v>1.21</v>
      </c>
      <c r="E1385" t="s">
        <v>610</v>
      </c>
    </row>
    <row r="1386" spans="1:5" x14ac:dyDescent="0.3">
      <c r="A1386">
        <v>1385</v>
      </c>
      <c r="B1386">
        <v>462</v>
      </c>
      <c r="C1386" t="s">
        <v>613</v>
      </c>
      <c r="D1386">
        <v>3.21</v>
      </c>
      <c r="E1386" t="s">
        <v>614</v>
      </c>
    </row>
    <row r="1387" spans="1:5" x14ac:dyDescent="0.3">
      <c r="A1387">
        <v>1386</v>
      </c>
      <c r="B1387">
        <v>462</v>
      </c>
      <c r="C1387" t="s">
        <v>607</v>
      </c>
      <c r="D1387">
        <v>136.9</v>
      </c>
      <c r="E1387" t="s">
        <v>608</v>
      </c>
    </row>
    <row r="1388" spans="1:5" x14ac:dyDescent="0.3">
      <c r="A1388">
        <v>1387</v>
      </c>
      <c r="B1388">
        <v>463</v>
      </c>
      <c r="C1388" t="s">
        <v>605</v>
      </c>
      <c r="D1388">
        <v>284.33999999999997</v>
      </c>
      <c r="E1388" t="s">
        <v>606</v>
      </c>
    </row>
    <row r="1389" spans="1:5" x14ac:dyDescent="0.3">
      <c r="A1389">
        <v>1388</v>
      </c>
      <c r="B1389">
        <v>463</v>
      </c>
      <c r="C1389" t="s">
        <v>619</v>
      </c>
      <c r="D1389">
        <v>2.88</v>
      </c>
      <c r="E1389" t="s">
        <v>620</v>
      </c>
    </row>
    <row r="1390" spans="1:5" x14ac:dyDescent="0.3">
      <c r="A1390">
        <v>1389</v>
      </c>
      <c r="B1390">
        <v>463</v>
      </c>
      <c r="C1390" t="s">
        <v>617</v>
      </c>
      <c r="D1390">
        <v>14.17</v>
      </c>
      <c r="E1390" t="s">
        <v>618</v>
      </c>
    </row>
    <row r="1391" spans="1:5" x14ac:dyDescent="0.3">
      <c r="A1391">
        <v>1390</v>
      </c>
      <c r="B1391">
        <v>464</v>
      </c>
      <c r="C1391" t="s">
        <v>621</v>
      </c>
      <c r="D1391">
        <v>5.17</v>
      </c>
      <c r="E1391" t="s">
        <v>622</v>
      </c>
    </row>
    <row r="1392" spans="1:5" x14ac:dyDescent="0.3">
      <c r="A1392">
        <v>1391</v>
      </c>
      <c r="B1392">
        <v>464</v>
      </c>
      <c r="C1392" t="s">
        <v>611</v>
      </c>
      <c r="D1392">
        <v>7.23</v>
      </c>
      <c r="E1392" t="s">
        <v>612</v>
      </c>
    </row>
    <row r="1393" spans="1:5" x14ac:dyDescent="0.3">
      <c r="A1393">
        <v>1392</v>
      </c>
      <c r="B1393">
        <v>464</v>
      </c>
      <c r="C1393" t="s">
        <v>607</v>
      </c>
      <c r="D1393">
        <v>131.12</v>
      </c>
      <c r="E1393" t="s">
        <v>608</v>
      </c>
    </row>
    <row r="1394" spans="1:5" x14ac:dyDescent="0.3">
      <c r="A1394">
        <v>1393</v>
      </c>
      <c r="B1394">
        <v>465</v>
      </c>
      <c r="C1394" t="s">
        <v>619</v>
      </c>
      <c r="D1394">
        <v>2.17</v>
      </c>
      <c r="E1394" t="s">
        <v>620</v>
      </c>
    </row>
    <row r="1395" spans="1:5" x14ac:dyDescent="0.3">
      <c r="A1395">
        <v>1394</v>
      </c>
      <c r="B1395">
        <v>465</v>
      </c>
      <c r="C1395" t="s">
        <v>605</v>
      </c>
      <c r="D1395">
        <v>178.01</v>
      </c>
      <c r="E1395" t="s">
        <v>606</v>
      </c>
    </row>
    <row r="1396" spans="1:5" x14ac:dyDescent="0.3">
      <c r="A1396">
        <v>1395</v>
      </c>
      <c r="B1396">
        <v>465</v>
      </c>
      <c r="C1396" t="s">
        <v>621</v>
      </c>
      <c r="D1396">
        <v>9.34</v>
      </c>
      <c r="E1396" t="s">
        <v>622</v>
      </c>
    </row>
    <row r="1397" spans="1:5" x14ac:dyDescent="0.3">
      <c r="A1397">
        <v>1396</v>
      </c>
      <c r="B1397">
        <v>466</v>
      </c>
      <c r="C1397" t="s">
        <v>621</v>
      </c>
      <c r="D1397">
        <v>9.34</v>
      </c>
      <c r="E1397" t="s">
        <v>622</v>
      </c>
    </row>
    <row r="1398" spans="1:5" x14ac:dyDescent="0.3">
      <c r="A1398">
        <v>1397</v>
      </c>
      <c r="B1398">
        <v>466</v>
      </c>
      <c r="C1398" t="s">
        <v>613</v>
      </c>
      <c r="D1398">
        <v>4.13</v>
      </c>
      <c r="E1398" t="s">
        <v>614</v>
      </c>
    </row>
    <row r="1399" spans="1:5" x14ac:dyDescent="0.3">
      <c r="A1399">
        <v>1398</v>
      </c>
      <c r="B1399">
        <v>466</v>
      </c>
      <c r="C1399" t="s">
        <v>615</v>
      </c>
      <c r="D1399">
        <v>344.18</v>
      </c>
      <c r="E1399" t="s">
        <v>616</v>
      </c>
    </row>
    <row r="1400" spans="1:5" x14ac:dyDescent="0.3">
      <c r="A1400">
        <v>1399</v>
      </c>
      <c r="B1400">
        <v>467</v>
      </c>
      <c r="C1400" t="s">
        <v>611</v>
      </c>
      <c r="D1400">
        <v>15.54</v>
      </c>
      <c r="E1400" t="s">
        <v>612</v>
      </c>
    </row>
    <row r="1401" spans="1:5" x14ac:dyDescent="0.3">
      <c r="A1401">
        <v>1400</v>
      </c>
      <c r="B1401">
        <v>467</v>
      </c>
      <c r="C1401" t="s">
        <v>613</v>
      </c>
      <c r="D1401">
        <v>3.3</v>
      </c>
      <c r="E1401" t="s">
        <v>614</v>
      </c>
    </row>
    <row r="1402" spans="1:5" x14ac:dyDescent="0.3">
      <c r="A1402">
        <v>1401</v>
      </c>
      <c r="B1402">
        <v>467</v>
      </c>
      <c r="C1402" t="s">
        <v>607</v>
      </c>
      <c r="D1402">
        <v>134.24</v>
      </c>
      <c r="E1402" t="s">
        <v>608</v>
      </c>
    </row>
    <row r="1403" spans="1:5" x14ac:dyDescent="0.3">
      <c r="A1403">
        <v>1402</v>
      </c>
      <c r="B1403">
        <v>468</v>
      </c>
      <c r="C1403" t="s">
        <v>611</v>
      </c>
      <c r="D1403">
        <v>13.1</v>
      </c>
      <c r="E1403" t="s">
        <v>612</v>
      </c>
    </row>
    <row r="1404" spans="1:5" x14ac:dyDescent="0.3">
      <c r="A1404">
        <v>1403</v>
      </c>
      <c r="B1404">
        <v>468</v>
      </c>
      <c r="C1404" t="s">
        <v>607</v>
      </c>
      <c r="D1404">
        <v>128.75</v>
      </c>
      <c r="E1404" t="s">
        <v>608</v>
      </c>
    </row>
    <row r="1405" spans="1:5" x14ac:dyDescent="0.3">
      <c r="A1405">
        <v>1404</v>
      </c>
      <c r="B1405">
        <v>468</v>
      </c>
      <c r="C1405" t="s">
        <v>603</v>
      </c>
      <c r="D1405">
        <v>185.33</v>
      </c>
      <c r="E1405" t="s">
        <v>604</v>
      </c>
    </row>
    <row r="1406" spans="1:5" x14ac:dyDescent="0.3">
      <c r="A1406">
        <v>1405</v>
      </c>
      <c r="B1406">
        <v>469</v>
      </c>
      <c r="C1406" t="s">
        <v>621</v>
      </c>
      <c r="D1406">
        <v>11.26</v>
      </c>
      <c r="E1406" t="s">
        <v>622</v>
      </c>
    </row>
    <row r="1407" spans="1:5" x14ac:dyDescent="0.3">
      <c r="A1407">
        <v>1406</v>
      </c>
      <c r="B1407">
        <v>469</v>
      </c>
      <c r="C1407" t="s">
        <v>613</v>
      </c>
      <c r="D1407">
        <v>4.01</v>
      </c>
      <c r="E1407" t="s">
        <v>614</v>
      </c>
    </row>
    <row r="1408" spans="1:5" x14ac:dyDescent="0.3">
      <c r="A1408">
        <v>1407</v>
      </c>
      <c r="B1408">
        <v>469</v>
      </c>
      <c r="C1408" t="s">
        <v>603</v>
      </c>
      <c r="D1408">
        <v>90.77</v>
      </c>
      <c r="E1408" t="s">
        <v>604</v>
      </c>
    </row>
    <row r="1409" spans="1:5" x14ac:dyDescent="0.3">
      <c r="A1409">
        <v>1408</v>
      </c>
      <c r="B1409">
        <v>470</v>
      </c>
      <c r="C1409" t="s">
        <v>613</v>
      </c>
      <c r="D1409">
        <v>6.14</v>
      </c>
      <c r="E1409" t="s">
        <v>614</v>
      </c>
    </row>
    <row r="1410" spans="1:5" x14ac:dyDescent="0.3">
      <c r="A1410">
        <v>1409</v>
      </c>
      <c r="B1410">
        <v>470</v>
      </c>
      <c r="C1410" t="s">
        <v>617</v>
      </c>
      <c r="D1410">
        <v>7.65</v>
      </c>
      <c r="E1410" t="s">
        <v>618</v>
      </c>
    </row>
    <row r="1411" spans="1:5" x14ac:dyDescent="0.3">
      <c r="A1411">
        <v>1410</v>
      </c>
      <c r="B1411">
        <v>470</v>
      </c>
      <c r="C1411" t="s">
        <v>603</v>
      </c>
      <c r="D1411">
        <v>223.33</v>
      </c>
      <c r="E1411" t="s">
        <v>604</v>
      </c>
    </row>
    <row r="1412" spans="1:5" x14ac:dyDescent="0.3">
      <c r="A1412">
        <v>1411</v>
      </c>
      <c r="B1412">
        <v>471</v>
      </c>
      <c r="C1412" t="s">
        <v>609</v>
      </c>
      <c r="D1412">
        <v>18.059999999999999</v>
      </c>
      <c r="E1412" t="s">
        <v>610</v>
      </c>
    </row>
    <row r="1413" spans="1:5" x14ac:dyDescent="0.3">
      <c r="A1413">
        <v>1412</v>
      </c>
      <c r="B1413">
        <v>471</v>
      </c>
      <c r="C1413" t="s">
        <v>619</v>
      </c>
      <c r="D1413">
        <v>2.34</v>
      </c>
      <c r="E1413" t="s">
        <v>620</v>
      </c>
    </row>
    <row r="1414" spans="1:5" x14ac:dyDescent="0.3">
      <c r="A1414">
        <v>1413</v>
      </c>
      <c r="B1414">
        <v>471</v>
      </c>
      <c r="C1414" t="s">
        <v>615</v>
      </c>
      <c r="D1414">
        <v>279.57</v>
      </c>
      <c r="E1414" t="s">
        <v>616</v>
      </c>
    </row>
    <row r="1415" spans="1:5" x14ac:dyDescent="0.3">
      <c r="A1415">
        <v>1414</v>
      </c>
      <c r="B1415">
        <v>472</v>
      </c>
      <c r="C1415" t="s">
        <v>605</v>
      </c>
      <c r="D1415">
        <v>251.19</v>
      </c>
      <c r="E1415" t="s">
        <v>606</v>
      </c>
    </row>
    <row r="1416" spans="1:5" x14ac:dyDescent="0.3">
      <c r="A1416">
        <v>1415</v>
      </c>
      <c r="B1416">
        <v>472</v>
      </c>
      <c r="C1416" t="s">
        <v>621</v>
      </c>
      <c r="D1416">
        <v>8.51</v>
      </c>
      <c r="E1416" t="s">
        <v>622</v>
      </c>
    </row>
    <row r="1417" spans="1:5" x14ac:dyDescent="0.3">
      <c r="A1417">
        <v>1416</v>
      </c>
      <c r="B1417">
        <v>472</v>
      </c>
      <c r="C1417" t="s">
        <v>615</v>
      </c>
      <c r="D1417">
        <v>260.82</v>
      </c>
      <c r="E1417" t="s">
        <v>616</v>
      </c>
    </row>
    <row r="1418" spans="1:5" x14ac:dyDescent="0.3">
      <c r="A1418">
        <v>1417</v>
      </c>
      <c r="B1418">
        <v>473</v>
      </c>
      <c r="C1418" t="s">
        <v>605</v>
      </c>
      <c r="D1418">
        <v>304.7</v>
      </c>
      <c r="E1418" t="s">
        <v>606</v>
      </c>
    </row>
    <row r="1419" spans="1:5" x14ac:dyDescent="0.3">
      <c r="A1419">
        <v>1418</v>
      </c>
      <c r="B1419">
        <v>473</v>
      </c>
      <c r="C1419" t="s">
        <v>617</v>
      </c>
      <c r="D1419">
        <v>3.89</v>
      </c>
      <c r="E1419" t="s">
        <v>618</v>
      </c>
    </row>
    <row r="1420" spans="1:5" x14ac:dyDescent="0.3">
      <c r="A1420">
        <v>1419</v>
      </c>
      <c r="B1420">
        <v>473</v>
      </c>
      <c r="C1420" t="s">
        <v>609</v>
      </c>
      <c r="D1420">
        <v>16.8</v>
      </c>
      <c r="E1420" t="s">
        <v>610</v>
      </c>
    </row>
    <row r="1421" spans="1:5" x14ac:dyDescent="0.3">
      <c r="A1421">
        <v>1420</v>
      </c>
      <c r="B1421">
        <v>474</v>
      </c>
      <c r="C1421" t="s">
        <v>613</v>
      </c>
      <c r="D1421">
        <v>4.8600000000000003</v>
      </c>
      <c r="E1421" t="s">
        <v>614</v>
      </c>
    </row>
    <row r="1422" spans="1:5" x14ac:dyDescent="0.3">
      <c r="A1422">
        <v>1421</v>
      </c>
      <c r="B1422">
        <v>474</v>
      </c>
      <c r="C1422" t="s">
        <v>607</v>
      </c>
      <c r="D1422">
        <v>131.97</v>
      </c>
      <c r="E1422" t="s">
        <v>608</v>
      </c>
    </row>
    <row r="1423" spans="1:5" x14ac:dyDescent="0.3">
      <c r="A1423">
        <v>1422</v>
      </c>
      <c r="B1423">
        <v>474</v>
      </c>
      <c r="C1423" t="s">
        <v>621</v>
      </c>
      <c r="D1423">
        <v>9.67</v>
      </c>
      <c r="E1423" t="s">
        <v>622</v>
      </c>
    </row>
    <row r="1424" spans="1:5" x14ac:dyDescent="0.3">
      <c r="A1424">
        <v>1423</v>
      </c>
      <c r="B1424">
        <v>475</v>
      </c>
      <c r="C1424" t="s">
        <v>609</v>
      </c>
      <c r="D1424">
        <v>2.68</v>
      </c>
      <c r="E1424" t="s">
        <v>610</v>
      </c>
    </row>
    <row r="1425" spans="1:5" x14ac:dyDescent="0.3">
      <c r="A1425">
        <v>1424</v>
      </c>
      <c r="B1425">
        <v>475</v>
      </c>
      <c r="C1425" t="s">
        <v>621</v>
      </c>
      <c r="D1425">
        <v>6.59</v>
      </c>
      <c r="E1425" t="s">
        <v>622</v>
      </c>
    </row>
    <row r="1426" spans="1:5" x14ac:dyDescent="0.3">
      <c r="A1426">
        <v>1425</v>
      </c>
      <c r="B1426">
        <v>475</v>
      </c>
      <c r="C1426" t="s">
        <v>617</v>
      </c>
      <c r="D1426">
        <v>15.42</v>
      </c>
      <c r="E1426" t="s">
        <v>618</v>
      </c>
    </row>
    <row r="1427" spans="1:5" x14ac:dyDescent="0.3">
      <c r="A1427">
        <v>1426</v>
      </c>
      <c r="B1427">
        <v>476</v>
      </c>
      <c r="C1427" t="s">
        <v>615</v>
      </c>
      <c r="D1427">
        <v>115.73</v>
      </c>
      <c r="E1427" t="s">
        <v>616</v>
      </c>
    </row>
    <row r="1428" spans="1:5" x14ac:dyDescent="0.3">
      <c r="A1428">
        <v>1427</v>
      </c>
      <c r="B1428">
        <v>476</v>
      </c>
      <c r="C1428" t="s">
        <v>607</v>
      </c>
      <c r="D1428">
        <v>146.74</v>
      </c>
      <c r="E1428" t="s">
        <v>608</v>
      </c>
    </row>
    <row r="1429" spans="1:5" x14ac:dyDescent="0.3">
      <c r="A1429">
        <v>1428</v>
      </c>
      <c r="B1429">
        <v>476</v>
      </c>
      <c r="C1429" t="s">
        <v>611</v>
      </c>
      <c r="D1429">
        <v>8.67</v>
      </c>
      <c r="E1429" t="s">
        <v>612</v>
      </c>
    </row>
    <row r="1430" spans="1:5" x14ac:dyDescent="0.3">
      <c r="A1430">
        <v>1429</v>
      </c>
      <c r="B1430">
        <v>477</v>
      </c>
      <c r="C1430" t="s">
        <v>611</v>
      </c>
      <c r="D1430">
        <v>16.809999999999999</v>
      </c>
      <c r="E1430" t="s">
        <v>612</v>
      </c>
    </row>
    <row r="1431" spans="1:5" x14ac:dyDescent="0.3">
      <c r="A1431">
        <v>1430</v>
      </c>
      <c r="B1431">
        <v>477</v>
      </c>
      <c r="C1431" t="s">
        <v>621</v>
      </c>
      <c r="D1431">
        <v>7.81</v>
      </c>
      <c r="E1431" t="s">
        <v>622</v>
      </c>
    </row>
    <row r="1432" spans="1:5" x14ac:dyDescent="0.3">
      <c r="A1432">
        <v>1431</v>
      </c>
      <c r="B1432">
        <v>477</v>
      </c>
      <c r="C1432" t="s">
        <v>613</v>
      </c>
      <c r="D1432">
        <v>5.38</v>
      </c>
      <c r="E1432" t="s">
        <v>614</v>
      </c>
    </row>
    <row r="1433" spans="1:5" x14ac:dyDescent="0.3">
      <c r="A1433">
        <v>1432</v>
      </c>
      <c r="B1433">
        <v>478</v>
      </c>
      <c r="C1433" t="s">
        <v>619</v>
      </c>
      <c r="D1433">
        <v>3.05</v>
      </c>
      <c r="E1433" t="s">
        <v>620</v>
      </c>
    </row>
    <row r="1434" spans="1:5" x14ac:dyDescent="0.3">
      <c r="A1434">
        <v>1433</v>
      </c>
      <c r="B1434">
        <v>478</v>
      </c>
      <c r="C1434" t="s">
        <v>611</v>
      </c>
      <c r="D1434">
        <v>11.03</v>
      </c>
      <c r="E1434" t="s">
        <v>612</v>
      </c>
    </row>
    <row r="1435" spans="1:5" x14ac:dyDescent="0.3">
      <c r="A1435">
        <v>1434</v>
      </c>
      <c r="B1435">
        <v>478</v>
      </c>
      <c r="C1435" t="s">
        <v>605</v>
      </c>
      <c r="D1435">
        <v>314.66000000000003</v>
      </c>
      <c r="E1435" t="s">
        <v>606</v>
      </c>
    </row>
    <row r="1436" spans="1:5" x14ac:dyDescent="0.3">
      <c r="A1436">
        <v>1435</v>
      </c>
      <c r="B1436">
        <v>479</v>
      </c>
      <c r="C1436" t="s">
        <v>611</v>
      </c>
      <c r="D1436">
        <v>8.1999999999999993</v>
      </c>
      <c r="E1436" t="s">
        <v>612</v>
      </c>
    </row>
    <row r="1437" spans="1:5" x14ac:dyDescent="0.3">
      <c r="A1437">
        <v>1436</v>
      </c>
      <c r="B1437">
        <v>479</v>
      </c>
      <c r="C1437" t="s">
        <v>603</v>
      </c>
      <c r="D1437">
        <v>221.66</v>
      </c>
      <c r="E1437" t="s">
        <v>604</v>
      </c>
    </row>
    <row r="1438" spans="1:5" x14ac:dyDescent="0.3">
      <c r="A1438">
        <v>1437</v>
      </c>
      <c r="B1438">
        <v>479</v>
      </c>
      <c r="C1438" t="s">
        <v>617</v>
      </c>
      <c r="D1438">
        <v>3.95</v>
      </c>
      <c r="E1438" t="s">
        <v>618</v>
      </c>
    </row>
    <row r="1439" spans="1:5" x14ac:dyDescent="0.3">
      <c r="A1439">
        <v>1438</v>
      </c>
      <c r="B1439">
        <v>480</v>
      </c>
      <c r="C1439" t="s">
        <v>615</v>
      </c>
      <c r="D1439">
        <v>212.41</v>
      </c>
      <c r="E1439" t="s">
        <v>616</v>
      </c>
    </row>
    <row r="1440" spans="1:5" x14ac:dyDescent="0.3">
      <c r="A1440">
        <v>1439</v>
      </c>
      <c r="B1440">
        <v>480</v>
      </c>
      <c r="C1440" t="s">
        <v>603</v>
      </c>
      <c r="D1440">
        <v>194.26</v>
      </c>
      <c r="E1440" t="s">
        <v>604</v>
      </c>
    </row>
    <row r="1441" spans="1:5" x14ac:dyDescent="0.3">
      <c r="A1441">
        <v>1440</v>
      </c>
      <c r="B1441">
        <v>480</v>
      </c>
      <c r="C1441" t="s">
        <v>605</v>
      </c>
      <c r="D1441">
        <v>195.53</v>
      </c>
      <c r="E1441" t="s">
        <v>606</v>
      </c>
    </row>
    <row r="1442" spans="1:5" x14ac:dyDescent="0.3">
      <c r="A1442">
        <v>1441</v>
      </c>
      <c r="B1442">
        <v>481</v>
      </c>
      <c r="C1442" t="s">
        <v>621</v>
      </c>
      <c r="D1442">
        <v>5.57</v>
      </c>
      <c r="E1442" t="s">
        <v>622</v>
      </c>
    </row>
    <row r="1443" spans="1:5" x14ac:dyDescent="0.3">
      <c r="A1443">
        <v>1442</v>
      </c>
      <c r="B1443">
        <v>481</v>
      </c>
      <c r="C1443" t="s">
        <v>609</v>
      </c>
      <c r="D1443">
        <v>9.8699999999999992</v>
      </c>
      <c r="E1443" t="s">
        <v>610</v>
      </c>
    </row>
    <row r="1444" spans="1:5" x14ac:dyDescent="0.3">
      <c r="A1444">
        <v>1443</v>
      </c>
      <c r="B1444">
        <v>481</v>
      </c>
      <c r="C1444" t="s">
        <v>619</v>
      </c>
      <c r="D1444">
        <v>2.88</v>
      </c>
      <c r="E1444" t="s">
        <v>620</v>
      </c>
    </row>
    <row r="1445" spans="1:5" x14ac:dyDescent="0.3">
      <c r="A1445">
        <v>1444</v>
      </c>
      <c r="B1445">
        <v>482</v>
      </c>
      <c r="C1445" t="s">
        <v>619</v>
      </c>
      <c r="D1445">
        <v>2.02</v>
      </c>
      <c r="E1445" t="s">
        <v>620</v>
      </c>
    </row>
    <row r="1446" spans="1:5" x14ac:dyDescent="0.3">
      <c r="A1446">
        <v>1445</v>
      </c>
      <c r="B1446">
        <v>482</v>
      </c>
      <c r="C1446" t="s">
        <v>621</v>
      </c>
      <c r="D1446">
        <v>8.23</v>
      </c>
      <c r="E1446" t="s">
        <v>622</v>
      </c>
    </row>
    <row r="1447" spans="1:5" x14ac:dyDescent="0.3">
      <c r="A1447">
        <v>1446</v>
      </c>
      <c r="B1447">
        <v>482</v>
      </c>
      <c r="C1447" t="s">
        <v>605</v>
      </c>
      <c r="D1447">
        <v>278</v>
      </c>
      <c r="E1447" t="s">
        <v>606</v>
      </c>
    </row>
    <row r="1448" spans="1:5" x14ac:dyDescent="0.3">
      <c r="A1448">
        <v>1447</v>
      </c>
      <c r="B1448">
        <v>483</v>
      </c>
      <c r="C1448" t="s">
        <v>611</v>
      </c>
      <c r="D1448">
        <v>9.14</v>
      </c>
      <c r="E1448" t="s">
        <v>612</v>
      </c>
    </row>
    <row r="1449" spans="1:5" x14ac:dyDescent="0.3">
      <c r="A1449">
        <v>1448</v>
      </c>
      <c r="B1449">
        <v>483</v>
      </c>
      <c r="C1449" t="s">
        <v>603</v>
      </c>
      <c r="D1449">
        <v>214.85</v>
      </c>
      <c r="E1449" t="s">
        <v>604</v>
      </c>
    </row>
    <row r="1450" spans="1:5" x14ac:dyDescent="0.3">
      <c r="A1450">
        <v>1449</v>
      </c>
      <c r="B1450">
        <v>483</v>
      </c>
      <c r="C1450" t="s">
        <v>621</v>
      </c>
      <c r="D1450">
        <v>11.15</v>
      </c>
      <c r="E1450" t="s">
        <v>622</v>
      </c>
    </row>
    <row r="1451" spans="1:5" x14ac:dyDescent="0.3">
      <c r="A1451">
        <v>1450</v>
      </c>
      <c r="B1451">
        <v>484</v>
      </c>
      <c r="C1451" t="s">
        <v>615</v>
      </c>
      <c r="D1451">
        <v>219.25</v>
      </c>
      <c r="E1451" t="s">
        <v>616</v>
      </c>
    </row>
    <row r="1452" spans="1:5" x14ac:dyDescent="0.3">
      <c r="A1452">
        <v>1451</v>
      </c>
      <c r="B1452">
        <v>484</v>
      </c>
      <c r="C1452" t="s">
        <v>607</v>
      </c>
      <c r="D1452">
        <v>143.01</v>
      </c>
      <c r="E1452" t="s">
        <v>608</v>
      </c>
    </row>
    <row r="1453" spans="1:5" x14ac:dyDescent="0.3">
      <c r="A1453">
        <v>1452</v>
      </c>
      <c r="B1453">
        <v>484</v>
      </c>
      <c r="C1453" t="s">
        <v>611</v>
      </c>
      <c r="D1453">
        <v>17.059999999999999</v>
      </c>
      <c r="E1453" t="s">
        <v>612</v>
      </c>
    </row>
    <row r="1454" spans="1:5" x14ac:dyDescent="0.3">
      <c r="A1454">
        <v>1453</v>
      </c>
      <c r="B1454">
        <v>485</v>
      </c>
      <c r="C1454" t="s">
        <v>609</v>
      </c>
      <c r="D1454">
        <v>16.66</v>
      </c>
      <c r="E1454" t="s">
        <v>610</v>
      </c>
    </row>
    <row r="1455" spans="1:5" x14ac:dyDescent="0.3">
      <c r="A1455">
        <v>1454</v>
      </c>
      <c r="B1455">
        <v>485</v>
      </c>
      <c r="C1455" t="s">
        <v>613</v>
      </c>
      <c r="D1455">
        <v>4.74</v>
      </c>
      <c r="E1455" t="s">
        <v>614</v>
      </c>
    </row>
    <row r="1456" spans="1:5" x14ac:dyDescent="0.3">
      <c r="A1456">
        <v>1455</v>
      </c>
      <c r="B1456">
        <v>485</v>
      </c>
      <c r="C1456" t="s">
        <v>619</v>
      </c>
      <c r="D1456">
        <v>2.16</v>
      </c>
      <c r="E1456" t="s">
        <v>620</v>
      </c>
    </row>
    <row r="1457" spans="1:5" x14ac:dyDescent="0.3">
      <c r="A1457">
        <v>1456</v>
      </c>
      <c r="B1457">
        <v>486</v>
      </c>
      <c r="C1457" t="s">
        <v>615</v>
      </c>
      <c r="D1457">
        <v>380.56</v>
      </c>
      <c r="E1457" t="s">
        <v>616</v>
      </c>
    </row>
    <row r="1458" spans="1:5" x14ac:dyDescent="0.3">
      <c r="A1458">
        <v>1457</v>
      </c>
      <c r="B1458">
        <v>486</v>
      </c>
      <c r="C1458" t="s">
        <v>621</v>
      </c>
      <c r="D1458">
        <v>7.51</v>
      </c>
      <c r="E1458" t="s">
        <v>622</v>
      </c>
    </row>
    <row r="1459" spans="1:5" x14ac:dyDescent="0.3">
      <c r="A1459">
        <v>1458</v>
      </c>
      <c r="B1459">
        <v>486</v>
      </c>
      <c r="C1459" t="s">
        <v>605</v>
      </c>
      <c r="D1459">
        <v>245.09</v>
      </c>
      <c r="E1459" t="s">
        <v>606</v>
      </c>
    </row>
    <row r="1460" spans="1:5" x14ac:dyDescent="0.3">
      <c r="A1460">
        <v>1459</v>
      </c>
      <c r="B1460">
        <v>487</v>
      </c>
      <c r="C1460" t="s">
        <v>611</v>
      </c>
      <c r="D1460">
        <v>15.22</v>
      </c>
      <c r="E1460" t="s">
        <v>612</v>
      </c>
    </row>
    <row r="1461" spans="1:5" x14ac:dyDescent="0.3">
      <c r="A1461">
        <v>1460</v>
      </c>
      <c r="B1461">
        <v>487</v>
      </c>
      <c r="C1461" t="s">
        <v>621</v>
      </c>
      <c r="D1461">
        <v>6.39</v>
      </c>
      <c r="E1461" t="s">
        <v>622</v>
      </c>
    </row>
    <row r="1462" spans="1:5" x14ac:dyDescent="0.3">
      <c r="A1462">
        <v>1461</v>
      </c>
      <c r="B1462">
        <v>487</v>
      </c>
      <c r="C1462" t="s">
        <v>605</v>
      </c>
      <c r="D1462">
        <v>143.59</v>
      </c>
      <c r="E1462" t="s">
        <v>606</v>
      </c>
    </row>
    <row r="1463" spans="1:5" x14ac:dyDescent="0.3">
      <c r="A1463">
        <v>1462</v>
      </c>
      <c r="B1463">
        <v>488</v>
      </c>
      <c r="C1463" t="s">
        <v>619</v>
      </c>
      <c r="D1463">
        <v>0.57999999999999996</v>
      </c>
      <c r="E1463" t="s">
        <v>620</v>
      </c>
    </row>
    <row r="1464" spans="1:5" x14ac:dyDescent="0.3">
      <c r="A1464">
        <v>1463</v>
      </c>
      <c r="B1464">
        <v>488</v>
      </c>
      <c r="C1464" t="s">
        <v>603</v>
      </c>
      <c r="D1464">
        <v>216.95</v>
      </c>
      <c r="E1464" t="s">
        <v>604</v>
      </c>
    </row>
    <row r="1465" spans="1:5" x14ac:dyDescent="0.3">
      <c r="A1465">
        <v>1464</v>
      </c>
      <c r="B1465">
        <v>488</v>
      </c>
      <c r="C1465" t="s">
        <v>615</v>
      </c>
      <c r="D1465">
        <v>201.46</v>
      </c>
      <c r="E1465" t="s">
        <v>616</v>
      </c>
    </row>
    <row r="1466" spans="1:5" x14ac:dyDescent="0.3">
      <c r="A1466">
        <v>1465</v>
      </c>
      <c r="B1466">
        <v>489</v>
      </c>
      <c r="C1466" t="s">
        <v>617</v>
      </c>
      <c r="D1466">
        <v>3.88</v>
      </c>
      <c r="E1466" t="s">
        <v>618</v>
      </c>
    </row>
    <row r="1467" spans="1:5" x14ac:dyDescent="0.3">
      <c r="A1467">
        <v>1466</v>
      </c>
      <c r="B1467">
        <v>489</v>
      </c>
      <c r="C1467" t="s">
        <v>607</v>
      </c>
      <c r="D1467">
        <v>147.16999999999999</v>
      </c>
      <c r="E1467" t="s">
        <v>608</v>
      </c>
    </row>
    <row r="1468" spans="1:5" x14ac:dyDescent="0.3">
      <c r="A1468">
        <v>1467</v>
      </c>
      <c r="B1468">
        <v>489</v>
      </c>
      <c r="C1468" t="s">
        <v>615</v>
      </c>
      <c r="D1468">
        <v>438.84</v>
      </c>
      <c r="E1468" t="s">
        <v>616</v>
      </c>
    </row>
    <row r="1469" spans="1:5" x14ac:dyDescent="0.3">
      <c r="A1469">
        <v>1468</v>
      </c>
      <c r="B1469">
        <v>490</v>
      </c>
      <c r="C1469" t="s">
        <v>611</v>
      </c>
      <c r="D1469">
        <v>15.96</v>
      </c>
      <c r="E1469" t="s">
        <v>612</v>
      </c>
    </row>
    <row r="1470" spans="1:5" x14ac:dyDescent="0.3">
      <c r="A1470">
        <v>1469</v>
      </c>
      <c r="B1470">
        <v>490</v>
      </c>
      <c r="C1470" t="s">
        <v>609</v>
      </c>
      <c r="D1470">
        <v>18.64</v>
      </c>
      <c r="E1470" t="s">
        <v>610</v>
      </c>
    </row>
    <row r="1471" spans="1:5" x14ac:dyDescent="0.3">
      <c r="A1471">
        <v>1470</v>
      </c>
      <c r="B1471">
        <v>490</v>
      </c>
      <c r="C1471" t="s">
        <v>619</v>
      </c>
      <c r="D1471">
        <v>2.25</v>
      </c>
      <c r="E1471" t="s">
        <v>620</v>
      </c>
    </row>
    <row r="1472" spans="1:5" x14ac:dyDescent="0.3">
      <c r="A1472">
        <v>1471</v>
      </c>
      <c r="B1472">
        <v>491</v>
      </c>
      <c r="C1472" t="s">
        <v>607</v>
      </c>
      <c r="D1472">
        <v>140.82</v>
      </c>
      <c r="E1472" t="s">
        <v>608</v>
      </c>
    </row>
    <row r="1473" spans="1:5" x14ac:dyDescent="0.3">
      <c r="A1473">
        <v>1472</v>
      </c>
      <c r="B1473">
        <v>491</v>
      </c>
      <c r="C1473" t="s">
        <v>603</v>
      </c>
      <c r="D1473">
        <v>238.33</v>
      </c>
      <c r="E1473" t="s">
        <v>604</v>
      </c>
    </row>
    <row r="1474" spans="1:5" x14ac:dyDescent="0.3">
      <c r="A1474">
        <v>1473</v>
      </c>
      <c r="B1474">
        <v>491</v>
      </c>
      <c r="C1474" t="s">
        <v>611</v>
      </c>
      <c r="D1474">
        <v>17.34</v>
      </c>
      <c r="E1474" t="s">
        <v>612</v>
      </c>
    </row>
    <row r="1475" spans="1:5" x14ac:dyDescent="0.3">
      <c r="A1475">
        <v>1474</v>
      </c>
      <c r="B1475">
        <v>492</v>
      </c>
      <c r="C1475" t="s">
        <v>603</v>
      </c>
      <c r="D1475">
        <v>142.96</v>
      </c>
      <c r="E1475" t="s">
        <v>604</v>
      </c>
    </row>
    <row r="1476" spans="1:5" x14ac:dyDescent="0.3">
      <c r="A1476">
        <v>1475</v>
      </c>
      <c r="B1476">
        <v>492</v>
      </c>
      <c r="C1476" t="s">
        <v>621</v>
      </c>
      <c r="D1476">
        <v>5.6</v>
      </c>
      <c r="E1476" t="s">
        <v>622</v>
      </c>
    </row>
    <row r="1477" spans="1:5" x14ac:dyDescent="0.3">
      <c r="A1477">
        <v>1476</v>
      </c>
      <c r="B1477">
        <v>492</v>
      </c>
      <c r="C1477" t="s">
        <v>615</v>
      </c>
      <c r="D1477">
        <v>410.81</v>
      </c>
      <c r="E1477" t="s">
        <v>616</v>
      </c>
    </row>
    <row r="1478" spans="1:5" x14ac:dyDescent="0.3">
      <c r="A1478">
        <v>1477</v>
      </c>
      <c r="B1478">
        <v>493</v>
      </c>
      <c r="C1478" t="s">
        <v>603</v>
      </c>
      <c r="D1478">
        <v>166.21</v>
      </c>
      <c r="E1478" t="s">
        <v>604</v>
      </c>
    </row>
    <row r="1479" spans="1:5" x14ac:dyDescent="0.3">
      <c r="A1479">
        <v>1478</v>
      </c>
      <c r="B1479">
        <v>493</v>
      </c>
      <c r="C1479" t="s">
        <v>605</v>
      </c>
      <c r="D1479">
        <v>266.77</v>
      </c>
      <c r="E1479" t="s">
        <v>606</v>
      </c>
    </row>
    <row r="1480" spans="1:5" x14ac:dyDescent="0.3">
      <c r="A1480">
        <v>1479</v>
      </c>
      <c r="B1480">
        <v>493</v>
      </c>
      <c r="C1480" t="s">
        <v>619</v>
      </c>
      <c r="D1480">
        <v>3.73</v>
      </c>
      <c r="E1480" t="s">
        <v>620</v>
      </c>
    </row>
    <row r="1481" spans="1:5" x14ac:dyDescent="0.3">
      <c r="A1481">
        <v>1480</v>
      </c>
      <c r="B1481">
        <v>494</v>
      </c>
      <c r="C1481" t="s">
        <v>603</v>
      </c>
      <c r="D1481">
        <v>78.489999999999995</v>
      </c>
      <c r="E1481" t="s">
        <v>604</v>
      </c>
    </row>
    <row r="1482" spans="1:5" x14ac:dyDescent="0.3">
      <c r="A1482">
        <v>1481</v>
      </c>
      <c r="B1482">
        <v>494</v>
      </c>
      <c r="C1482" t="s">
        <v>619</v>
      </c>
      <c r="D1482">
        <v>3.82</v>
      </c>
      <c r="E1482" t="s">
        <v>620</v>
      </c>
    </row>
    <row r="1483" spans="1:5" x14ac:dyDescent="0.3">
      <c r="A1483">
        <v>1482</v>
      </c>
      <c r="B1483">
        <v>494</v>
      </c>
      <c r="C1483" t="s">
        <v>613</v>
      </c>
      <c r="D1483">
        <v>5.87</v>
      </c>
      <c r="E1483" t="s">
        <v>614</v>
      </c>
    </row>
    <row r="1484" spans="1:5" x14ac:dyDescent="0.3">
      <c r="A1484">
        <v>1483</v>
      </c>
      <c r="B1484">
        <v>495</v>
      </c>
      <c r="C1484" t="s">
        <v>603</v>
      </c>
      <c r="D1484">
        <v>240.73</v>
      </c>
      <c r="E1484" t="s">
        <v>604</v>
      </c>
    </row>
    <row r="1485" spans="1:5" x14ac:dyDescent="0.3">
      <c r="A1485">
        <v>1484</v>
      </c>
      <c r="B1485">
        <v>495</v>
      </c>
      <c r="C1485" t="s">
        <v>615</v>
      </c>
      <c r="D1485">
        <v>309.35000000000002</v>
      </c>
      <c r="E1485" t="s">
        <v>616</v>
      </c>
    </row>
    <row r="1486" spans="1:5" x14ac:dyDescent="0.3">
      <c r="A1486">
        <v>1485</v>
      </c>
      <c r="B1486">
        <v>495</v>
      </c>
      <c r="C1486" t="s">
        <v>611</v>
      </c>
      <c r="D1486">
        <v>13.43</v>
      </c>
      <c r="E1486" t="s">
        <v>612</v>
      </c>
    </row>
    <row r="1487" spans="1:5" x14ac:dyDescent="0.3">
      <c r="A1487">
        <v>1486</v>
      </c>
      <c r="B1487">
        <v>496</v>
      </c>
      <c r="C1487" t="s">
        <v>611</v>
      </c>
      <c r="D1487">
        <v>16.940000000000001</v>
      </c>
      <c r="E1487" t="s">
        <v>612</v>
      </c>
    </row>
    <row r="1488" spans="1:5" x14ac:dyDescent="0.3">
      <c r="A1488">
        <v>1487</v>
      </c>
      <c r="B1488">
        <v>496</v>
      </c>
      <c r="C1488" t="s">
        <v>609</v>
      </c>
      <c r="D1488">
        <v>5.48</v>
      </c>
      <c r="E1488" t="s">
        <v>610</v>
      </c>
    </row>
    <row r="1489" spans="1:5" x14ac:dyDescent="0.3">
      <c r="A1489">
        <v>1488</v>
      </c>
      <c r="B1489">
        <v>496</v>
      </c>
      <c r="C1489" t="s">
        <v>613</v>
      </c>
      <c r="D1489">
        <v>2.94</v>
      </c>
      <c r="E1489" t="s">
        <v>614</v>
      </c>
    </row>
    <row r="1490" spans="1:5" x14ac:dyDescent="0.3">
      <c r="A1490">
        <v>1489</v>
      </c>
      <c r="B1490">
        <v>497</v>
      </c>
      <c r="C1490" t="s">
        <v>603</v>
      </c>
      <c r="D1490">
        <v>185.31</v>
      </c>
      <c r="E1490" t="s">
        <v>604</v>
      </c>
    </row>
    <row r="1491" spans="1:5" x14ac:dyDescent="0.3">
      <c r="A1491">
        <v>1490</v>
      </c>
      <c r="B1491">
        <v>497</v>
      </c>
      <c r="C1491" t="s">
        <v>613</v>
      </c>
      <c r="D1491">
        <v>4.2699999999999996</v>
      </c>
      <c r="E1491" t="s">
        <v>614</v>
      </c>
    </row>
    <row r="1492" spans="1:5" x14ac:dyDescent="0.3">
      <c r="A1492">
        <v>1491</v>
      </c>
      <c r="B1492">
        <v>497</v>
      </c>
      <c r="C1492" t="s">
        <v>619</v>
      </c>
      <c r="D1492">
        <v>1.56</v>
      </c>
      <c r="E1492" t="s">
        <v>620</v>
      </c>
    </row>
    <row r="1493" spans="1:5" x14ac:dyDescent="0.3">
      <c r="A1493">
        <v>1492</v>
      </c>
      <c r="B1493">
        <v>498</v>
      </c>
      <c r="C1493" t="s">
        <v>619</v>
      </c>
      <c r="D1493">
        <v>0.59</v>
      </c>
      <c r="E1493" t="s">
        <v>620</v>
      </c>
    </row>
    <row r="1494" spans="1:5" x14ac:dyDescent="0.3">
      <c r="A1494">
        <v>1493</v>
      </c>
      <c r="B1494">
        <v>498</v>
      </c>
      <c r="C1494" t="s">
        <v>603</v>
      </c>
      <c r="D1494">
        <v>209.64</v>
      </c>
      <c r="E1494" t="s">
        <v>604</v>
      </c>
    </row>
    <row r="1495" spans="1:5" x14ac:dyDescent="0.3">
      <c r="A1495">
        <v>1494</v>
      </c>
      <c r="B1495">
        <v>498</v>
      </c>
      <c r="C1495" t="s">
        <v>609</v>
      </c>
      <c r="D1495">
        <v>4</v>
      </c>
      <c r="E1495" t="s">
        <v>610</v>
      </c>
    </row>
    <row r="1496" spans="1:5" x14ac:dyDescent="0.3">
      <c r="A1496">
        <v>1495</v>
      </c>
      <c r="B1496">
        <v>499</v>
      </c>
      <c r="C1496" t="s">
        <v>621</v>
      </c>
      <c r="D1496">
        <v>8.42</v>
      </c>
      <c r="E1496" t="s">
        <v>622</v>
      </c>
    </row>
    <row r="1497" spans="1:5" x14ac:dyDescent="0.3">
      <c r="A1497">
        <v>1496</v>
      </c>
      <c r="B1497">
        <v>499</v>
      </c>
      <c r="C1497" t="s">
        <v>607</v>
      </c>
      <c r="D1497">
        <v>129.15</v>
      </c>
      <c r="E1497" t="s">
        <v>608</v>
      </c>
    </row>
    <row r="1498" spans="1:5" x14ac:dyDescent="0.3">
      <c r="A1498">
        <v>1497</v>
      </c>
      <c r="B1498">
        <v>499</v>
      </c>
      <c r="C1498" t="s">
        <v>603</v>
      </c>
      <c r="D1498">
        <v>206.65</v>
      </c>
      <c r="E1498" t="s">
        <v>604</v>
      </c>
    </row>
    <row r="1499" spans="1:5" x14ac:dyDescent="0.3">
      <c r="A1499">
        <v>1498</v>
      </c>
      <c r="B1499">
        <v>500</v>
      </c>
      <c r="C1499" t="s">
        <v>605</v>
      </c>
      <c r="D1499">
        <v>229.91</v>
      </c>
      <c r="E1499" t="s">
        <v>606</v>
      </c>
    </row>
    <row r="1500" spans="1:5" x14ac:dyDescent="0.3">
      <c r="A1500">
        <v>1499</v>
      </c>
      <c r="B1500">
        <v>500</v>
      </c>
      <c r="C1500" t="s">
        <v>607</v>
      </c>
      <c r="D1500">
        <v>130.54</v>
      </c>
      <c r="E1500" t="s">
        <v>608</v>
      </c>
    </row>
    <row r="1501" spans="1:5" x14ac:dyDescent="0.3">
      <c r="A1501">
        <v>1500</v>
      </c>
      <c r="B1501">
        <v>500</v>
      </c>
      <c r="C1501" t="s">
        <v>609</v>
      </c>
      <c r="D1501">
        <v>2.4500000000000002</v>
      </c>
      <c r="E1501" t="s">
        <v>610</v>
      </c>
    </row>
    <row r="1502" spans="1:5" x14ac:dyDescent="0.3">
      <c r="A1502">
        <v>1501</v>
      </c>
      <c r="B1502">
        <v>501</v>
      </c>
      <c r="C1502" t="s">
        <v>621</v>
      </c>
      <c r="D1502">
        <v>5.55</v>
      </c>
      <c r="E1502" t="s">
        <v>622</v>
      </c>
    </row>
    <row r="1503" spans="1:5" x14ac:dyDescent="0.3">
      <c r="A1503">
        <v>1502</v>
      </c>
      <c r="B1503">
        <v>501</v>
      </c>
      <c r="C1503" t="s">
        <v>615</v>
      </c>
      <c r="D1503">
        <v>252.78</v>
      </c>
      <c r="E1503" t="s">
        <v>616</v>
      </c>
    </row>
    <row r="1504" spans="1:5" x14ac:dyDescent="0.3">
      <c r="A1504">
        <v>1503</v>
      </c>
      <c r="B1504">
        <v>501</v>
      </c>
      <c r="C1504" t="s">
        <v>609</v>
      </c>
      <c r="D1504">
        <v>1.25</v>
      </c>
      <c r="E1504" t="s">
        <v>610</v>
      </c>
    </row>
    <row r="1505" spans="1:5" x14ac:dyDescent="0.3">
      <c r="A1505">
        <v>1504</v>
      </c>
      <c r="B1505">
        <v>502</v>
      </c>
      <c r="C1505" t="s">
        <v>619</v>
      </c>
      <c r="D1505">
        <v>1.29</v>
      </c>
      <c r="E1505" t="s">
        <v>620</v>
      </c>
    </row>
    <row r="1506" spans="1:5" x14ac:dyDescent="0.3">
      <c r="A1506">
        <v>1505</v>
      </c>
      <c r="B1506">
        <v>502</v>
      </c>
      <c r="C1506" t="s">
        <v>611</v>
      </c>
      <c r="D1506">
        <v>14.85</v>
      </c>
      <c r="E1506" t="s">
        <v>612</v>
      </c>
    </row>
    <row r="1507" spans="1:5" x14ac:dyDescent="0.3">
      <c r="A1507">
        <v>1506</v>
      </c>
      <c r="B1507">
        <v>502</v>
      </c>
      <c r="C1507" t="s">
        <v>603</v>
      </c>
      <c r="D1507">
        <v>229.34</v>
      </c>
      <c r="E1507" t="s">
        <v>604</v>
      </c>
    </row>
    <row r="1508" spans="1:5" x14ac:dyDescent="0.3">
      <c r="A1508">
        <v>1507</v>
      </c>
      <c r="B1508">
        <v>503</v>
      </c>
      <c r="C1508" t="s">
        <v>609</v>
      </c>
      <c r="D1508">
        <v>17.48</v>
      </c>
      <c r="E1508" t="s">
        <v>610</v>
      </c>
    </row>
    <row r="1509" spans="1:5" x14ac:dyDescent="0.3">
      <c r="A1509">
        <v>1508</v>
      </c>
      <c r="B1509">
        <v>503</v>
      </c>
      <c r="C1509" t="s">
        <v>603</v>
      </c>
      <c r="D1509">
        <v>111.24</v>
      </c>
      <c r="E1509" t="s">
        <v>604</v>
      </c>
    </row>
    <row r="1510" spans="1:5" x14ac:dyDescent="0.3">
      <c r="A1510">
        <v>1509</v>
      </c>
      <c r="B1510">
        <v>503</v>
      </c>
      <c r="C1510" t="s">
        <v>621</v>
      </c>
      <c r="D1510">
        <v>4.46</v>
      </c>
      <c r="E1510" t="s">
        <v>622</v>
      </c>
    </row>
    <row r="1511" spans="1:5" x14ac:dyDescent="0.3">
      <c r="A1511">
        <v>1510</v>
      </c>
      <c r="B1511">
        <v>504</v>
      </c>
      <c r="C1511" t="s">
        <v>603</v>
      </c>
      <c r="D1511">
        <v>98.41</v>
      </c>
      <c r="E1511" t="s">
        <v>604</v>
      </c>
    </row>
    <row r="1512" spans="1:5" x14ac:dyDescent="0.3">
      <c r="A1512">
        <v>1511</v>
      </c>
      <c r="B1512">
        <v>504</v>
      </c>
      <c r="C1512" t="s">
        <v>605</v>
      </c>
      <c r="D1512">
        <v>128.74</v>
      </c>
      <c r="E1512" t="s">
        <v>606</v>
      </c>
    </row>
    <row r="1513" spans="1:5" x14ac:dyDescent="0.3">
      <c r="A1513">
        <v>1512</v>
      </c>
      <c r="B1513">
        <v>504</v>
      </c>
      <c r="C1513" t="s">
        <v>613</v>
      </c>
      <c r="D1513">
        <v>3.99</v>
      </c>
      <c r="E1513" t="s">
        <v>614</v>
      </c>
    </row>
    <row r="1514" spans="1:5" x14ac:dyDescent="0.3">
      <c r="A1514">
        <v>1513</v>
      </c>
      <c r="B1514">
        <v>505</v>
      </c>
      <c r="C1514" t="s">
        <v>619</v>
      </c>
      <c r="D1514">
        <v>2.62</v>
      </c>
      <c r="E1514" t="s">
        <v>620</v>
      </c>
    </row>
    <row r="1515" spans="1:5" x14ac:dyDescent="0.3">
      <c r="A1515">
        <v>1514</v>
      </c>
      <c r="B1515">
        <v>505</v>
      </c>
      <c r="C1515" t="s">
        <v>617</v>
      </c>
      <c r="D1515">
        <v>9.2200000000000006</v>
      </c>
      <c r="E1515" t="s">
        <v>618</v>
      </c>
    </row>
    <row r="1516" spans="1:5" x14ac:dyDescent="0.3">
      <c r="A1516">
        <v>1515</v>
      </c>
      <c r="B1516">
        <v>505</v>
      </c>
      <c r="C1516" t="s">
        <v>605</v>
      </c>
      <c r="D1516">
        <v>144.47999999999999</v>
      </c>
      <c r="E1516" t="s">
        <v>606</v>
      </c>
    </row>
    <row r="1517" spans="1:5" x14ac:dyDescent="0.3">
      <c r="A1517">
        <v>1516</v>
      </c>
      <c r="B1517">
        <v>506</v>
      </c>
      <c r="C1517" t="s">
        <v>611</v>
      </c>
      <c r="D1517">
        <v>16.850000000000001</v>
      </c>
      <c r="E1517" t="s">
        <v>612</v>
      </c>
    </row>
    <row r="1518" spans="1:5" x14ac:dyDescent="0.3">
      <c r="A1518">
        <v>1517</v>
      </c>
      <c r="B1518">
        <v>506</v>
      </c>
      <c r="C1518" t="s">
        <v>621</v>
      </c>
      <c r="D1518">
        <v>5.65</v>
      </c>
      <c r="E1518" t="s">
        <v>622</v>
      </c>
    </row>
    <row r="1519" spans="1:5" x14ac:dyDescent="0.3">
      <c r="A1519">
        <v>1518</v>
      </c>
      <c r="B1519">
        <v>506</v>
      </c>
      <c r="C1519" t="s">
        <v>617</v>
      </c>
      <c r="D1519">
        <v>12.17</v>
      </c>
      <c r="E1519" t="s">
        <v>618</v>
      </c>
    </row>
    <row r="1520" spans="1:5" x14ac:dyDescent="0.3">
      <c r="A1520">
        <v>1519</v>
      </c>
      <c r="B1520">
        <v>507</v>
      </c>
      <c r="C1520" t="s">
        <v>615</v>
      </c>
      <c r="D1520">
        <v>349.6</v>
      </c>
      <c r="E1520" t="s">
        <v>616</v>
      </c>
    </row>
    <row r="1521" spans="1:5" x14ac:dyDescent="0.3">
      <c r="A1521">
        <v>1520</v>
      </c>
      <c r="B1521">
        <v>507</v>
      </c>
      <c r="C1521" t="s">
        <v>619</v>
      </c>
      <c r="D1521">
        <v>3.79</v>
      </c>
      <c r="E1521" t="s">
        <v>620</v>
      </c>
    </row>
    <row r="1522" spans="1:5" x14ac:dyDescent="0.3">
      <c r="A1522">
        <v>1521</v>
      </c>
      <c r="B1522">
        <v>507</v>
      </c>
      <c r="C1522" t="s">
        <v>613</v>
      </c>
      <c r="D1522">
        <v>5.45</v>
      </c>
      <c r="E1522" t="s">
        <v>614</v>
      </c>
    </row>
    <row r="1523" spans="1:5" x14ac:dyDescent="0.3">
      <c r="A1523">
        <v>1522</v>
      </c>
      <c r="B1523">
        <v>508</v>
      </c>
      <c r="C1523" t="s">
        <v>617</v>
      </c>
      <c r="D1523">
        <v>7.15</v>
      </c>
      <c r="E1523" t="s">
        <v>618</v>
      </c>
    </row>
    <row r="1524" spans="1:5" x14ac:dyDescent="0.3">
      <c r="A1524">
        <v>1523</v>
      </c>
      <c r="B1524">
        <v>508</v>
      </c>
      <c r="C1524" t="s">
        <v>619</v>
      </c>
      <c r="D1524">
        <v>2.39</v>
      </c>
      <c r="E1524" t="s">
        <v>620</v>
      </c>
    </row>
    <row r="1525" spans="1:5" x14ac:dyDescent="0.3">
      <c r="A1525">
        <v>1524</v>
      </c>
      <c r="B1525">
        <v>508</v>
      </c>
      <c r="C1525" t="s">
        <v>621</v>
      </c>
      <c r="D1525">
        <v>4.84</v>
      </c>
      <c r="E1525" t="s">
        <v>622</v>
      </c>
    </row>
    <row r="1526" spans="1:5" x14ac:dyDescent="0.3">
      <c r="A1526">
        <v>1525</v>
      </c>
      <c r="B1526">
        <v>509</v>
      </c>
      <c r="C1526" t="s">
        <v>615</v>
      </c>
      <c r="D1526">
        <v>197.92</v>
      </c>
      <c r="E1526" t="s">
        <v>616</v>
      </c>
    </row>
    <row r="1527" spans="1:5" x14ac:dyDescent="0.3">
      <c r="A1527">
        <v>1526</v>
      </c>
      <c r="B1527">
        <v>509</v>
      </c>
      <c r="C1527" t="s">
        <v>607</v>
      </c>
      <c r="D1527">
        <v>132.47999999999999</v>
      </c>
      <c r="E1527" t="s">
        <v>608</v>
      </c>
    </row>
    <row r="1528" spans="1:5" x14ac:dyDescent="0.3">
      <c r="A1528">
        <v>1527</v>
      </c>
      <c r="B1528">
        <v>509</v>
      </c>
      <c r="C1528" t="s">
        <v>613</v>
      </c>
      <c r="D1528">
        <v>3.27</v>
      </c>
      <c r="E1528" t="s">
        <v>614</v>
      </c>
    </row>
    <row r="1529" spans="1:5" x14ac:dyDescent="0.3">
      <c r="A1529">
        <v>1528</v>
      </c>
      <c r="B1529">
        <v>510</v>
      </c>
      <c r="C1529" t="s">
        <v>609</v>
      </c>
      <c r="D1529">
        <v>14.86</v>
      </c>
      <c r="E1529" t="s">
        <v>610</v>
      </c>
    </row>
    <row r="1530" spans="1:5" x14ac:dyDescent="0.3">
      <c r="A1530">
        <v>1529</v>
      </c>
      <c r="B1530">
        <v>510</v>
      </c>
      <c r="C1530" t="s">
        <v>619</v>
      </c>
      <c r="D1530">
        <v>1.24</v>
      </c>
      <c r="E1530" t="s">
        <v>620</v>
      </c>
    </row>
    <row r="1531" spans="1:5" x14ac:dyDescent="0.3">
      <c r="A1531">
        <v>1530</v>
      </c>
      <c r="B1531">
        <v>510</v>
      </c>
      <c r="C1531" t="s">
        <v>617</v>
      </c>
      <c r="D1531">
        <v>7.84</v>
      </c>
      <c r="E1531" t="s">
        <v>618</v>
      </c>
    </row>
    <row r="1532" spans="1:5" x14ac:dyDescent="0.3">
      <c r="A1532">
        <v>1531</v>
      </c>
      <c r="B1532">
        <v>511</v>
      </c>
      <c r="C1532" t="s">
        <v>605</v>
      </c>
      <c r="D1532">
        <v>259.67</v>
      </c>
      <c r="E1532" t="s">
        <v>606</v>
      </c>
    </row>
    <row r="1533" spans="1:5" x14ac:dyDescent="0.3">
      <c r="A1533">
        <v>1532</v>
      </c>
      <c r="B1533">
        <v>511</v>
      </c>
      <c r="C1533" t="s">
        <v>603</v>
      </c>
      <c r="D1533">
        <v>185.23</v>
      </c>
      <c r="E1533" t="s">
        <v>604</v>
      </c>
    </row>
    <row r="1534" spans="1:5" x14ac:dyDescent="0.3">
      <c r="A1534">
        <v>1533</v>
      </c>
      <c r="B1534">
        <v>511</v>
      </c>
      <c r="C1534" t="s">
        <v>619</v>
      </c>
      <c r="D1534">
        <v>2.09</v>
      </c>
      <c r="E1534" t="s">
        <v>620</v>
      </c>
    </row>
    <row r="1535" spans="1:5" x14ac:dyDescent="0.3">
      <c r="A1535">
        <v>1534</v>
      </c>
      <c r="B1535">
        <v>512</v>
      </c>
      <c r="C1535" t="s">
        <v>611</v>
      </c>
      <c r="D1535">
        <v>15.78</v>
      </c>
      <c r="E1535" t="s">
        <v>612</v>
      </c>
    </row>
    <row r="1536" spans="1:5" x14ac:dyDescent="0.3">
      <c r="A1536">
        <v>1535</v>
      </c>
      <c r="B1536">
        <v>512</v>
      </c>
      <c r="C1536" t="s">
        <v>603</v>
      </c>
      <c r="D1536">
        <v>115.01</v>
      </c>
      <c r="E1536" t="s">
        <v>604</v>
      </c>
    </row>
    <row r="1537" spans="1:5" x14ac:dyDescent="0.3">
      <c r="A1537">
        <v>1536</v>
      </c>
      <c r="B1537">
        <v>512</v>
      </c>
      <c r="C1537" t="s">
        <v>613</v>
      </c>
      <c r="D1537">
        <v>4.8</v>
      </c>
      <c r="E1537" t="s">
        <v>614</v>
      </c>
    </row>
    <row r="1538" spans="1:5" x14ac:dyDescent="0.3">
      <c r="A1538">
        <v>1537</v>
      </c>
      <c r="B1538">
        <v>513</v>
      </c>
      <c r="C1538" t="s">
        <v>617</v>
      </c>
      <c r="D1538">
        <v>6.63</v>
      </c>
      <c r="E1538" t="s">
        <v>618</v>
      </c>
    </row>
    <row r="1539" spans="1:5" x14ac:dyDescent="0.3">
      <c r="A1539">
        <v>1538</v>
      </c>
      <c r="B1539">
        <v>513</v>
      </c>
      <c r="C1539" t="s">
        <v>611</v>
      </c>
      <c r="D1539">
        <v>13.4</v>
      </c>
      <c r="E1539" t="s">
        <v>612</v>
      </c>
    </row>
    <row r="1540" spans="1:5" x14ac:dyDescent="0.3">
      <c r="A1540">
        <v>1539</v>
      </c>
      <c r="B1540">
        <v>513</v>
      </c>
      <c r="C1540" t="s">
        <v>603</v>
      </c>
      <c r="D1540">
        <v>156.63999999999999</v>
      </c>
      <c r="E1540" t="s">
        <v>604</v>
      </c>
    </row>
    <row r="1541" spans="1:5" x14ac:dyDescent="0.3">
      <c r="A1541">
        <v>1540</v>
      </c>
      <c r="B1541">
        <v>514</v>
      </c>
      <c r="C1541" t="s">
        <v>607</v>
      </c>
      <c r="D1541">
        <v>128.97999999999999</v>
      </c>
      <c r="E1541" t="s">
        <v>608</v>
      </c>
    </row>
    <row r="1542" spans="1:5" x14ac:dyDescent="0.3">
      <c r="A1542">
        <v>1541</v>
      </c>
      <c r="B1542">
        <v>514</v>
      </c>
      <c r="C1542" t="s">
        <v>621</v>
      </c>
      <c r="D1542">
        <v>5.65</v>
      </c>
      <c r="E1542" t="s">
        <v>622</v>
      </c>
    </row>
    <row r="1543" spans="1:5" x14ac:dyDescent="0.3">
      <c r="A1543">
        <v>1542</v>
      </c>
      <c r="B1543">
        <v>514</v>
      </c>
      <c r="C1543" t="s">
        <v>613</v>
      </c>
      <c r="D1543">
        <v>3.43</v>
      </c>
      <c r="E1543" t="s">
        <v>614</v>
      </c>
    </row>
    <row r="1544" spans="1:5" x14ac:dyDescent="0.3">
      <c r="A1544">
        <v>1543</v>
      </c>
      <c r="B1544">
        <v>515</v>
      </c>
      <c r="C1544" t="s">
        <v>607</v>
      </c>
      <c r="D1544">
        <v>142.53</v>
      </c>
      <c r="E1544" t="s">
        <v>608</v>
      </c>
    </row>
    <row r="1545" spans="1:5" x14ac:dyDescent="0.3">
      <c r="A1545">
        <v>1544</v>
      </c>
      <c r="B1545">
        <v>515</v>
      </c>
      <c r="C1545" t="s">
        <v>609</v>
      </c>
      <c r="D1545">
        <v>0.72</v>
      </c>
      <c r="E1545" t="s">
        <v>610</v>
      </c>
    </row>
    <row r="1546" spans="1:5" x14ac:dyDescent="0.3">
      <c r="A1546">
        <v>1545</v>
      </c>
      <c r="B1546">
        <v>515</v>
      </c>
      <c r="C1546" t="s">
        <v>603</v>
      </c>
      <c r="D1546">
        <v>206.15</v>
      </c>
      <c r="E1546" t="s">
        <v>604</v>
      </c>
    </row>
    <row r="1547" spans="1:5" x14ac:dyDescent="0.3">
      <c r="A1547">
        <v>1546</v>
      </c>
      <c r="B1547">
        <v>516</v>
      </c>
      <c r="C1547" t="s">
        <v>603</v>
      </c>
      <c r="D1547">
        <v>214.9</v>
      </c>
      <c r="E1547" t="s">
        <v>604</v>
      </c>
    </row>
    <row r="1548" spans="1:5" x14ac:dyDescent="0.3">
      <c r="A1548">
        <v>1547</v>
      </c>
      <c r="B1548">
        <v>516</v>
      </c>
      <c r="C1548" t="s">
        <v>615</v>
      </c>
      <c r="D1548">
        <v>306.83999999999997</v>
      </c>
      <c r="E1548" t="s">
        <v>616</v>
      </c>
    </row>
    <row r="1549" spans="1:5" x14ac:dyDescent="0.3">
      <c r="A1549">
        <v>1548</v>
      </c>
      <c r="B1549">
        <v>516</v>
      </c>
      <c r="C1549" t="s">
        <v>617</v>
      </c>
      <c r="D1549">
        <v>12.84</v>
      </c>
      <c r="E1549" t="s">
        <v>618</v>
      </c>
    </row>
    <row r="1550" spans="1:5" x14ac:dyDescent="0.3">
      <c r="A1550">
        <v>1549</v>
      </c>
      <c r="B1550">
        <v>517</v>
      </c>
      <c r="C1550" t="s">
        <v>615</v>
      </c>
      <c r="D1550">
        <v>373.91</v>
      </c>
      <c r="E1550" t="s">
        <v>616</v>
      </c>
    </row>
    <row r="1551" spans="1:5" x14ac:dyDescent="0.3">
      <c r="A1551">
        <v>1550</v>
      </c>
      <c r="B1551">
        <v>517</v>
      </c>
      <c r="C1551" t="s">
        <v>607</v>
      </c>
      <c r="D1551">
        <v>148.43</v>
      </c>
      <c r="E1551" t="s">
        <v>608</v>
      </c>
    </row>
    <row r="1552" spans="1:5" x14ac:dyDescent="0.3">
      <c r="A1552">
        <v>1551</v>
      </c>
      <c r="B1552">
        <v>517</v>
      </c>
      <c r="C1552" t="s">
        <v>609</v>
      </c>
      <c r="D1552">
        <v>15.07</v>
      </c>
      <c r="E1552" t="s">
        <v>610</v>
      </c>
    </row>
    <row r="1553" spans="1:5" x14ac:dyDescent="0.3">
      <c r="A1553">
        <v>1552</v>
      </c>
      <c r="B1553">
        <v>518</v>
      </c>
      <c r="C1553" t="s">
        <v>611</v>
      </c>
      <c r="D1553">
        <v>17</v>
      </c>
      <c r="E1553" t="s">
        <v>612</v>
      </c>
    </row>
    <row r="1554" spans="1:5" x14ac:dyDescent="0.3">
      <c r="A1554">
        <v>1553</v>
      </c>
      <c r="B1554">
        <v>518</v>
      </c>
      <c r="C1554" t="s">
        <v>609</v>
      </c>
      <c r="D1554">
        <v>18.66</v>
      </c>
      <c r="E1554" t="s">
        <v>610</v>
      </c>
    </row>
    <row r="1555" spans="1:5" x14ac:dyDescent="0.3">
      <c r="A1555">
        <v>1554</v>
      </c>
      <c r="B1555">
        <v>518</v>
      </c>
      <c r="C1555" t="s">
        <v>607</v>
      </c>
      <c r="D1555">
        <v>134.32</v>
      </c>
      <c r="E1555" t="s">
        <v>608</v>
      </c>
    </row>
    <row r="1556" spans="1:5" x14ac:dyDescent="0.3">
      <c r="A1556">
        <v>1555</v>
      </c>
      <c r="B1556">
        <v>519</v>
      </c>
      <c r="C1556" t="s">
        <v>609</v>
      </c>
      <c r="D1556">
        <v>11.49</v>
      </c>
      <c r="E1556" t="s">
        <v>610</v>
      </c>
    </row>
    <row r="1557" spans="1:5" x14ac:dyDescent="0.3">
      <c r="A1557">
        <v>1556</v>
      </c>
      <c r="B1557">
        <v>519</v>
      </c>
      <c r="C1557" t="s">
        <v>613</v>
      </c>
      <c r="D1557">
        <v>4.7300000000000004</v>
      </c>
      <c r="E1557" t="s">
        <v>614</v>
      </c>
    </row>
    <row r="1558" spans="1:5" x14ac:dyDescent="0.3">
      <c r="A1558">
        <v>1557</v>
      </c>
      <c r="B1558">
        <v>519</v>
      </c>
      <c r="C1558" t="s">
        <v>607</v>
      </c>
      <c r="D1558">
        <v>139.41999999999999</v>
      </c>
      <c r="E1558" t="s">
        <v>608</v>
      </c>
    </row>
    <row r="1559" spans="1:5" x14ac:dyDescent="0.3">
      <c r="A1559">
        <v>1558</v>
      </c>
      <c r="B1559">
        <v>520</v>
      </c>
      <c r="C1559" t="s">
        <v>605</v>
      </c>
      <c r="D1559">
        <v>269.13</v>
      </c>
      <c r="E1559" t="s">
        <v>606</v>
      </c>
    </row>
    <row r="1560" spans="1:5" x14ac:dyDescent="0.3">
      <c r="A1560">
        <v>1559</v>
      </c>
      <c r="B1560">
        <v>520</v>
      </c>
      <c r="C1560" t="s">
        <v>607</v>
      </c>
      <c r="D1560">
        <v>148.34</v>
      </c>
      <c r="E1560" t="s">
        <v>608</v>
      </c>
    </row>
    <row r="1561" spans="1:5" x14ac:dyDescent="0.3">
      <c r="A1561">
        <v>1560</v>
      </c>
      <c r="B1561">
        <v>520</v>
      </c>
      <c r="C1561" t="s">
        <v>613</v>
      </c>
      <c r="D1561">
        <v>3.25</v>
      </c>
      <c r="E1561" t="s">
        <v>614</v>
      </c>
    </row>
    <row r="1562" spans="1:5" x14ac:dyDescent="0.3">
      <c r="A1562">
        <v>1561</v>
      </c>
      <c r="B1562">
        <v>521</v>
      </c>
      <c r="C1562" t="s">
        <v>603</v>
      </c>
      <c r="D1562">
        <v>80.819999999999993</v>
      </c>
      <c r="E1562" t="s">
        <v>604</v>
      </c>
    </row>
    <row r="1563" spans="1:5" x14ac:dyDescent="0.3">
      <c r="A1563">
        <v>1562</v>
      </c>
      <c r="B1563">
        <v>521</v>
      </c>
      <c r="C1563" t="s">
        <v>617</v>
      </c>
      <c r="D1563">
        <v>6.25</v>
      </c>
      <c r="E1563" t="s">
        <v>618</v>
      </c>
    </row>
    <row r="1564" spans="1:5" x14ac:dyDescent="0.3">
      <c r="A1564">
        <v>1563</v>
      </c>
      <c r="B1564">
        <v>521</v>
      </c>
      <c r="C1564" t="s">
        <v>609</v>
      </c>
      <c r="D1564">
        <v>10.9</v>
      </c>
      <c r="E1564" t="s">
        <v>610</v>
      </c>
    </row>
    <row r="1565" spans="1:5" x14ac:dyDescent="0.3">
      <c r="A1565">
        <v>1564</v>
      </c>
      <c r="B1565">
        <v>522</v>
      </c>
      <c r="C1565" t="s">
        <v>615</v>
      </c>
      <c r="D1565">
        <v>315.44</v>
      </c>
      <c r="E1565" t="s">
        <v>616</v>
      </c>
    </row>
    <row r="1566" spans="1:5" x14ac:dyDescent="0.3">
      <c r="A1566">
        <v>1565</v>
      </c>
      <c r="B1566">
        <v>522</v>
      </c>
      <c r="C1566" t="s">
        <v>607</v>
      </c>
      <c r="D1566">
        <v>135.96</v>
      </c>
      <c r="E1566" t="s">
        <v>608</v>
      </c>
    </row>
    <row r="1567" spans="1:5" x14ac:dyDescent="0.3">
      <c r="A1567">
        <v>1566</v>
      </c>
      <c r="B1567">
        <v>522</v>
      </c>
      <c r="C1567" t="s">
        <v>603</v>
      </c>
      <c r="D1567">
        <v>186.96</v>
      </c>
      <c r="E1567" t="s">
        <v>604</v>
      </c>
    </row>
    <row r="1568" spans="1:5" x14ac:dyDescent="0.3">
      <c r="A1568">
        <v>1567</v>
      </c>
      <c r="B1568">
        <v>523</v>
      </c>
      <c r="C1568" t="s">
        <v>621</v>
      </c>
      <c r="D1568">
        <v>6.46</v>
      </c>
      <c r="E1568" t="s">
        <v>622</v>
      </c>
    </row>
    <row r="1569" spans="1:5" x14ac:dyDescent="0.3">
      <c r="A1569">
        <v>1568</v>
      </c>
      <c r="B1569">
        <v>523</v>
      </c>
      <c r="C1569" t="s">
        <v>603</v>
      </c>
      <c r="D1569">
        <v>187.24</v>
      </c>
      <c r="E1569" t="s">
        <v>604</v>
      </c>
    </row>
    <row r="1570" spans="1:5" x14ac:dyDescent="0.3">
      <c r="A1570">
        <v>1569</v>
      </c>
      <c r="B1570">
        <v>523</v>
      </c>
      <c r="C1570" t="s">
        <v>611</v>
      </c>
      <c r="D1570">
        <v>15.78</v>
      </c>
      <c r="E1570" t="s">
        <v>612</v>
      </c>
    </row>
    <row r="1571" spans="1:5" x14ac:dyDescent="0.3">
      <c r="A1571">
        <v>1570</v>
      </c>
      <c r="B1571">
        <v>524</v>
      </c>
      <c r="C1571" t="s">
        <v>605</v>
      </c>
      <c r="D1571">
        <v>123.45</v>
      </c>
      <c r="E1571" t="s">
        <v>606</v>
      </c>
    </row>
    <row r="1572" spans="1:5" x14ac:dyDescent="0.3">
      <c r="A1572">
        <v>1571</v>
      </c>
      <c r="B1572">
        <v>524</v>
      </c>
      <c r="C1572" t="s">
        <v>613</v>
      </c>
      <c r="D1572">
        <v>2.83</v>
      </c>
      <c r="E1572" t="s">
        <v>614</v>
      </c>
    </row>
    <row r="1573" spans="1:5" x14ac:dyDescent="0.3">
      <c r="A1573">
        <v>1572</v>
      </c>
      <c r="B1573">
        <v>524</v>
      </c>
      <c r="C1573" t="s">
        <v>609</v>
      </c>
      <c r="D1573">
        <v>0.84</v>
      </c>
      <c r="E1573" t="s">
        <v>610</v>
      </c>
    </row>
    <row r="1574" spans="1:5" x14ac:dyDescent="0.3">
      <c r="A1574">
        <v>1573</v>
      </c>
      <c r="B1574">
        <v>525</v>
      </c>
      <c r="C1574" t="s">
        <v>615</v>
      </c>
      <c r="D1574">
        <v>243.01</v>
      </c>
      <c r="E1574" t="s">
        <v>616</v>
      </c>
    </row>
    <row r="1575" spans="1:5" x14ac:dyDescent="0.3">
      <c r="A1575">
        <v>1574</v>
      </c>
      <c r="B1575">
        <v>525</v>
      </c>
      <c r="C1575" t="s">
        <v>613</v>
      </c>
      <c r="D1575">
        <v>4.7699999999999996</v>
      </c>
      <c r="E1575" t="s">
        <v>614</v>
      </c>
    </row>
    <row r="1576" spans="1:5" x14ac:dyDescent="0.3">
      <c r="A1576">
        <v>1575</v>
      </c>
      <c r="B1576">
        <v>525</v>
      </c>
      <c r="C1576" t="s">
        <v>619</v>
      </c>
      <c r="D1576">
        <v>0.78</v>
      </c>
      <c r="E1576" t="s">
        <v>620</v>
      </c>
    </row>
    <row r="1577" spans="1:5" x14ac:dyDescent="0.3">
      <c r="A1577">
        <v>1576</v>
      </c>
      <c r="B1577">
        <v>526</v>
      </c>
      <c r="C1577" t="s">
        <v>621</v>
      </c>
      <c r="D1577">
        <v>11.63</v>
      </c>
      <c r="E1577" t="s">
        <v>622</v>
      </c>
    </row>
    <row r="1578" spans="1:5" x14ac:dyDescent="0.3">
      <c r="A1578">
        <v>1577</v>
      </c>
      <c r="B1578">
        <v>526</v>
      </c>
      <c r="C1578" t="s">
        <v>609</v>
      </c>
      <c r="D1578">
        <v>8.86</v>
      </c>
      <c r="E1578" t="s">
        <v>610</v>
      </c>
    </row>
    <row r="1579" spans="1:5" x14ac:dyDescent="0.3">
      <c r="A1579">
        <v>1578</v>
      </c>
      <c r="B1579">
        <v>526</v>
      </c>
      <c r="C1579" t="s">
        <v>615</v>
      </c>
      <c r="D1579">
        <v>190.3</v>
      </c>
      <c r="E1579" t="s">
        <v>616</v>
      </c>
    </row>
    <row r="1580" spans="1:5" x14ac:dyDescent="0.3">
      <c r="A1580">
        <v>1579</v>
      </c>
      <c r="B1580">
        <v>527</v>
      </c>
      <c r="C1580" t="s">
        <v>617</v>
      </c>
      <c r="D1580">
        <v>4.6500000000000004</v>
      </c>
      <c r="E1580" t="s">
        <v>618</v>
      </c>
    </row>
    <row r="1581" spans="1:5" x14ac:dyDescent="0.3">
      <c r="A1581">
        <v>1580</v>
      </c>
      <c r="B1581">
        <v>527</v>
      </c>
      <c r="C1581" t="s">
        <v>621</v>
      </c>
      <c r="D1581">
        <v>9.0399999999999991</v>
      </c>
      <c r="E1581" t="s">
        <v>622</v>
      </c>
    </row>
    <row r="1582" spans="1:5" x14ac:dyDescent="0.3">
      <c r="A1582">
        <v>1581</v>
      </c>
      <c r="B1582">
        <v>527</v>
      </c>
      <c r="C1582" t="s">
        <v>613</v>
      </c>
      <c r="D1582">
        <v>3.3</v>
      </c>
      <c r="E1582" t="s">
        <v>614</v>
      </c>
    </row>
    <row r="1583" spans="1:5" x14ac:dyDescent="0.3">
      <c r="A1583">
        <v>1582</v>
      </c>
      <c r="B1583">
        <v>528</v>
      </c>
      <c r="C1583" t="s">
        <v>621</v>
      </c>
      <c r="D1583">
        <v>4.92</v>
      </c>
      <c r="E1583" t="s">
        <v>622</v>
      </c>
    </row>
    <row r="1584" spans="1:5" x14ac:dyDescent="0.3">
      <c r="A1584">
        <v>1583</v>
      </c>
      <c r="B1584">
        <v>528</v>
      </c>
      <c r="C1584" t="s">
        <v>603</v>
      </c>
      <c r="D1584">
        <v>72.12</v>
      </c>
      <c r="E1584" t="s">
        <v>604</v>
      </c>
    </row>
    <row r="1585" spans="1:5" x14ac:dyDescent="0.3">
      <c r="A1585">
        <v>1584</v>
      </c>
      <c r="B1585">
        <v>528</v>
      </c>
      <c r="C1585" t="s">
        <v>619</v>
      </c>
      <c r="D1585">
        <v>2.9</v>
      </c>
      <c r="E1585" t="s">
        <v>620</v>
      </c>
    </row>
    <row r="1586" spans="1:5" x14ac:dyDescent="0.3">
      <c r="A1586">
        <v>1585</v>
      </c>
      <c r="B1586">
        <v>529</v>
      </c>
      <c r="C1586" t="s">
        <v>613</v>
      </c>
      <c r="D1586">
        <v>4.68</v>
      </c>
      <c r="E1586" t="s">
        <v>614</v>
      </c>
    </row>
    <row r="1587" spans="1:5" x14ac:dyDescent="0.3">
      <c r="A1587">
        <v>1586</v>
      </c>
      <c r="B1587">
        <v>529</v>
      </c>
      <c r="C1587" t="s">
        <v>615</v>
      </c>
      <c r="D1587">
        <v>179.78</v>
      </c>
      <c r="E1587" t="s">
        <v>616</v>
      </c>
    </row>
    <row r="1588" spans="1:5" x14ac:dyDescent="0.3">
      <c r="A1588">
        <v>1587</v>
      </c>
      <c r="B1588">
        <v>529</v>
      </c>
      <c r="C1588" t="s">
        <v>603</v>
      </c>
      <c r="D1588">
        <v>241.07</v>
      </c>
      <c r="E1588" t="s">
        <v>604</v>
      </c>
    </row>
    <row r="1589" spans="1:5" x14ac:dyDescent="0.3">
      <c r="A1589">
        <v>1588</v>
      </c>
      <c r="B1589">
        <v>530</v>
      </c>
      <c r="C1589" t="s">
        <v>617</v>
      </c>
      <c r="D1589">
        <v>11.82</v>
      </c>
      <c r="E1589" t="s">
        <v>618</v>
      </c>
    </row>
    <row r="1590" spans="1:5" x14ac:dyDescent="0.3">
      <c r="A1590">
        <v>1589</v>
      </c>
      <c r="B1590">
        <v>530</v>
      </c>
      <c r="C1590" t="s">
        <v>621</v>
      </c>
      <c r="D1590">
        <v>10.86</v>
      </c>
      <c r="E1590" t="s">
        <v>622</v>
      </c>
    </row>
    <row r="1591" spans="1:5" x14ac:dyDescent="0.3">
      <c r="A1591">
        <v>1590</v>
      </c>
      <c r="B1591">
        <v>530</v>
      </c>
      <c r="C1591" t="s">
        <v>603</v>
      </c>
      <c r="D1591">
        <v>130.37</v>
      </c>
      <c r="E1591" t="s">
        <v>604</v>
      </c>
    </row>
    <row r="1592" spans="1:5" x14ac:dyDescent="0.3">
      <c r="A1592">
        <v>1591</v>
      </c>
      <c r="B1592">
        <v>531</v>
      </c>
      <c r="C1592" t="s">
        <v>603</v>
      </c>
      <c r="D1592">
        <v>85.2</v>
      </c>
      <c r="E1592" t="s">
        <v>604</v>
      </c>
    </row>
    <row r="1593" spans="1:5" x14ac:dyDescent="0.3">
      <c r="A1593">
        <v>1592</v>
      </c>
      <c r="B1593">
        <v>531</v>
      </c>
      <c r="C1593" t="s">
        <v>619</v>
      </c>
      <c r="D1593">
        <v>2.27</v>
      </c>
      <c r="E1593" t="s">
        <v>620</v>
      </c>
    </row>
    <row r="1594" spans="1:5" x14ac:dyDescent="0.3">
      <c r="A1594">
        <v>1593</v>
      </c>
      <c r="B1594">
        <v>531</v>
      </c>
      <c r="C1594" t="s">
        <v>615</v>
      </c>
      <c r="D1594">
        <v>139.61000000000001</v>
      </c>
      <c r="E1594" t="s">
        <v>616</v>
      </c>
    </row>
    <row r="1595" spans="1:5" x14ac:dyDescent="0.3">
      <c r="A1595">
        <v>1594</v>
      </c>
      <c r="B1595">
        <v>532</v>
      </c>
      <c r="C1595" t="s">
        <v>611</v>
      </c>
      <c r="D1595">
        <v>10.42</v>
      </c>
      <c r="E1595" t="s">
        <v>612</v>
      </c>
    </row>
    <row r="1596" spans="1:5" x14ac:dyDescent="0.3">
      <c r="A1596">
        <v>1595</v>
      </c>
      <c r="B1596">
        <v>532</v>
      </c>
      <c r="C1596" t="s">
        <v>619</v>
      </c>
      <c r="D1596">
        <v>1.8</v>
      </c>
      <c r="E1596" t="s">
        <v>620</v>
      </c>
    </row>
    <row r="1597" spans="1:5" x14ac:dyDescent="0.3">
      <c r="A1597">
        <v>1596</v>
      </c>
      <c r="B1597">
        <v>532</v>
      </c>
      <c r="C1597" t="s">
        <v>609</v>
      </c>
      <c r="D1597">
        <v>16.47</v>
      </c>
      <c r="E1597" t="s">
        <v>610</v>
      </c>
    </row>
    <row r="1598" spans="1:5" x14ac:dyDescent="0.3">
      <c r="A1598">
        <v>1597</v>
      </c>
      <c r="B1598">
        <v>533</v>
      </c>
      <c r="C1598" t="s">
        <v>607</v>
      </c>
      <c r="D1598">
        <v>147.27000000000001</v>
      </c>
      <c r="E1598" t="s">
        <v>608</v>
      </c>
    </row>
    <row r="1599" spans="1:5" x14ac:dyDescent="0.3">
      <c r="A1599">
        <v>1598</v>
      </c>
      <c r="B1599">
        <v>533</v>
      </c>
      <c r="C1599" t="s">
        <v>611</v>
      </c>
      <c r="D1599">
        <v>8.5</v>
      </c>
      <c r="E1599" t="s">
        <v>612</v>
      </c>
    </row>
    <row r="1600" spans="1:5" x14ac:dyDescent="0.3">
      <c r="A1600">
        <v>1599</v>
      </c>
      <c r="B1600">
        <v>533</v>
      </c>
      <c r="C1600" t="s">
        <v>621</v>
      </c>
      <c r="D1600">
        <v>6.61</v>
      </c>
      <c r="E1600" t="s">
        <v>622</v>
      </c>
    </row>
    <row r="1601" spans="1:5" x14ac:dyDescent="0.3">
      <c r="A1601">
        <v>1600</v>
      </c>
      <c r="B1601">
        <v>534</v>
      </c>
      <c r="C1601" t="s">
        <v>615</v>
      </c>
      <c r="D1601">
        <v>414.09</v>
      </c>
      <c r="E1601" t="s">
        <v>616</v>
      </c>
    </row>
    <row r="1602" spans="1:5" x14ac:dyDescent="0.3">
      <c r="A1602">
        <v>1601</v>
      </c>
      <c r="B1602">
        <v>534</v>
      </c>
      <c r="C1602" t="s">
        <v>621</v>
      </c>
      <c r="D1602">
        <v>7</v>
      </c>
      <c r="E1602" t="s">
        <v>622</v>
      </c>
    </row>
    <row r="1603" spans="1:5" x14ac:dyDescent="0.3">
      <c r="A1603">
        <v>1602</v>
      </c>
      <c r="B1603">
        <v>534</v>
      </c>
      <c r="C1603" t="s">
        <v>607</v>
      </c>
      <c r="D1603">
        <v>148.72999999999999</v>
      </c>
      <c r="E1603" t="s">
        <v>608</v>
      </c>
    </row>
    <row r="1604" spans="1:5" x14ac:dyDescent="0.3">
      <c r="A1604">
        <v>1603</v>
      </c>
      <c r="B1604">
        <v>535</v>
      </c>
      <c r="C1604" t="s">
        <v>617</v>
      </c>
      <c r="D1604">
        <v>7.79</v>
      </c>
      <c r="E1604" t="s">
        <v>618</v>
      </c>
    </row>
    <row r="1605" spans="1:5" x14ac:dyDescent="0.3">
      <c r="A1605">
        <v>1604</v>
      </c>
      <c r="B1605">
        <v>535</v>
      </c>
      <c r="C1605" t="s">
        <v>603</v>
      </c>
      <c r="D1605">
        <v>118.81</v>
      </c>
      <c r="E1605" t="s">
        <v>604</v>
      </c>
    </row>
    <row r="1606" spans="1:5" x14ac:dyDescent="0.3">
      <c r="A1606">
        <v>1605</v>
      </c>
      <c r="B1606">
        <v>535</v>
      </c>
      <c r="C1606" t="s">
        <v>605</v>
      </c>
      <c r="D1606">
        <v>150.01</v>
      </c>
      <c r="E1606" t="s">
        <v>606</v>
      </c>
    </row>
    <row r="1607" spans="1:5" x14ac:dyDescent="0.3">
      <c r="A1607">
        <v>1606</v>
      </c>
      <c r="B1607">
        <v>536</v>
      </c>
      <c r="C1607" t="s">
        <v>621</v>
      </c>
      <c r="D1607">
        <v>8.8699999999999992</v>
      </c>
      <c r="E1607" t="s">
        <v>622</v>
      </c>
    </row>
    <row r="1608" spans="1:5" x14ac:dyDescent="0.3">
      <c r="A1608">
        <v>1607</v>
      </c>
      <c r="B1608">
        <v>536</v>
      </c>
      <c r="C1608" t="s">
        <v>603</v>
      </c>
      <c r="D1608">
        <v>214.49</v>
      </c>
      <c r="E1608" t="s">
        <v>604</v>
      </c>
    </row>
    <row r="1609" spans="1:5" x14ac:dyDescent="0.3">
      <c r="A1609">
        <v>1608</v>
      </c>
      <c r="B1609">
        <v>536</v>
      </c>
      <c r="C1609" t="s">
        <v>611</v>
      </c>
      <c r="D1609">
        <v>12.36</v>
      </c>
      <c r="E1609" t="s">
        <v>612</v>
      </c>
    </row>
    <row r="1610" spans="1:5" x14ac:dyDescent="0.3">
      <c r="A1610">
        <v>1609</v>
      </c>
      <c r="B1610">
        <v>537</v>
      </c>
      <c r="C1610" t="s">
        <v>609</v>
      </c>
      <c r="D1610">
        <v>7.64</v>
      </c>
      <c r="E1610" t="s">
        <v>610</v>
      </c>
    </row>
    <row r="1611" spans="1:5" x14ac:dyDescent="0.3">
      <c r="A1611">
        <v>1610</v>
      </c>
      <c r="B1611">
        <v>537</v>
      </c>
      <c r="C1611" t="s">
        <v>615</v>
      </c>
      <c r="D1611">
        <v>303.94</v>
      </c>
      <c r="E1611" t="s">
        <v>616</v>
      </c>
    </row>
    <row r="1612" spans="1:5" x14ac:dyDescent="0.3">
      <c r="A1612">
        <v>1611</v>
      </c>
      <c r="B1612">
        <v>537</v>
      </c>
      <c r="C1612" t="s">
        <v>619</v>
      </c>
      <c r="D1612">
        <v>2.8</v>
      </c>
      <c r="E1612" t="s">
        <v>620</v>
      </c>
    </row>
    <row r="1613" spans="1:5" x14ac:dyDescent="0.3">
      <c r="A1613">
        <v>1612</v>
      </c>
      <c r="B1613">
        <v>538</v>
      </c>
      <c r="C1613" t="s">
        <v>605</v>
      </c>
      <c r="D1613">
        <v>311.04000000000002</v>
      </c>
      <c r="E1613" t="s">
        <v>606</v>
      </c>
    </row>
    <row r="1614" spans="1:5" x14ac:dyDescent="0.3">
      <c r="A1614">
        <v>1613</v>
      </c>
      <c r="B1614">
        <v>538</v>
      </c>
      <c r="C1614" t="s">
        <v>607</v>
      </c>
      <c r="D1614">
        <v>149.09</v>
      </c>
      <c r="E1614" t="s">
        <v>608</v>
      </c>
    </row>
    <row r="1615" spans="1:5" x14ac:dyDescent="0.3">
      <c r="A1615">
        <v>1614</v>
      </c>
      <c r="B1615">
        <v>538</v>
      </c>
      <c r="C1615" t="s">
        <v>611</v>
      </c>
      <c r="D1615">
        <v>17.420000000000002</v>
      </c>
      <c r="E1615" t="s">
        <v>612</v>
      </c>
    </row>
    <row r="1616" spans="1:5" x14ac:dyDescent="0.3">
      <c r="A1616">
        <v>1615</v>
      </c>
      <c r="B1616">
        <v>539</v>
      </c>
      <c r="C1616" t="s">
        <v>621</v>
      </c>
      <c r="D1616">
        <v>8.31</v>
      </c>
      <c r="E1616" t="s">
        <v>622</v>
      </c>
    </row>
    <row r="1617" spans="1:5" x14ac:dyDescent="0.3">
      <c r="A1617">
        <v>1616</v>
      </c>
      <c r="B1617">
        <v>539</v>
      </c>
      <c r="C1617" t="s">
        <v>609</v>
      </c>
      <c r="D1617">
        <v>2.5099999999999998</v>
      </c>
      <c r="E1617" t="s">
        <v>610</v>
      </c>
    </row>
    <row r="1618" spans="1:5" x14ac:dyDescent="0.3">
      <c r="A1618">
        <v>1617</v>
      </c>
      <c r="B1618">
        <v>539</v>
      </c>
      <c r="C1618" t="s">
        <v>607</v>
      </c>
      <c r="D1618">
        <v>147.33000000000001</v>
      </c>
      <c r="E1618" t="s">
        <v>608</v>
      </c>
    </row>
    <row r="1619" spans="1:5" x14ac:dyDescent="0.3">
      <c r="A1619">
        <v>1618</v>
      </c>
      <c r="B1619">
        <v>540</v>
      </c>
      <c r="C1619" t="s">
        <v>603</v>
      </c>
      <c r="D1619">
        <v>123.63</v>
      </c>
      <c r="E1619" t="s">
        <v>604</v>
      </c>
    </row>
    <row r="1620" spans="1:5" x14ac:dyDescent="0.3">
      <c r="A1620">
        <v>1619</v>
      </c>
      <c r="B1620">
        <v>540</v>
      </c>
      <c r="C1620" t="s">
        <v>613</v>
      </c>
      <c r="D1620">
        <v>3.46</v>
      </c>
      <c r="E1620" t="s">
        <v>614</v>
      </c>
    </row>
    <row r="1621" spans="1:5" x14ac:dyDescent="0.3">
      <c r="A1621">
        <v>1620</v>
      </c>
      <c r="B1621">
        <v>540</v>
      </c>
      <c r="C1621" t="s">
        <v>609</v>
      </c>
      <c r="D1621">
        <v>11.55</v>
      </c>
      <c r="E1621" t="s">
        <v>610</v>
      </c>
    </row>
    <row r="1622" spans="1:5" x14ac:dyDescent="0.3">
      <c r="A1622">
        <v>1621</v>
      </c>
      <c r="B1622">
        <v>541</v>
      </c>
      <c r="C1622" t="s">
        <v>619</v>
      </c>
      <c r="D1622">
        <v>3.3</v>
      </c>
      <c r="E1622" t="s">
        <v>620</v>
      </c>
    </row>
    <row r="1623" spans="1:5" x14ac:dyDescent="0.3">
      <c r="A1623">
        <v>1622</v>
      </c>
      <c r="B1623">
        <v>541</v>
      </c>
      <c r="C1623" t="s">
        <v>615</v>
      </c>
      <c r="D1623">
        <v>442.12</v>
      </c>
      <c r="E1623" t="s">
        <v>616</v>
      </c>
    </row>
    <row r="1624" spans="1:5" x14ac:dyDescent="0.3">
      <c r="A1624">
        <v>1623</v>
      </c>
      <c r="B1624">
        <v>541</v>
      </c>
      <c r="C1624" t="s">
        <v>621</v>
      </c>
      <c r="D1624">
        <v>5.85</v>
      </c>
      <c r="E1624" t="s">
        <v>622</v>
      </c>
    </row>
    <row r="1625" spans="1:5" x14ac:dyDescent="0.3">
      <c r="A1625">
        <v>1624</v>
      </c>
      <c r="B1625">
        <v>542</v>
      </c>
      <c r="C1625" t="s">
        <v>615</v>
      </c>
      <c r="D1625">
        <v>255.75</v>
      </c>
      <c r="E1625" t="s">
        <v>616</v>
      </c>
    </row>
    <row r="1626" spans="1:5" x14ac:dyDescent="0.3">
      <c r="A1626">
        <v>1625</v>
      </c>
      <c r="B1626">
        <v>542</v>
      </c>
      <c r="C1626" t="s">
        <v>611</v>
      </c>
      <c r="D1626">
        <v>17.05</v>
      </c>
      <c r="E1626" t="s">
        <v>612</v>
      </c>
    </row>
    <row r="1627" spans="1:5" x14ac:dyDescent="0.3">
      <c r="A1627">
        <v>1626</v>
      </c>
      <c r="B1627">
        <v>542</v>
      </c>
      <c r="C1627" t="s">
        <v>619</v>
      </c>
      <c r="D1627">
        <v>1.93</v>
      </c>
      <c r="E1627" t="s">
        <v>620</v>
      </c>
    </row>
    <row r="1628" spans="1:5" x14ac:dyDescent="0.3">
      <c r="A1628">
        <v>1627</v>
      </c>
      <c r="B1628">
        <v>543</v>
      </c>
      <c r="C1628" t="s">
        <v>611</v>
      </c>
      <c r="D1628">
        <v>16.600000000000001</v>
      </c>
      <c r="E1628" t="s">
        <v>612</v>
      </c>
    </row>
    <row r="1629" spans="1:5" x14ac:dyDescent="0.3">
      <c r="A1629">
        <v>1628</v>
      </c>
      <c r="B1629">
        <v>543</v>
      </c>
      <c r="C1629" t="s">
        <v>615</v>
      </c>
      <c r="D1629">
        <v>328.67</v>
      </c>
      <c r="E1629" t="s">
        <v>616</v>
      </c>
    </row>
    <row r="1630" spans="1:5" x14ac:dyDescent="0.3">
      <c r="A1630">
        <v>1629</v>
      </c>
      <c r="B1630">
        <v>543</v>
      </c>
      <c r="C1630" t="s">
        <v>621</v>
      </c>
      <c r="D1630">
        <v>8.84</v>
      </c>
      <c r="E1630" t="s">
        <v>622</v>
      </c>
    </row>
    <row r="1631" spans="1:5" x14ac:dyDescent="0.3">
      <c r="A1631">
        <v>1630</v>
      </c>
      <c r="B1631">
        <v>544</v>
      </c>
      <c r="C1631" t="s">
        <v>613</v>
      </c>
      <c r="D1631">
        <v>4.74</v>
      </c>
      <c r="E1631" t="s">
        <v>614</v>
      </c>
    </row>
    <row r="1632" spans="1:5" x14ac:dyDescent="0.3">
      <c r="A1632">
        <v>1631</v>
      </c>
      <c r="B1632">
        <v>544</v>
      </c>
      <c r="C1632" t="s">
        <v>607</v>
      </c>
      <c r="D1632">
        <v>146.19</v>
      </c>
      <c r="E1632" t="s">
        <v>608</v>
      </c>
    </row>
    <row r="1633" spans="1:5" x14ac:dyDescent="0.3">
      <c r="A1633">
        <v>1632</v>
      </c>
      <c r="B1633">
        <v>544</v>
      </c>
      <c r="C1633" t="s">
        <v>619</v>
      </c>
      <c r="D1633">
        <v>0.94</v>
      </c>
      <c r="E1633" t="s">
        <v>620</v>
      </c>
    </row>
    <row r="1634" spans="1:5" x14ac:dyDescent="0.3">
      <c r="A1634">
        <v>1633</v>
      </c>
      <c r="B1634">
        <v>545</v>
      </c>
      <c r="C1634" t="s">
        <v>609</v>
      </c>
      <c r="D1634">
        <v>13.51</v>
      </c>
      <c r="E1634" t="s">
        <v>610</v>
      </c>
    </row>
    <row r="1635" spans="1:5" x14ac:dyDescent="0.3">
      <c r="A1635">
        <v>1634</v>
      </c>
      <c r="B1635">
        <v>545</v>
      </c>
      <c r="C1635" t="s">
        <v>619</v>
      </c>
      <c r="D1635">
        <v>2.83</v>
      </c>
      <c r="E1635" t="s">
        <v>620</v>
      </c>
    </row>
    <row r="1636" spans="1:5" x14ac:dyDescent="0.3">
      <c r="A1636">
        <v>1635</v>
      </c>
      <c r="B1636">
        <v>545</v>
      </c>
      <c r="C1636" t="s">
        <v>607</v>
      </c>
      <c r="D1636">
        <v>141.32</v>
      </c>
      <c r="E1636" t="s">
        <v>608</v>
      </c>
    </row>
    <row r="1637" spans="1:5" x14ac:dyDescent="0.3">
      <c r="A1637">
        <v>1636</v>
      </c>
      <c r="B1637">
        <v>546</v>
      </c>
      <c r="C1637" t="s">
        <v>617</v>
      </c>
      <c r="D1637">
        <v>4.53</v>
      </c>
      <c r="E1637" t="s">
        <v>618</v>
      </c>
    </row>
    <row r="1638" spans="1:5" x14ac:dyDescent="0.3">
      <c r="A1638">
        <v>1637</v>
      </c>
      <c r="B1638">
        <v>546</v>
      </c>
      <c r="C1638" t="s">
        <v>615</v>
      </c>
      <c r="D1638">
        <v>242.98</v>
      </c>
      <c r="E1638" t="s">
        <v>616</v>
      </c>
    </row>
    <row r="1639" spans="1:5" x14ac:dyDescent="0.3">
      <c r="A1639">
        <v>1638</v>
      </c>
      <c r="B1639">
        <v>546</v>
      </c>
      <c r="C1639" t="s">
        <v>609</v>
      </c>
      <c r="D1639">
        <v>10.15</v>
      </c>
      <c r="E1639" t="s">
        <v>610</v>
      </c>
    </row>
    <row r="1640" spans="1:5" x14ac:dyDescent="0.3">
      <c r="A1640">
        <v>1639</v>
      </c>
      <c r="B1640">
        <v>547</v>
      </c>
      <c r="C1640" t="s">
        <v>605</v>
      </c>
      <c r="D1640">
        <v>299.97000000000003</v>
      </c>
      <c r="E1640" t="s">
        <v>606</v>
      </c>
    </row>
    <row r="1641" spans="1:5" x14ac:dyDescent="0.3">
      <c r="A1641">
        <v>1640</v>
      </c>
      <c r="B1641">
        <v>547</v>
      </c>
      <c r="C1641" t="s">
        <v>613</v>
      </c>
      <c r="D1641">
        <v>5.78</v>
      </c>
      <c r="E1641" t="s">
        <v>614</v>
      </c>
    </row>
    <row r="1642" spans="1:5" x14ac:dyDescent="0.3">
      <c r="A1642">
        <v>1641</v>
      </c>
      <c r="B1642">
        <v>547</v>
      </c>
      <c r="C1642" t="s">
        <v>619</v>
      </c>
      <c r="D1642">
        <v>0.55000000000000004</v>
      </c>
      <c r="E1642" t="s">
        <v>620</v>
      </c>
    </row>
    <row r="1643" spans="1:5" x14ac:dyDescent="0.3">
      <c r="A1643">
        <v>1642</v>
      </c>
      <c r="B1643">
        <v>548</v>
      </c>
      <c r="C1643" t="s">
        <v>611</v>
      </c>
      <c r="D1643">
        <v>15.04</v>
      </c>
      <c r="E1643" t="s">
        <v>612</v>
      </c>
    </row>
    <row r="1644" spans="1:5" x14ac:dyDescent="0.3">
      <c r="A1644">
        <v>1643</v>
      </c>
      <c r="B1644">
        <v>548</v>
      </c>
      <c r="C1644" t="s">
        <v>607</v>
      </c>
      <c r="D1644">
        <v>143.65</v>
      </c>
      <c r="E1644" t="s">
        <v>608</v>
      </c>
    </row>
    <row r="1645" spans="1:5" x14ac:dyDescent="0.3">
      <c r="A1645">
        <v>1644</v>
      </c>
      <c r="B1645">
        <v>548</v>
      </c>
      <c r="C1645" t="s">
        <v>617</v>
      </c>
      <c r="D1645">
        <v>9.11</v>
      </c>
      <c r="E1645" t="s">
        <v>618</v>
      </c>
    </row>
    <row r="1646" spans="1:5" x14ac:dyDescent="0.3">
      <c r="A1646">
        <v>1645</v>
      </c>
      <c r="B1646">
        <v>549</v>
      </c>
      <c r="C1646" t="s">
        <v>611</v>
      </c>
      <c r="D1646">
        <v>15.76</v>
      </c>
      <c r="E1646" t="s">
        <v>612</v>
      </c>
    </row>
    <row r="1647" spans="1:5" x14ac:dyDescent="0.3">
      <c r="A1647">
        <v>1646</v>
      </c>
      <c r="B1647">
        <v>549</v>
      </c>
      <c r="C1647" t="s">
        <v>605</v>
      </c>
      <c r="D1647">
        <v>124.79</v>
      </c>
      <c r="E1647" t="s">
        <v>606</v>
      </c>
    </row>
    <row r="1648" spans="1:5" x14ac:dyDescent="0.3">
      <c r="A1648">
        <v>1647</v>
      </c>
      <c r="B1648">
        <v>549</v>
      </c>
      <c r="C1648" t="s">
        <v>603</v>
      </c>
      <c r="D1648">
        <v>95.88</v>
      </c>
      <c r="E1648" t="s">
        <v>604</v>
      </c>
    </row>
    <row r="1649" spans="1:5" x14ac:dyDescent="0.3">
      <c r="A1649">
        <v>1648</v>
      </c>
      <c r="B1649">
        <v>550</v>
      </c>
      <c r="C1649" t="s">
        <v>611</v>
      </c>
      <c r="D1649">
        <v>16.489999999999998</v>
      </c>
      <c r="E1649" t="s">
        <v>612</v>
      </c>
    </row>
    <row r="1650" spans="1:5" x14ac:dyDescent="0.3">
      <c r="A1650">
        <v>1649</v>
      </c>
      <c r="B1650">
        <v>550</v>
      </c>
      <c r="C1650" t="s">
        <v>605</v>
      </c>
      <c r="D1650">
        <v>190.87</v>
      </c>
      <c r="E1650" t="s">
        <v>606</v>
      </c>
    </row>
    <row r="1651" spans="1:5" x14ac:dyDescent="0.3">
      <c r="A1651">
        <v>1650</v>
      </c>
      <c r="B1651">
        <v>550</v>
      </c>
      <c r="C1651" t="s">
        <v>607</v>
      </c>
      <c r="D1651">
        <v>136.85</v>
      </c>
      <c r="E1651" t="s">
        <v>608</v>
      </c>
    </row>
    <row r="1652" spans="1:5" x14ac:dyDescent="0.3">
      <c r="A1652">
        <v>1651</v>
      </c>
      <c r="B1652">
        <v>551</v>
      </c>
      <c r="C1652" t="s">
        <v>609</v>
      </c>
      <c r="D1652">
        <v>2.4700000000000002</v>
      </c>
      <c r="E1652" t="s">
        <v>610</v>
      </c>
    </row>
    <row r="1653" spans="1:5" x14ac:dyDescent="0.3">
      <c r="A1653">
        <v>1652</v>
      </c>
      <c r="B1653">
        <v>551</v>
      </c>
      <c r="C1653" t="s">
        <v>619</v>
      </c>
      <c r="D1653">
        <v>3.64</v>
      </c>
      <c r="E1653" t="s">
        <v>620</v>
      </c>
    </row>
    <row r="1654" spans="1:5" x14ac:dyDescent="0.3">
      <c r="A1654">
        <v>1653</v>
      </c>
      <c r="B1654">
        <v>551</v>
      </c>
      <c r="C1654" t="s">
        <v>617</v>
      </c>
      <c r="D1654">
        <v>14.68</v>
      </c>
      <c r="E1654" t="s">
        <v>618</v>
      </c>
    </row>
    <row r="1655" spans="1:5" x14ac:dyDescent="0.3">
      <c r="A1655">
        <v>1654</v>
      </c>
      <c r="B1655">
        <v>552</v>
      </c>
      <c r="C1655" t="s">
        <v>621</v>
      </c>
      <c r="D1655">
        <v>4.59</v>
      </c>
      <c r="E1655" t="s">
        <v>622</v>
      </c>
    </row>
    <row r="1656" spans="1:5" x14ac:dyDescent="0.3">
      <c r="A1656">
        <v>1655</v>
      </c>
      <c r="B1656">
        <v>552</v>
      </c>
      <c r="C1656" t="s">
        <v>611</v>
      </c>
      <c r="D1656">
        <v>16.670000000000002</v>
      </c>
      <c r="E1656" t="s">
        <v>612</v>
      </c>
    </row>
    <row r="1657" spans="1:5" x14ac:dyDescent="0.3">
      <c r="A1657">
        <v>1656</v>
      </c>
      <c r="B1657">
        <v>552</v>
      </c>
      <c r="C1657" t="s">
        <v>603</v>
      </c>
      <c r="D1657">
        <v>240.74</v>
      </c>
      <c r="E1657" t="s">
        <v>604</v>
      </c>
    </row>
    <row r="1658" spans="1:5" x14ac:dyDescent="0.3">
      <c r="A1658">
        <v>1657</v>
      </c>
      <c r="B1658">
        <v>553</v>
      </c>
      <c r="C1658" t="s">
        <v>607</v>
      </c>
      <c r="D1658">
        <v>134.36000000000001</v>
      </c>
      <c r="E1658" t="s">
        <v>608</v>
      </c>
    </row>
    <row r="1659" spans="1:5" x14ac:dyDescent="0.3">
      <c r="A1659">
        <v>1658</v>
      </c>
      <c r="B1659">
        <v>553</v>
      </c>
      <c r="C1659" t="s">
        <v>613</v>
      </c>
      <c r="D1659">
        <v>4.42</v>
      </c>
      <c r="E1659" t="s">
        <v>614</v>
      </c>
    </row>
    <row r="1660" spans="1:5" x14ac:dyDescent="0.3">
      <c r="A1660">
        <v>1659</v>
      </c>
      <c r="B1660">
        <v>553</v>
      </c>
      <c r="C1660" t="s">
        <v>621</v>
      </c>
      <c r="D1660">
        <v>5.08</v>
      </c>
      <c r="E1660" t="s">
        <v>622</v>
      </c>
    </row>
    <row r="1661" spans="1:5" x14ac:dyDescent="0.3">
      <c r="A1661">
        <v>1660</v>
      </c>
      <c r="B1661">
        <v>554</v>
      </c>
      <c r="C1661" t="s">
        <v>605</v>
      </c>
      <c r="D1661">
        <v>150.44999999999999</v>
      </c>
      <c r="E1661" t="s">
        <v>606</v>
      </c>
    </row>
    <row r="1662" spans="1:5" x14ac:dyDescent="0.3">
      <c r="A1662">
        <v>1661</v>
      </c>
      <c r="B1662">
        <v>554</v>
      </c>
      <c r="C1662" t="s">
        <v>609</v>
      </c>
      <c r="D1662">
        <v>0.25</v>
      </c>
      <c r="E1662" t="s">
        <v>610</v>
      </c>
    </row>
    <row r="1663" spans="1:5" x14ac:dyDescent="0.3">
      <c r="A1663">
        <v>1662</v>
      </c>
      <c r="B1663">
        <v>554</v>
      </c>
      <c r="C1663" t="s">
        <v>611</v>
      </c>
      <c r="D1663">
        <v>13.23</v>
      </c>
      <c r="E1663" t="s">
        <v>612</v>
      </c>
    </row>
    <row r="1664" spans="1:5" x14ac:dyDescent="0.3">
      <c r="A1664">
        <v>1663</v>
      </c>
      <c r="B1664">
        <v>555</v>
      </c>
      <c r="C1664" t="s">
        <v>613</v>
      </c>
      <c r="D1664">
        <v>4.29</v>
      </c>
      <c r="E1664" t="s">
        <v>614</v>
      </c>
    </row>
    <row r="1665" spans="1:5" x14ac:dyDescent="0.3">
      <c r="A1665">
        <v>1664</v>
      </c>
      <c r="B1665">
        <v>555</v>
      </c>
      <c r="C1665" t="s">
        <v>607</v>
      </c>
      <c r="D1665">
        <v>139.19</v>
      </c>
      <c r="E1665" t="s">
        <v>608</v>
      </c>
    </row>
    <row r="1666" spans="1:5" x14ac:dyDescent="0.3">
      <c r="A1666">
        <v>1665</v>
      </c>
      <c r="B1666">
        <v>555</v>
      </c>
      <c r="C1666" t="s">
        <v>615</v>
      </c>
      <c r="D1666">
        <v>305.83</v>
      </c>
      <c r="E1666" t="s">
        <v>616</v>
      </c>
    </row>
    <row r="1667" spans="1:5" x14ac:dyDescent="0.3">
      <c r="A1667">
        <v>1666</v>
      </c>
      <c r="B1667">
        <v>556</v>
      </c>
      <c r="C1667" t="s">
        <v>611</v>
      </c>
      <c r="D1667">
        <v>12.18</v>
      </c>
      <c r="E1667" t="s">
        <v>612</v>
      </c>
    </row>
    <row r="1668" spans="1:5" x14ac:dyDescent="0.3">
      <c r="A1668">
        <v>1667</v>
      </c>
      <c r="B1668">
        <v>556</v>
      </c>
      <c r="C1668" t="s">
        <v>619</v>
      </c>
      <c r="D1668">
        <v>0.67</v>
      </c>
      <c r="E1668" t="s">
        <v>620</v>
      </c>
    </row>
    <row r="1669" spans="1:5" x14ac:dyDescent="0.3">
      <c r="A1669">
        <v>1668</v>
      </c>
      <c r="B1669">
        <v>556</v>
      </c>
      <c r="C1669" t="s">
        <v>617</v>
      </c>
      <c r="D1669">
        <v>9.73</v>
      </c>
      <c r="E1669" t="s">
        <v>618</v>
      </c>
    </row>
    <row r="1670" spans="1:5" x14ac:dyDescent="0.3">
      <c r="A1670">
        <v>1669</v>
      </c>
      <c r="B1670">
        <v>557</v>
      </c>
      <c r="C1670" t="s">
        <v>609</v>
      </c>
      <c r="D1670">
        <v>5.78</v>
      </c>
      <c r="E1670" t="s">
        <v>610</v>
      </c>
    </row>
    <row r="1671" spans="1:5" x14ac:dyDescent="0.3">
      <c r="A1671">
        <v>1670</v>
      </c>
      <c r="B1671">
        <v>557</v>
      </c>
      <c r="C1671" t="s">
        <v>621</v>
      </c>
      <c r="D1671">
        <v>7.07</v>
      </c>
      <c r="E1671" t="s">
        <v>622</v>
      </c>
    </row>
    <row r="1672" spans="1:5" x14ac:dyDescent="0.3">
      <c r="A1672">
        <v>1671</v>
      </c>
      <c r="B1672">
        <v>557</v>
      </c>
      <c r="C1672" t="s">
        <v>607</v>
      </c>
      <c r="D1672">
        <v>144.66</v>
      </c>
      <c r="E1672" t="s">
        <v>608</v>
      </c>
    </row>
    <row r="1673" spans="1:5" x14ac:dyDescent="0.3">
      <c r="A1673">
        <v>1672</v>
      </c>
      <c r="B1673">
        <v>558</v>
      </c>
      <c r="C1673" t="s">
        <v>605</v>
      </c>
      <c r="D1673">
        <v>206.11</v>
      </c>
      <c r="E1673" t="s">
        <v>606</v>
      </c>
    </row>
    <row r="1674" spans="1:5" x14ac:dyDescent="0.3">
      <c r="A1674">
        <v>1673</v>
      </c>
      <c r="B1674">
        <v>558</v>
      </c>
      <c r="C1674" t="s">
        <v>603</v>
      </c>
      <c r="D1674">
        <v>116.48</v>
      </c>
      <c r="E1674" t="s">
        <v>604</v>
      </c>
    </row>
    <row r="1675" spans="1:5" x14ac:dyDescent="0.3">
      <c r="A1675">
        <v>1674</v>
      </c>
      <c r="B1675">
        <v>558</v>
      </c>
      <c r="C1675" t="s">
        <v>619</v>
      </c>
      <c r="D1675">
        <v>3.58</v>
      </c>
      <c r="E1675" t="s">
        <v>620</v>
      </c>
    </row>
    <row r="1676" spans="1:5" x14ac:dyDescent="0.3">
      <c r="A1676">
        <v>1675</v>
      </c>
      <c r="B1676">
        <v>559</v>
      </c>
      <c r="C1676" t="s">
        <v>615</v>
      </c>
      <c r="D1676">
        <v>199.68</v>
      </c>
      <c r="E1676" t="s">
        <v>616</v>
      </c>
    </row>
    <row r="1677" spans="1:5" x14ac:dyDescent="0.3">
      <c r="A1677">
        <v>1676</v>
      </c>
      <c r="B1677">
        <v>559</v>
      </c>
      <c r="C1677" t="s">
        <v>611</v>
      </c>
      <c r="D1677">
        <v>8.24</v>
      </c>
      <c r="E1677" t="s">
        <v>612</v>
      </c>
    </row>
    <row r="1678" spans="1:5" x14ac:dyDescent="0.3">
      <c r="A1678">
        <v>1677</v>
      </c>
      <c r="B1678">
        <v>559</v>
      </c>
      <c r="C1678" t="s">
        <v>621</v>
      </c>
      <c r="D1678">
        <v>6.19</v>
      </c>
      <c r="E1678" t="s">
        <v>622</v>
      </c>
    </row>
    <row r="1679" spans="1:5" x14ac:dyDescent="0.3">
      <c r="A1679">
        <v>1678</v>
      </c>
      <c r="B1679">
        <v>560</v>
      </c>
      <c r="C1679" t="s">
        <v>613</v>
      </c>
      <c r="D1679">
        <v>3.78</v>
      </c>
      <c r="E1679" t="s">
        <v>614</v>
      </c>
    </row>
    <row r="1680" spans="1:5" x14ac:dyDescent="0.3">
      <c r="A1680">
        <v>1679</v>
      </c>
      <c r="B1680">
        <v>560</v>
      </c>
      <c r="C1680" t="s">
        <v>619</v>
      </c>
      <c r="D1680">
        <v>3.71</v>
      </c>
      <c r="E1680" t="s">
        <v>620</v>
      </c>
    </row>
    <row r="1681" spans="1:5" x14ac:dyDescent="0.3">
      <c r="A1681">
        <v>1680</v>
      </c>
      <c r="B1681">
        <v>560</v>
      </c>
      <c r="C1681" t="s">
        <v>605</v>
      </c>
      <c r="D1681">
        <v>317.76</v>
      </c>
      <c r="E1681" t="s">
        <v>606</v>
      </c>
    </row>
    <row r="1682" spans="1:5" x14ac:dyDescent="0.3">
      <c r="A1682">
        <v>1681</v>
      </c>
      <c r="B1682">
        <v>561</v>
      </c>
      <c r="C1682" t="s">
        <v>611</v>
      </c>
      <c r="D1682">
        <v>8.48</v>
      </c>
      <c r="E1682" t="s">
        <v>612</v>
      </c>
    </row>
    <row r="1683" spans="1:5" x14ac:dyDescent="0.3">
      <c r="A1683">
        <v>1682</v>
      </c>
      <c r="B1683">
        <v>561</v>
      </c>
      <c r="C1683" t="s">
        <v>619</v>
      </c>
      <c r="D1683">
        <v>1.22</v>
      </c>
      <c r="E1683" t="s">
        <v>620</v>
      </c>
    </row>
    <row r="1684" spans="1:5" x14ac:dyDescent="0.3">
      <c r="A1684">
        <v>1683</v>
      </c>
      <c r="B1684">
        <v>561</v>
      </c>
      <c r="C1684" t="s">
        <v>617</v>
      </c>
      <c r="D1684">
        <v>13.9</v>
      </c>
      <c r="E1684" t="s">
        <v>618</v>
      </c>
    </row>
    <row r="1685" spans="1:5" x14ac:dyDescent="0.3">
      <c r="A1685">
        <v>1684</v>
      </c>
      <c r="B1685">
        <v>562</v>
      </c>
      <c r="C1685" t="s">
        <v>605</v>
      </c>
      <c r="D1685">
        <v>311.97000000000003</v>
      </c>
      <c r="E1685" t="s">
        <v>606</v>
      </c>
    </row>
    <row r="1686" spans="1:5" x14ac:dyDescent="0.3">
      <c r="A1686">
        <v>1685</v>
      </c>
      <c r="B1686">
        <v>562</v>
      </c>
      <c r="C1686" t="s">
        <v>603</v>
      </c>
      <c r="D1686">
        <v>164.87</v>
      </c>
      <c r="E1686" t="s">
        <v>604</v>
      </c>
    </row>
    <row r="1687" spans="1:5" x14ac:dyDescent="0.3">
      <c r="A1687">
        <v>1686</v>
      </c>
      <c r="B1687">
        <v>562</v>
      </c>
      <c r="C1687" t="s">
        <v>609</v>
      </c>
      <c r="D1687">
        <v>16</v>
      </c>
      <c r="E1687" t="s">
        <v>610</v>
      </c>
    </row>
    <row r="1688" spans="1:5" x14ac:dyDescent="0.3">
      <c r="A1688">
        <v>1687</v>
      </c>
      <c r="B1688">
        <v>563</v>
      </c>
      <c r="C1688" t="s">
        <v>603</v>
      </c>
      <c r="D1688">
        <v>133.37</v>
      </c>
      <c r="E1688" t="s">
        <v>604</v>
      </c>
    </row>
    <row r="1689" spans="1:5" x14ac:dyDescent="0.3">
      <c r="A1689">
        <v>1688</v>
      </c>
      <c r="B1689">
        <v>563</v>
      </c>
      <c r="C1689" t="s">
        <v>613</v>
      </c>
      <c r="D1689">
        <v>3.76</v>
      </c>
      <c r="E1689" t="s">
        <v>614</v>
      </c>
    </row>
    <row r="1690" spans="1:5" x14ac:dyDescent="0.3">
      <c r="A1690">
        <v>1689</v>
      </c>
      <c r="B1690">
        <v>563</v>
      </c>
      <c r="C1690" t="s">
        <v>621</v>
      </c>
      <c r="D1690">
        <v>11.58</v>
      </c>
      <c r="E1690" t="s">
        <v>622</v>
      </c>
    </row>
    <row r="1691" spans="1:5" x14ac:dyDescent="0.3">
      <c r="A1691">
        <v>1690</v>
      </c>
      <c r="B1691">
        <v>564</v>
      </c>
      <c r="C1691" t="s">
        <v>607</v>
      </c>
      <c r="D1691">
        <v>146.28</v>
      </c>
      <c r="E1691" t="s">
        <v>608</v>
      </c>
    </row>
    <row r="1692" spans="1:5" x14ac:dyDescent="0.3">
      <c r="A1692">
        <v>1691</v>
      </c>
      <c r="B1692">
        <v>564</v>
      </c>
      <c r="C1692" t="s">
        <v>613</v>
      </c>
      <c r="D1692">
        <v>3.8</v>
      </c>
      <c r="E1692" t="s">
        <v>614</v>
      </c>
    </row>
    <row r="1693" spans="1:5" x14ac:dyDescent="0.3">
      <c r="A1693">
        <v>1692</v>
      </c>
      <c r="B1693">
        <v>564</v>
      </c>
      <c r="C1693" t="s">
        <v>605</v>
      </c>
      <c r="D1693">
        <v>141.91999999999999</v>
      </c>
      <c r="E1693" t="s">
        <v>606</v>
      </c>
    </row>
    <row r="1694" spans="1:5" x14ac:dyDescent="0.3">
      <c r="A1694">
        <v>1693</v>
      </c>
      <c r="B1694">
        <v>565</v>
      </c>
      <c r="C1694" t="s">
        <v>611</v>
      </c>
      <c r="D1694">
        <v>12.18</v>
      </c>
      <c r="E1694" t="s">
        <v>612</v>
      </c>
    </row>
    <row r="1695" spans="1:5" x14ac:dyDescent="0.3">
      <c r="A1695">
        <v>1694</v>
      </c>
      <c r="B1695">
        <v>565</v>
      </c>
      <c r="C1695" t="s">
        <v>613</v>
      </c>
      <c r="D1695">
        <v>3.1</v>
      </c>
      <c r="E1695" t="s">
        <v>614</v>
      </c>
    </row>
    <row r="1696" spans="1:5" x14ac:dyDescent="0.3">
      <c r="A1696">
        <v>1695</v>
      </c>
      <c r="B1696">
        <v>565</v>
      </c>
      <c r="C1696" t="s">
        <v>607</v>
      </c>
      <c r="D1696">
        <v>131.01</v>
      </c>
      <c r="E1696" t="s">
        <v>608</v>
      </c>
    </row>
    <row r="1697" spans="1:5" x14ac:dyDescent="0.3">
      <c r="A1697">
        <v>1696</v>
      </c>
      <c r="B1697">
        <v>566</v>
      </c>
      <c r="C1697" t="s">
        <v>617</v>
      </c>
      <c r="D1697">
        <v>13.45</v>
      </c>
      <c r="E1697" t="s">
        <v>618</v>
      </c>
    </row>
    <row r="1698" spans="1:5" x14ac:dyDescent="0.3">
      <c r="A1698">
        <v>1697</v>
      </c>
      <c r="B1698">
        <v>566</v>
      </c>
      <c r="C1698" t="s">
        <v>611</v>
      </c>
      <c r="D1698">
        <v>14.81</v>
      </c>
      <c r="E1698" t="s">
        <v>612</v>
      </c>
    </row>
    <row r="1699" spans="1:5" x14ac:dyDescent="0.3">
      <c r="A1699">
        <v>1698</v>
      </c>
      <c r="B1699">
        <v>566</v>
      </c>
      <c r="C1699" t="s">
        <v>615</v>
      </c>
      <c r="D1699">
        <v>177.85</v>
      </c>
      <c r="E1699" t="s">
        <v>616</v>
      </c>
    </row>
    <row r="1700" spans="1:5" x14ac:dyDescent="0.3">
      <c r="A1700">
        <v>1699</v>
      </c>
      <c r="B1700">
        <v>567</v>
      </c>
      <c r="C1700" t="s">
        <v>611</v>
      </c>
      <c r="D1700">
        <v>12.32</v>
      </c>
      <c r="E1700" t="s">
        <v>612</v>
      </c>
    </row>
    <row r="1701" spans="1:5" x14ac:dyDescent="0.3">
      <c r="A1701">
        <v>1700</v>
      </c>
      <c r="B1701">
        <v>567</v>
      </c>
      <c r="C1701" t="s">
        <v>615</v>
      </c>
      <c r="D1701">
        <v>196.64</v>
      </c>
      <c r="E1701" t="s">
        <v>616</v>
      </c>
    </row>
    <row r="1702" spans="1:5" x14ac:dyDescent="0.3">
      <c r="A1702">
        <v>1701</v>
      </c>
      <c r="B1702">
        <v>567</v>
      </c>
      <c r="C1702" t="s">
        <v>605</v>
      </c>
      <c r="D1702">
        <v>246.12</v>
      </c>
      <c r="E1702" t="s">
        <v>606</v>
      </c>
    </row>
    <row r="1703" spans="1:5" x14ac:dyDescent="0.3">
      <c r="A1703">
        <v>1702</v>
      </c>
      <c r="B1703">
        <v>568</v>
      </c>
      <c r="C1703" t="s">
        <v>609</v>
      </c>
      <c r="D1703">
        <v>17.86</v>
      </c>
      <c r="E1703" t="s">
        <v>610</v>
      </c>
    </row>
    <row r="1704" spans="1:5" x14ac:dyDescent="0.3">
      <c r="A1704">
        <v>1703</v>
      </c>
      <c r="B1704">
        <v>568</v>
      </c>
      <c r="C1704" t="s">
        <v>611</v>
      </c>
      <c r="D1704">
        <v>7.4</v>
      </c>
      <c r="E1704" t="s">
        <v>612</v>
      </c>
    </row>
    <row r="1705" spans="1:5" x14ac:dyDescent="0.3">
      <c r="A1705">
        <v>1704</v>
      </c>
      <c r="B1705">
        <v>568</v>
      </c>
      <c r="C1705" t="s">
        <v>615</v>
      </c>
      <c r="D1705">
        <v>135.15</v>
      </c>
      <c r="E1705" t="s">
        <v>616</v>
      </c>
    </row>
    <row r="1706" spans="1:5" x14ac:dyDescent="0.3">
      <c r="A1706">
        <v>1705</v>
      </c>
      <c r="B1706">
        <v>569</v>
      </c>
      <c r="C1706" t="s">
        <v>609</v>
      </c>
      <c r="D1706">
        <v>16.84</v>
      </c>
      <c r="E1706" t="s">
        <v>610</v>
      </c>
    </row>
    <row r="1707" spans="1:5" x14ac:dyDescent="0.3">
      <c r="A1707">
        <v>1706</v>
      </c>
      <c r="B1707">
        <v>569</v>
      </c>
      <c r="C1707" t="s">
        <v>615</v>
      </c>
      <c r="D1707">
        <v>331.4</v>
      </c>
      <c r="E1707" t="s">
        <v>616</v>
      </c>
    </row>
    <row r="1708" spans="1:5" x14ac:dyDescent="0.3">
      <c r="A1708">
        <v>1707</v>
      </c>
      <c r="B1708">
        <v>569</v>
      </c>
      <c r="C1708" t="s">
        <v>619</v>
      </c>
      <c r="D1708">
        <v>3.57</v>
      </c>
      <c r="E1708" t="s">
        <v>620</v>
      </c>
    </row>
    <row r="1709" spans="1:5" x14ac:dyDescent="0.3">
      <c r="A1709">
        <v>1708</v>
      </c>
      <c r="B1709">
        <v>570</v>
      </c>
      <c r="C1709" t="s">
        <v>603</v>
      </c>
      <c r="D1709">
        <v>90.32</v>
      </c>
      <c r="E1709" t="s">
        <v>604</v>
      </c>
    </row>
    <row r="1710" spans="1:5" x14ac:dyDescent="0.3">
      <c r="A1710">
        <v>1709</v>
      </c>
      <c r="B1710">
        <v>570</v>
      </c>
      <c r="C1710" t="s">
        <v>621</v>
      </c>
      <c r="D1710">
        <v>7.01</v>
      </c>
      <c r="E1710" t="s">
        <v>622</v>
      </c>
    </row>
    <row r="1711" spans="1:5" x14ac:dyDescent="0.3">
      <c r="A1711">
        <v>1710</v>
      </c>
      <c r="B1711">
        <v>570</v>
      </c>
      <c r="C1711" t="s">
        <v>619</v>
      </c>
      <c r="D1711">
        <v>3.8</v>
      </c>
      <c r="E1711" t="s">
        <v>620</v>
      </c>
    </row>
    <row r="1712" spans="1:5" x14ac:dyDescent="0.3">
      <c r="A1712">
        <v>1711</v>
      </c>
      <c r="B1712">
        <v>571</v>
      </c>
      <c r="C1712" t="s">
        <v>619</v>
      </c>
      <c r="D1712">
        <v>1.03</v>
      </c>
      <c r="E1712" t="s">
        <v>620</v>
      </c>
    </row>
    <row r="1713" spans="1:5" x14ac:dyDescent="0.3">
      <c r="A1713">
        <v>1712</v>
      </c>
      <c r="B1713">
        <v>571</v>
      </c>
      <c r="C1713" t="s">
        <v>617</v>
      </c>
      <c r="D1713">
        <v>13.58</v>
      </c>
      <c r="E1713" t="s">
        <v>618</v>
      </c>
    </row>
    <row r="1714" spans="1:5" x14ac:dyDescent="0.3">
      <c r="A1714">
        <v>1713</v>
      </c>
      <c r="B1714">
        <v>571</v>
      </c>
      <c r="C1714" t="s">
        <v>613</v>
      </c>
      <c r="D1714">
        <v>5.29</v>
      </c>
      <c r="E1714" t="s">
        <v>614</v>
      </c>
    </row>
    <row r="1715" spans="1:5" x14ac:dyDescent="0.3">
      <c r="A1715">
        <v>1714</v>
      </c>
      <c r="B1715">
        <v>572</v>
      </c>
      <c r="C1715" t="s">
        <v>617</v>
      </c>
      <c r="D1715">
        <v>11.25</v>
      </c>
      <c r="E1715" t="s">
        <v>618</v>
      </c>
    </row>
    <row r="1716" spans="1:5" x14ac:dyDescent="0.3">
      <c r="A1716">
        <v>1715</v>
      </c>
      <c r="B1716">
        <v>572</v>
      </c>
      <c r="C1716" t="s">
        <v>605</v>
      </c>
      <c r="D1716">
        <v>137.74</v>
      </c>
      <c r="E1716" t="s">
        <v>606</v>
      </c>
    </row>
    <row r="1717" spans="1:5" x14ac:dyDescent="0.3">
      <c r="A1717">
        <v>1716</v>
      </c>
      <c r="B1717">
        <v>572</v>
      </c>
      <c r="C1717" t="s">
        <v>619</v>
      </c>
      <c r="D1717">
        <v>2.31</v>
      </c>
      <c r="E1717" t="s">
        <v>620</v>
      </c>
    </row>
    <row r="1718" spans="1:5" x14ac:dyDescent="0.3">
      <c r="A1718">
        <v>1717</v>
      </c>
      <c r="B1718">
        <v>573</v>
      </c>
      <c r="C1718" t="s">
        <v>619</v>
      </c>
      <c r="D1718">
        <v>0.74</v>
      </c>
      <c r="E1718" t="s">
        <v>620</v>
      </c>
    </row>
    <row r="1719" spans="1:5" x14ac:dyDescent="0.3">
      <c r="A1719">
        <v>1718</v>
      </c>
      <c r="B1719">
        <v>573</v>
      </c>
      <c r="C1719" t="s">
        <v>603</v>
      </c>
      <c r="D1719">
        <v>168.18</v>
      </c>
      <c r="E1719" t="s">
        <v>604</v>
      </c>
    </row>
    <row r="1720" spans="1:5" x14ac:dyDescent="0.3">
      <c r="A1720">
        <v>1719</v>
      </c>
      <c r="B1720">
        <v>573</v>
      </c>
      <c r="C1720" t="s">
        <v>607</v>
      </c>
      <c r="D1720">
        <v>132.59</v>
      </c>
      <c r="E1720" t="s">
        <v>608</v>
      </c>
    </row>
    <row r="1721" spans="1:5" x14ac:dyDescent="0.3">
      <c r="A1721">
        <v>1720</v>
      </c>
      <c r="B1721">
        <v>574</v>
      </c>
      <c r="C1721" t="s">
        <v>605</v>
      </c>
      <c r="D1721">
        <v>257.60000000000002</v>
      </c>
      <c r="E1721" t="s">
        <v>606</v>
      </c>
    </row>
    <row r="1722" spans="1:5" x14ac:dyDescent="0.3">
      <c r="A1722">
        <v>1721</v>
      </c>
      <c r="B1722">
        <v>574</v>
      </c>
      <c r="C1722" t="s">
        <v>603</v>
      </c>
      <c r="D1722">
        <v>178.47</v>
      </c>
      <c r="E1722" t="s">
        <v>604</v>
      </c>
    </row>
    <row r="1723" spans="1:5" x14ac:dyDescent="0.3">
      <c r="A1723">
        <v>1722</v>
      </c>
      <c r="B1723">
        <v>574</v>
      </c>
      <c r="C1723" t="s">
        <v>607</v>
      </c>
      <c r="D1723">
        <v>141.88</v>
      </c>
      <c r="E1723" t="s">
        <v>608</v>
      </c>
    </row>
    <row r="1724" spans="1:5" x14ac:dyDescent="0.3">
      <c r="A1724">
        <v>1723</v>
      </c>
      <c r="B1724">
        <v>575</v>
      </c>
      <c r="C1724" t="s">
        <v>619</v>
      </c>
      <c r="D1724">
        <v>2.36</v>
      </c>
      <c r="E1724" t="s">
        <v>620</v>
      </c>
    </row>
    <row r="1725" spans="1:5" x14ac:dyDescent="0.3">
      <c r="A1725">
        <v>1724</v>
      </c>
      <c r="B1725">
        <v>575</v>
      </c>
      <c r="C1725" t="s">
        <v>615</v>
      </c>
      <c r="D1725">
        <v>434.02</v>
      </c>
      <c r="E1725" t="s">
        <v>616</v>
      </c>
    </row>
    <row r="1726" spans="1:5" x14ac:dyDescent="0.3">
      <c r="A1726">
        <v>1725</v>
      </c>
      <c r="B1726">
        <v>575</v>
      </c>
      <c r="C1726" t="s">
        <v>613</v>
      </c>
      <c r="D1726">
        <v>5.78</v>
      </c>
      <c r="E1726" t="s">
        <v>614</v>
      </c>
    </row>
    <row r="1727" spans="1:5" x14ac:dyDescent="0.3">
      <c r="A1727">
        <v>1726</v>
      </c>
      <c r="B1727">
        <v>576</v>
      </c>
      <c r="C1727" t="s">
        <v>619</v>
      </c>
      <c r="D1727">
        <v>2.2200000000000002</v>
      </c>
      <c r="E1727" t="s">
        <v>620</v>
      </c>
    </row>
    <row r="1728" spans="1:5" x14ac:dyDescent="0.3">
      <c r="A1728">
        <v>1727</v>
      </c>
      <c r="B1728">
        <v>576</v>
      </c>
      <c r="C1728" t="s">
        <v>617</v>
      </c>
      <c r="D1728">
        <v>11.19</v>
      </c>
      <c r="E1728" t="s">
        <v>618</v>
      </c>
    </row>
    <row r="1729" spans="1:5" x14ac:dyDescent="0.3">
      <c r="A1729">
        <v>1728</v>
      </c>
      <c r="B1729">
        <v>576</v>
      </c>
      <c r="C1729" t="s">
        <v>613</v>
      </c>
      <c r="D1729">
        <v>4.83</v>
      </c>
      <c r="E1729" t="s">
        <v>614</v>
      </c>
    </row>
    <row r="1730" spans="1:5" x14ac:dyDescent="0.3">
      <c r="A1730">
        <v>1729</v>
      </c>
      <c r="B1730">
        <v>577</v>
      </c>
      <c r="C1730" t="s">
        <v>609</v>
      </c>
      <c r="D1730">
        <v>2.02</v>
      </c>
      <c r="E1730" t="s">
        <v>610</v>
      </c>
    </row>
    <row r="1731" spans="1:5" x14ac:dyDescent="0.3">
      <c r="A1731">
        <v>1730</v>
      </c>
      <c r="B1731">
        <v>577</v>
      </c>
      <c r="C1731" t="s">
        <v>613</v>
      </c>
      <c r="D1731">
        <v>3.18</v>
      </c>
      <c r="E1731" t="s">
        <v>614</v>
      </c>
    </row>
    <row r="1732" spans="1:5" x14ac:dyDescent="0.3">
      <c r="A1732">
        <v>1731</v>
      </c>
      <c r="B1732">
        <v>577</v>
      </c>
      <c r="C1732" t="s">
        <v>617</v>
      </c>
      <c r="D1732">
        <v>14.45</v>
      </c>
      <c r="E1732" t="s">
        <v>618</v>
      </c>
    </row>
    <row r="1733" spans="1:5" x14ac:dyDescent="0.3">
      <c r="A1733">
        <v>1732</v>
      </c>
      <c r="B1733">
        <v>578</v>
      </c>
      <c r="C1733" t="s">
        <v>617</v>
      </c>
      <c r="D1733">
        <v>7.23</v>
      </c>
      <c r="E1733" t="s">
        <v>618</v>
      </c>
    </row>
    <row r="1734" spans="1:5" x14ac:dyDescent="0.3">
      <c r="A1734">
        <v>1733</v>
      </c>
      <c r="B1734">
        <v>578</v>
      </c>
      <c r="C1734" t="s">
        <v>607</v>
      </c>
      <c r="D1734">
        <v>142.57</v>
      </c>
      <c r="E1734" t="s">
        <v>608</v>
      </c>
    </row>
    <row r="1735" spans="1:5" x14ac:dyDescent="0.3">
      <c r="A1735">
        <v>1734</v>
      </c>
      <c r="B1735">
        <v>578</v>
      </c>
      <c r="C1735" t="s">
        <v>613</v>
      </c>
      <c r="D1735">
        <v>3.19</v>
      </c>
      <c r="E1735" t="s">
        <v>614</v>
      </c>
    </row>
    <row r="1736" spans="1:5" x14ac:dyDescent="0.3">
      <c r="A1736">
        <v>1735</v>
      </c>
      <c r="B1736">
        <v>579</v>
      </c>
      <c r="C1736" t="s">
        <v>613</v>
      </c>
      <c r="D1736">
        <v>3.98</v>
      </c>
      <c r="E1736" t="s">
        <v>614</v>
      </c>
    </row>
    <row r="1737" spans="1:5" x14ac:dyDescent="0.3">
      <c r="A1737">
        <v>1736</v>
      </c>
      <c r="B1737">
        <v>579</v>
      </c>
      <c r="C1737" t="s">
        <v>615</v>
      </c>
      <c r="D1737">
        <v>239.33</v>
      </c>
      <c r="E1737" t="s">
        <v>616</v>
      </c>
    </row>
    <row r="1738" spans="1:5" x14ac:dyDescent="0.3">
      <c r="A1738">
        <v>1737</v>
      </c>
      <c r="B1738">
        <v>579</v>
      </c>
      <c r="C1738" t="s">
        <v>611</v>
      </c>
      <c r="D1738">
        <v>8.34</v>
      </c>
      <c r="E1738" t="s">
        <v>612</v>
      </c>
    </row>
    <row r="1739" spans="1:5" x14ac:dyDescent="0.3">
      <c r="A1739">
        <v>1738</v>
      </c>
      <c r="B1739">
        <v>580</v>
      </c>
      <c r="C1739" t="s">
        <v>613</v>
      </c>
      <c r="D1739">
        <v>5.14</v>
      </c>
      <c r="E1739" t="s">
        <v>614</v>
      </c>
    </row>
    <row r="1740" spans="1:5" x14ac:dyDescent="0.3">
      <c r="A1740">
        <v>1739</v>
      </c>
      <c r="B1740">
        <v>580</v>
      </c>
      <c r="C1740" t="s">
        <v>621</v>
      </c>
      <c r="D1740">
        <v>4.2300000000000004</v>
      </c>
      <c r="E1740" t="s">
        <v>622</v>
      </c>
    </row>
    <row r="1741" spans="1:5" x14ac:dyDescent="0.3">
      <c r="A1741">
        <v>1740</v>
      </c>
      <c r="B1741">
        <v>580</v>
      </c>
      <c r="C1741" t="s">
        <v>607</v>
      </c>
      <c r="D1741">
        <v>133.88999999999999</v>
      </c>
      <c r="E1741" t="s">
        <v>608</v>
      </c>
    </row>
    <row r="1742" spans="1:5" x14ac:dyDescent="0.3">
      <c r="A1742">
        <v>1741</v>
      </c>
      <c r="B1742">
        <v>581</v>
      </c>
      <c r="C1742" t="s">
        <v>619</v>
      </c>
      <c r="D1742">
        <v>2.4700000000000002</v>
      </c>
      <c r="E1742" t="s">
        <v>620</v>
      </c>
    </row>
    <row r="1743" spans="1:5" x14ac:dyDescent="0.3">
      <c r="A1743">
        <v>1742</v>
      </c>
      <c r="B1743">
        <v>581</v>
      </c>
      <c r="C1743" t="s">
        <v>607</v>
      </c>
      <c r="D1743">
        <v>135.11000000000001</v>
      </c>
      <c r="E1743" t="s">
        <v>608</v>
      </c>
    </row>
    <row r="1744" spans="1:5" x14ac:dyDescent="0.3">
      <c r="A1744">
        <v>1743</v>
      </c>
      <c r="B1744">
        <v>581</v>
      </c>
      <c r="C1744" t="s">
        <v>603</v>
      </c>
      <c r="D1744">
        <v>189.87</v>
      </c>
      <c r="E1744" t="s">
        <v>604</v>
      </c>
    </row>
    <row r="1745" spans="1:5" x14ac:dyDescent="0.3">
      <c r="A1745">
        <v>1744</v>
      </c>
      <c r="B1745">
        <v>582</v>
      </c>
      <c r="C1745" t="s">
        <v>607</v>
      </c>
      <c r="D1745">
        <v>137.35</v>
      </c>
      <c r="E1745" t="s">
        <v>608</v>
      </c>
    </row>
    <row r="1746" spans="1:5" x14ac:dyDescent="0.3">
      <c r="A1746">
        <v>1745</v>
      </c>
      <c r="B1746">
        <v>582</v>
      </c>
      <c r="C1746" t="s">
        <v>621</v>
      </c>
      <c r="D1746">
        <v>6.09</v>
      </c>
      <c r="E1746" t="s">
        <v>622</v>
      </c>
    </row>
    <row r="1747" spans="1:5" x14ac:dyDescent="0.3">
      <c r="A1747">
        <v>1746</v>
      </c>
      <c r="B1747">
        <v>582</v>
      </c>
      <c r="C1747" t="s">
        <v>613</v>
      </c>
      <c r="D1747">
        <v>2.99</v>
      </c>
      <c r="E1747" t="s">
        <v>614</v>
      </c>
    </row>
    <row r="1748" spans="1:5" x14ac:dyDescent="0.3">
      <c r="A1748">
        <v>1747</v>
      </c>
      <c r="B1748">
        <v>583</v>
      </c>
      <c r="C1748" t="s">
        <v>613</v>
      </c>
      <c r="D1748">
        <v>4.96</v>
      </c>
      <c r="E1748" t="s">
        <v>614</v>
      </c>
    </row>
    <row r="1749" spans="1:5" x14ac:dyDescent="0.3">
      <c r="A1749">
        <v>1748</v>
      </c>
      <c r="B1749">
        <v>583</v>
      </c>
      <c r="C1749" t="s">
        <v>619</v>
      </c>
      <c r="D1749">
        <v>0.66</v>
      </c>
      <c r="E1749" t="s">
        <v>620</v>
      </c>
    </row>
    <row r="1750" spans="1:5" x14ac:dyDescent="0.3">
      <c r="A1750">
        <v>1749</v>
      </c>
      <c r="B1750">
        <v>583</v>
      </c>
      <c r="C1750" t="s">
        <v>615</v>
      </c>
      <c r="D1750">
        <v>256.67</v>
      </c>
      <c r="E1750" t="s">
        <v>616</v>
      </c>
    </row>
    <row r="1751" spans="1:5" x14ac:dyDescent="0.3">
      <c r="A1751">
        <v>1750</v>
      </c>
      <c r="B1751">
        <v>584</v>
      </c>
      <c r="C1751" t="s">
        <v>619</v>
      </c>
      <c r="D1751">
        <v>3.23</v>
      </c>
      <c r="E1751" t="s">
        <v>620</v>
      </c>
    </row>
    <row r="1752" spans="1:5" x14ac:dyDescent="0.3">
      <c r="A1752">
        <v>1751</v>
      </c>
      <c r="B1752">
        <v>584</v>
      </c>
      <c r="C1752" t="s">
        <v>605</v>
      </c>
      <c r="D1752">
        <v>142.06</v>
      </c>
      <c r="E1752" t="s">
        <v>606</v>
      </c>
    </row>
    <row r="1753" spans="1:5" x14ac:dyDescent="0.3">
      <c r="A1753">
        <v>1752</v>
      </c>
      <c r="B1753">
        <v>584</v>
      </c>
      <c r="C1753" t="s">
        <v>621</v>
      </c>
      <c r="D1753">
        <v>11.75</v>
      </c>
      <c r="E1753" t="s">
        <v>622</v>
      </c>
    </row>
    <row r="1754" spans="1:5" x14ac:dyDescent="0.3">
      <c r="A1754">
        <v>1753</v>
      </c>
      <c r="B1754">
        <v>585</v>
      </c>
      <c r="C1754" t="s">
        <v>621</v>
      </c>
      <c r="D1754">
        <v>8.84</v>
      </c>
      <c r="E1754" t="s">
        <v>622</v>
      </c>
    </row>
    <row r="1755" spans="1:5" x14ac:dyDescent="0.3">
      <c r="A1755">
        <v>1754</v>
      </c>
      <c r="B1755">
        <v>585</v>
      </c>
      <c r="C1755" t="s">
        <v>615</v>
      </c>
      <c r="D1755">
        <v>106.97</v>
      </c>
      <c r="E1755" t="s">
        <v>616</v>
      </c>
    </row>
    <row r="1756" spans="1:5" x14ac:dyDescent="0.3">
      <c r="A1756">
        <v>1755</v>
      </c>
      <c r="B1756">
        <v>585</v>
      </c>
      <c r="C1756" t="s">
        <v>605</v>
      </c>
      <c r="D1756">
        <v>264.45</v>
      </c>
      <c r="E1756" t="s">
        <v>606</v>
      </c>
    </row>
    <row r="1757" spans="1:5" x14ac:dyDescent="0.3">
      <c r="A1757">
        <v>1756</v>
      </c>
      <c r="B1757">
        <v>586</v>
      </c>
      <c r="C1757" t="s">
        <v>607</v>
      </c>
      <c r="D1757">
        <v>148.07</v>
      </c>
      <c r="E1757" t="s">
        <v>608</v>
      </c>
    </row>
    <row r="1758" spans="1:5" x14ac:dyDescent="0.3">
      <c r="A1758">
        <v>1757</v>
      </c>
      <c r="B1758">
        <v>586</v>
      </c>
      <c r="C1758" t="s">
        <v>611</v>
      </c>
      <c r="D1758">
        <v>15.05</v>
      </c>
      <c r="E1758" t="s">
        <v>612</v>
      </c>
    </row>
    <row r="1759" spans="1:5" x14ac:dyDescent="0.3">
      <c r="A1759">
        <v>1758</v>
      </c>
      <c r="B1759">
        <v>586</v>
      </c>
      <c r="C1759" t="s">
        <v>615</v>
      </c>
      <c r="D1759">
        <v>293.51</v>
      </c>
      <c r="E1759" t="s">
        <v>616</v>
      </c>
    </row>
    <row r="1760" spans="1:5" x14ac:dyDescent="0.3">
      <c r="A1760">
        <v>1759</v>
      </c>
      <c r="B1760">
        <v>587</v>
      </c>
      <c r="C1760" t="s">
        <v>603</v>
      </c>
      <c r="D1760">
        <v>131.99</v>
      </c>
      <c r="E1760" t="s">
        <v>604</v>
      </c>
    </row>
    <row r="1761" spans="1:5" x14ac:dyDescent="0.3">
      <c r="A1761">
        <v>1760</v>
      </c>
      <c r="B1761">
        <v>587</v>
      </c>
      <c r="C1761" t="s">
        <v>609</v>
      </c>
      <c r="D1761">
        <v>4.05</v>
      </c>
      <c r="E1761" t="s">
        <v>610</v>
      </c>
    </row>
    <row r="1762" spans="1:5" x14ac:dyDescent="0.3">
      <c r="A1762">
        <v>1761</v>
      </c>
      <c r="B1762">
        <v>587</v>
      </c>
      <c r="C1762" t="s">
        <v>619</v>
      </c>
      <c r="D1762">
        <v>1.05</v>
      </c>
      <c r="E1762" t="s">
        <v>620</v>
      </c>
    </row>
    <row r="1763" spans="1:5" x14ac:dyDescent="0.3">
      <c r="A1763">
        <v>1762</v>
      </c>
      <c r="B1763">
        <v>588</v>
      </c>
      <c r="C1763" t="s">
        <v>609</v>
      </c>
      <c r="D1763">
        <v>5.87</v>
      </c>
      <c r="E1763" t="s">
        <v>610</v>
      </c>
    </row>
    <row r="1764" spans="1:5" x14ac:dyDescent="0.3">
      <c r="A1764">
        <v>1763</v>
      </c>
      <c r="B1764">
        <v>588</v>
      </c>
      <c r="C1764" t="s">
        <v>607</v>
      </c>
      <c r="D1764">
        <v>131.55000000000001</v>
      </c>
      <c r="E1764" t="s">
        <v>608</v>
      </c>
    </row>
    <row r="1765" spans="1:5" x14ac:dyDescent="0.3">
      <c r="A1765">
        <v>1764</v>
      </c>
      <c r="B1765">
        <v>588</v>
      </c>
      <c r="C1765" t="s">
        <v>619</v>
      </c>
      <c r="D1765">
        <v>1.81</v>
      </c>
      <c r="E1765" t="s">
        <v>620</v>
      </c>
    </row>
    <row r="1766" spans="1:5" x14ac:dyDescent="0.3">
      <c r="A1766">
        <v>1765</v>
      </c>
      <c r="B1766">
        <v>589</v>
      </c>
      <c r="C1766" t="s">
        <v>607</v>
      </c>
      <c r="D1766">
        <v>148.68</v>
      </c>
      <c r="E1766" t="s">
        <v>608</v>
      </c>
    </row>
    <row r="1767" spans="1:5" x14ac:dyDescent="0.3">
      <c r="A1767">
        <v>1766</v>
      </c>
      <c r="B1767">
        <v>589</v>
      </c>
      <c r="C1767" t="s">
        <v>619</v>
      </c>
      <c r="D1767">
        <v>0.63</v>
      </c>
      <c r="E1767" t="s">
        <v>620</v>
      </c>
    </row>
    <row r="1768" spans="1:5" x14ac:dyDescent="0.3">
      <c r="A1768">
        <v>1767</v>
      </c>
      <c r="B1768">
        <v>589</v>
      </c>
      <c r="C1768" t="s">
        <v>609</v>
      </c>
      <c r="D1768">
        <v>0.5</v>
      </c>
      <c r="E1768" t="s">
        <v>610</v>
      </c>
    </row>
    <row r="1769" spans="1:5" x14ac:dyDescent="0.3">
      <c r="A1769">
        <v>1768</v>
      </c>
      <c r="B1769">
        <v>590</v>
      </c>
      <c r="C1769" t="s">
        <v>609</v>
      </c>
      <c r="D1769">
        <v>15.85</v>
      </c>
      <c r="E1769" t="s">
        <v>610</v>
      </c>
    </row>
    <row r="1770" spans="1:5" x14ac:dyDescent="0.3">
      <c r="A1770">
        <v>1769</v>
      </c>
      <c r="B1770">
        <v>590</v>
      </c>
      <c r="C1770" t="s">
        <v>611</v>
      </c>
      <c r="D1770">
        <v>7.44</v>
      </c>
      <c r="E1770" t="s">
        <v>612</v>
      </c>
    </row>
    <row r="1771" spans="1:5" x14ac:dyDescent="0.3">
      <c r="A1771">
        <v>1770</v>
      </c>
      <c r="B1771">
        <v>590</v>
      </c>
      <c r="C1771" t="s">
        <v>607</v>
      </c>
      <c r="D1771">
        <v>134.22999999999999</v>
      </c>
      <c r="E1771" t="s">
        <v>608</v>
      </c>
    </row>
    <row r="1772" spans="1:5" x14ac:dyDescent="0.3">
      <c r="A1772">
        <v>1771</v>
      </c>
      <c r="B1772">
        <v>591</v>
      </c>
      <c r="C1772" t="s">
        <v>603</v>
      </c>
      <c r="D1772">
        <v>71.25</v>
      </c>
      <c r="E1772" t="s">
        <v>604</v>
      </c>
    </row>
    <row r="1773" spans="1:5" x14ac:dyDescent="0.3">
      <c r="A1773">
        <v>1772</v>
      </c>
      <c r="B1773">
        <v>591</v>
      </c>
      <c r="C1773" t="s">
        <v>619</v>
      </c>
      <c r="D1773">
        <v>3.12</v>
      </c>
      <c r="E1773" t="s">
        <v>620</v>
      </c>
    </row>
    <row r="1774" spans="1:5" x14ac:dyDescent="0.3">
      <c r="A1774">
        <v>1773</v>
      </c>
      <c r="B1774">
        <v>591</v>
      </c>
      <c r="C1774" t="s">
        <v>609</v>
      </c>
      <c r="D1774">
        <v>16.28</v>
      </c>
      <c r="E1774" t="s">
        <v>610</v>
      </c>
    </row>
    <row r="1775" spans="1:5" x14ac:dyDescent="0.3">
      <c r="A1775">
        <v>1774</v>
      </c>
      <c r="B1775">
        <v>592</v>
      </c>
      <c r="C1775" t="s">
        <v>607</v>
      </c>
      <c r="D1775">
        <v>146</v>
      </c>
      <c r="E1775" t="s">
        <v>608</v>
      </c>
    </row>
    <row r="1776" spans="1:5" x14ac:dyDescent="0.3">
      <c r="A1776">
        <v>1775</v>
      </c>
      <c r="B1776">
        <v>592</v>
      </c>
      <c r="C1776" t="s">
        <v>621</v>
      </c>
      <c r="D1776">
        <v>11.01</v>
      </c>
      <c r="E1776" t="s">
        <v>622</v>
      </c>
    </row>
    <row r="1777" spans="1:5" x14ac:dyDescent="0.3">
      <c r="A1777">
        <v>1776</v>
      </c>
      <c r="B1777">
        <v>592</v>
      </c>
      <c r="C1777" t="s">
        <v>605</v>
      </c>
      <c r="D1777">
        <v>292.39999999999998</v>
      </c>
      <c r="E1777" t="s">
        <v>606</v>
      </c>
    </row>
    <row r="1778" spans="1:5" x14ac:dyDescent="0.3">
      <c r="A1778">
        <v>1777</v>
      </c>
      <c r="B1778">
        <v>593</v>
      </c>
      <c r="C1778" t="s">
        <v>611</v>
      </c>
      <c r="D1778">
        <v>7.21</v>
      </c>
      <c r="E1778" t="s">
        <v>612</v>
      </c>
    </row>
    <row r="1779" spans="1:5" x14ac:dyDescent="0.3">
      <c r="A1779">
        <v>1778</v>
      </c>
      <c r="B1779">
        <v>593</v>
      </c>
      <c r="C1779" t="s">
        <v>621</v>
      </c>
      <c r="D1779">
        <v>9.94</v>
      </c>
      <c r="E1779" t="s">
        <v>622</v>
      </c>
    </row>
    <row r="1780" spans="1:5" x14ac:dyDescent="0.3">
      <c r="A1780">
        <v>1779</v>
      </c>
      <c r="B1780">
        <v>593</v>
      </c>
      <c r="C1780" t="s">
        <v>607</v>
      </c>
      <c r="D1780">
        <v>139.91999999999999</v>
      </c>
      <c r="E1780" t="s">
        <v>608</v>
      </c>
    </row>
    <row r="1781" spans="1:5" x14ac:dyDescent="0.3">
      <c r="A1781">
        <v>1780</v>
      </c>
      <c r="B1781">
        <v>594</v>
      </c>
      <c r="C1781" t="s">
        <v>605</v>
      </c>
      <c r="D1781">
        <v>158.86000000000001</v>
      </c>
      <c r="E1781" t="s">
        <v>606</v>
      </c>
    </row>
    <row r="1782" spans="1:5" x14ac:dyDescent="0.3">
      <c r="A1782">
        <v>1781</v>
      </c>
      <c r="B1782">
        <v>594</v>
      </c>
      <c r="C1782" t="s">
        <v>611</v>
      </c>
      <c r="D1782">
        <v>13.36</v>
      </c>
      <c r="E1782" t="s">
        <v>612</v>
      </c>
    </row>
    <row r="1783" spans="1:5" x14ac:dyDescent="0.3">
      <c r="A1783">
        <v>1782</v>
      </c>
      <c r="B1783">
        <v>594</v>
      </c>
      <c r="C1783" t="s">
        <v>607</v>
      </c>
      <c r="D1783">
        <v>134.87</v>
      </c>
      <c r="E1783" t="s">
        <v>608</v>
      </c>
    </row>
    <row r="1784" spans="1:5" x14ac:dyDescent="0.3">
      <c r="A1784">
        <v>1783</v>
      </c>
      <c r="B1784">
        <v>595</v>
      </c>
      <c r="C1784" t="s">
        <v>615</v>
      </c>
      <c r="D1784">
        <v>205.75</v>
      </c>
      <c r="E1784" t="s">
        <v>616</v>
      </c>
    </row>
    <row r="1785" spans="1:5" x14ac:dyDescent="0.3">
      <c r="A1785">
        <v>1784</v>
      </c>
      <c r="B1785">
        <v>595</v>
      </c>
      <c r="C1785" t="s">
        <v>607</v>
      </c>
      <c r="D1785">
        <v>138.1</v>
      </c>
      <c r="E1785" t="s">
        <v>608</v>
      </c>
    </row>
    <row r="1786" spans="1:5" x14ac:dyDescent="0.3">
      <c r="A1786">
        <v>1785</v>
      </c>
      <c r="B1786">
        <v>595</v>
      </c>
      <c r="C1786" t="s">
        <v>603</v>
      </c>
      <c r="D1786">
        <v>83.44</v>
      </c>
      <c r="E1786" t="s">
        <v>604</v>
      </c>
    </row>
    <row r="1787" spans="1:5" x14ac:dyDescent="0.3">
      <c r="A1787">
        <v>1786</v>
      </c>
      <c r="B1787">
        <v>596</v>
      </c>
      <c r="C1787" t="s">
        <v>621</v>
      </c>
      <c r="D1787">
        <v>6.33</v>
      </c>
      <c r="E1787" t="s">
        <v>622</v>
      </c>
    </row>
    <row r="1788" spans="1:5" x14ac:dyDescent="0.3">
      <c r="A1788">
        <v>1787</v>
      </c>
      <c r="B1788">
        <v>596</v>
      </c>
      <c r="C1788" t="s">
        <v>613</v>
      </c>
      <c r="D1788">
        <v>3.12</v>
      </c>
      <c r="E1788" t="s">
        <v>614</v>
      </c>
    </row>
    <row r="1789" spans="1:5" x14ac:dyDescent="0.3">
      <c r="A1789">
        <v>1788</v>
      </c>
      <c r="B1789">
        <v>596</v>
      </c>
      <c r="C1789" t="s">
        <v>607</v>
      </c>
      <c r="D1789">
        <v>149.27000000000001</v>
      </c>
      <c r="E1789" t="s">
        <v>608</v>
      </c>
    </row>
    <row r="1790" spans="1:5" x14ac:dyDescent="0.3">
      <c r="A1790">
        <v>1789</v>
      </c>
      <c r="B1790">
        <v>597</v>
      </c>
      <c r="C1790" t="s">
        <v>609</v>
      </c>
      <c r="D1790">
        <v>5.76</v>
      </c>
      <c r="E1790" t="s">
        <v>610</v>
      </c>
    </row>
    <row r="1791" spans="1:5" x14ac:dyDescent="0.3">
      <c r="A1791">
        <v>1790</v>
      </c>
      <c r="B1791">
        <v>597</v>
      </c>
      <c r="C1791" t="s">
        <v>617</v>
      </c>
      <c r="D1791">
        <v>12.14</v>
      </c>
      <c r="E1791" t="s">
        <v>618</v>
      </c>
    </row>
    <row r="1792" spans="1:5" x14ac:dyDescent="0.3">
      <c r="A1792">
        <v>1791</v>
      </c>
      <c r="B1792">
        <v>597</v>
      </c>
      <c r="C1792" t="s">
        <v>613</v>
      </c>
      <c r="D1792">
        <v>4.5199999999999996</v>
      </c>
      <c r="E1792" t="s">
        <v>614</v>
      </c>
    </row>
    <row r="1793" spans="1:5" x14ac:dyDescent="0.3">
      <c r="A1793">
        <v>1792</v>
      </c>
      <c r="B1793">
        <v>598</v>
      </c>
      <c r="C1793" t="s">
        <v>607</v>
      </c>
      <c r="D1793">
        <v>144.01</v>
      </c>
      <c r="E1793" t="s">
        <v>608</v>
      </c>
    </row>
    <row r="1794" spans="1:5" x14ac:dyDescent="0.3">
      <c r="A1794">
        <v>1793</v>
      </c>
      <c r="B1794">
        <v>598</v>
      </c>
      <c r="C1794" t="s">
        <v>603</v>
      </c>
      <c r="D1794">
        <v>241.02</v>
      </c>
      <c r="E1794" t="s">
        <v>604</v>
      </c>
    </row>
    <row r="1795" spans="1:5" x14ac:dyDescent="0.3">
      <c r="A1795">
        <v>1794</v>
      </c>
      <c r="B1795">
        <v>598</v>
      </c>
      <c r="C1795" t="s">
        <v>613</v>
      </c>
      <c r="D1795">
        <v>5.39</v>
      </c>
      <c r="E1795" t="s">
        <v>614</v>
      </c>
    </row>
    <row r="1796" spans="1:5" x14ac:dyDescent="0.3">
      <c r="A1796">
        <v>1795</v>
      </c>
      <c r="B1796">
        <v>599</v>
      </c>
      <c r="C1796" t="s">
        <v>611</v>
      </c>
      <c r="D1796">
        <v>13.07</v>
      </c>
      <c r="E1796" t="s">
        <v>612</v>
      </c>
    </row>
    <row r="1797" spans="1:5" x14ac:dyDescent="0.3">
      <c r="A1797">
        <v>1796</v>
      </c>
      <c r="B1797">
        <v>599</v>
      </c>
      <c r="C1797" t="s">
        <v>613</v>
      </c>
      <c r="D1797">
        <v>2.88</v>
      </c>
      <c r="E1797" t="s">
        <v>614</v>
      </c>
    </row>
    <row r="1798" spans="1:5" x14ac:dyDescent="0.3">
      <c r="A1798">
        <v>1797</v>
      </c>
      <c r="B1798">
        <v>599</v>
      </c>
      <c r="C1798" t="s">
        <v>619</v>
      </c>
      <c r="D1798">
        <v>3.2</v>
      </c>
      <c r="E1798" t="s">
        <v>620</v>
      </c>
    </row>
    <row r="1799" spans="1:5" x14ac:dyDescent="0.3">
      <c r="A1799">
        <v>1798</v>
      </c>
      <c r="B1799">
        <v>600</v>
      </c>
      <c r="C1799" t="s">
        <v>613</v>
      </c>
      <c r="D1799">
        <v>4.71</v>
      </c>
      <c r="E1799" t="s">
        <v>614</v>
      </c>
    </row>
    <row r="1800" spans="1:5" x14ac:dyDescent="0.3">
      <c r="A1800">
        <v>1799</v>
      </c>
      <c r="B1800">
        <v>600</v>
      </c>
      <c r="C1800" t="s">
        <v>615</v>
      </c>
      <c r="D1800">
        <v>324.99</v>
      </c>
      <c r="E1800" t="s">
        <v>616</v>
      </c>
    </row>
    <row r="1801" spans="1:5" x14ac:dyDescent="0.3">
      <c r="A1801">
        <v>1800</v>
      </c>
      <c r="B1801">
        <v>600</v>
      </c>
      <c r="C1801" t="s">
        <v>621</v>
      </c>
      <c r="D1801">
        <v>6.66</v>
      </c>
      <c r="E1801" t="s">
        <v>622</v>
      </c>
    </row>
    <row r="1802" spans="1:5" x14ac:dyDescent="0.3">
      <c r="A1802">
        <v>1801</v>
      </c>
      <c r="B1802">
        <v>601</v>
      </c>
      <c r="C1802" t="s">
        <v>611</v>
      </c>
      <c r="D1802">
        <v>9.18</v>
      </c>
      <c r="E1802" t="s">
        <v>612</v>
      </c>
    </row>
    <row r="1803" spans="1:5" x14ac:dyDescent="0.3">
      <c r="A1803">
        <v>1802</v>
      </c>
      <c r="B1803">
        <v>601</v>
      </c>
      <c r="C1803" t="s">
        <v>621</v>
      </c>
      <c r="D1803">
        <v>11.54</v>
      </c>
      <c r="E1803" t="s">
        <v>622</v>
      </c>
    </row>
    <row r="1804" spans="1:5" x14ac:dyDescent="0.3">
      <c r="A1804">
        <v>1803</v>
      </c>
      <c r="B1804">
        <v>601</v>
      </c>
      <c r="C1804" t="s">
        <v>605</v>
      </c>
      <c r="D1804">
        <v>238.68</v>
      </c>
      <c r="E1804" t="s">
        <v>606</v>
      </c>
    </row>
    <row r="1805" spans="1:5" x14ac:dyDescent="0.3">
      <c r="A1805">
        <v>1804</v>
      </c>
      <c r="B1805">
        <v>602</v>
      </c>
      <c r="C1805" t="s">
        <v>611</v>
      </c>
      <c r="D1805">
        <v>13.47</v>
      </c>
      <c r="E1805" t="s">
        <v>612</v>
      </c>
    </row>
    <row r="1806" spans="1:5" x14ac:dyDescent="0.3">
      <c r="A1806">
        <v>1805</v>
      </c>
      <c r="B1806">
        <v>602</v>
      </c>
      <c r="C1806" t="s">
        <v>605</v>
      </c>
      <c r="D1806">
        <v>214.7</v>
      </c>
      <c r="E1806" t="s">
        <v>606</v>
      </c>
    </row>
    <row r="1807" spans="1:5" x14ac:dyDescent="0.3">
      <c r="A1807">
        <v>1806</v>
      </c>
      <c r="B1807">
        <v>602</v>
      </c>
      <c r="C1807" t="s">
        <v>607</v>
      </c>
      <c r="D1807">
        <v>143.91</v>
      </c>
      <c r="E1807" t="s">
        <v>608</v>
      </c>
    </row>
    <row r="1808" spans="1:5" x14ac:dyDescent="0.3">
      <c r="A1808">
        <v>1807</v>
      </c>
      <c r="B1808">
        <v>603</v>
      </c>
      <c r="C1808" t="s">
        <v>621</v>
      </c>
      <c r="D1808">
        <v>10.14</v>
      </c>
      <c r="E1808" t="s">
        <v>622</v>
      </c>
    </row>
    <row r="1809" spans="1:5" x14ac:dyDescent="0.3">
      <c r="A1809">
        <v>1808</v>
      </c>
      <c r="B1809">
        <v>603</v>
      </c>
      <c r="C1809" t="s">
        <v>619</v>
      </c>
      <c r="D1809">
        <v>1.38</v>
      </c>
      <c r="E1809" t="s">
        <v>620</v>
      </c>
    </row>
    <row r="1810" spans="1:5" x14ac:dyDescent="0.3">
      <c r="A1810">
        <v>1809</v>
      </c>
      <c r="B1810">
        <v>603</v>
      </c>
      <c r="C1810" t="s">
        <v>603</v>
      </c>
      <c r="D1810">
        <v>122.62</v>
      </c>
      <c r="E1810" t="s">
        <v>604</v>
      </c>
    </row>
    <row r="1811" spans="1:5" x14ac:dyDescent="0.3">
      <c r="A1811">
        <v>1810</v>
      </c>
      <c r="B1811">
        <v>604</v>
      </c>
      <c r="C1811" t="s">
        <v>615</v>
      </c>
      <c r="D1811">
        <v>212.51</v>
      </c>
      <c r="E1811" t="s">
        <v>616</v>
      </c>
    </row>
    <row r="1812" spans="1:5" x14ac:dyDescent="0.3">
      <c r="A1812">
        <v>1811</v>
      </c>
      <c r="B1812">
        <v>604</v>
      </c>
      <c r="C1812" t="s">
        <v>605</v>
      </c>
      <c r="D1812">
        <v>233.06</v>
      </c>
      <c r="E1812" t="s">
        <v>606</v>
      </c>
    </row>
    <row r="1813" spans="1:5" x14ac:dyDescent="0.3">
      <c r="A1813">
        <v>1812</v>
      </c>
      <c r="B1813">
        <v>604</v>
      </c>
      <c r="C1813" t="s">
        <v>603</v>
      </c>
      <c r="D1813">
        <v>140.21</v>
      </c>
      <c r="E1813" t="s">
        <v>604</v>
      </c>
    </row>
    <row r="1814" spans="1:5" x14ac:dyDescent="0.3">
      <c r="A1814">
        <v>1813</v>
      </c>
      <c r="B1814">
        <v>605</v>
      </c>
      <c r="C1814" t="s">
        <v>603</v>
      </c>
      <c r="D1814">
        <v>204.68</v>
      </c>
      <c r="E1814" t="s">
        <v>604</v>
      </c>
    </row>
    <row r="1815" spans="1:5" x14ac:dyDescent="0.3">
      <c r="A1815">
        <v>1814</v>
      </c>
      <c r="B1815">
        <v>605</v>
      </c>
      <c r="C1815" t="s">
        <v>617</v>
      </c>
      <c r="D1815">
        <v>13.33</v>
      </c>
      <c r="E1815" t="s">
        <v>618</v>
      </c>
    </row>
    <row r="1816" spans="1:5" x14ac:dyDescent="0.3">
      <c r="A1816">
        <v>1815</v>
      </c>
      <c r="B1816">
        <v>605</v>
      </c>
      <c r="C1816" t="s">
        <v>619</v>
      </c>
      <c r="D1816">
        <v>2.41</v>
      </c>
      <c r="E1816" t="s">
        <v>620</v>
      </c>
    </row>
    <row r="1817" spans="1:5" x14ac:dyDescent="0.3">
      <c r="A1817">
        <v>1816</v>
      </c>
      <c r="B1817">
        <v>606</v>
      </c>
      <c r="C1817" t="s">
        <v>615</v>
      </c>
      <c r="D1817">
        <v>261.48</v>
      </c>
      <c r="E1817" t="s">
        <v>616</v>
      </c>
    </row>
    <row r="1818" spans="1:5" x14ac:dyDescent="0.3">
      <c r="A1818">
        <v>1817</v>
      </c>
      <c r="B1818">
        <v>606</v>
      </c>
      <c r="C1818" t="s">
        <v>619</v>
      </c>
      <c r="D1818">
        <v>2.19</v>
      </c>
      <c r="E1818" t="s">
        <v>620</v>
      </c>
    </row>
    <row r="1819" spans="1:5" x14ac:dyDescent="0.3">
      <c r="A1819">
        <v>1818</v>
      </c>
      <c r="B1819">
        <v>606</v>
      </c>
      <c r="C1819" t="s">
        <v>621</v>
      </c>
      <c r="D1819">
        <v>8.44</v>
      </c>
      <c r="E1819" t="s">
        <v>622</v>
      </c>
    </row>
    <row r="1820" spans="1:5" x14ac:dyDescent="0.3">
      <c r="A1820">
        <v>1819</v>
      </c>
      <c r="B1820">
        <v>607</v>
      </c>
      <c r="C1820" t="s">
        <v>611</v>
      </c>
      <c r="D1820">
        <v>14.34</v>
      </c>
      <c r="E1820" t="s">
        <v>612</v>
      </c>
    </row>
    <row r="1821" spans="1:5" x14ac:dyDescent="0.3">
      <c r="A1821">
        <v>1820</v>
      </c>
      <c r="B1821">
        <v>607</v>
      </c>
      <c r="C1821" t="s">
        <v>621</v>
      </c>
      <c r="D1821">
        <v>7.01</v>
      </c>
      <c r="E1821" t="s">
        <v>622</v>
      </c>
    </row>
    <row r="1822" spans="1:5" x14ac:dyDescent="0.3">
      <c r="A1822">
        <v>1821</v>
      </c>
      <c r="B1822">
        <v>607</v>
      </c>
      <c r="C1822" t="s">
        <v>607</v>
      </c>
      <c r="D1822">
        <v>144.65</v>
      </c>
      <c r="E1822" t="s">
        <v>608</v>
      </c>
    </row>
    <row r="1823" spans="1:5" x14ac:dyDescent="0.3">
      <c r="A1823">
        <v>1822</v>
      </c>
      <c r="B1823">
        <v>608</v>
      </c>
      <c r="C1823" t="s">
        <v>605</v>
      </c>
      <c r="D1823">
        <v>153.24</v>
      </c>
      <c r="E1823" t="s">
        <v>606</v>
      </c>
    </row>
    <row r="1824" spans="1:5" x14ac:dyDescent="0.3">
      <c r="A1824">
        <v>1823</v>
      </c>
      <c r="B1824">
        <v>608</v>
      </c>
      <c r="C1824" t="s">
        <v>609</v>
      </c>
      <c r="D1824">
        <v>8.81</v>
      </c>
      <c r="E1824" t="s">
        <v>610</v>
      </c>
    </row>
    <row r="1825" spans="1:5" x14ac:dyDescent="0.3">
      <c r="A1825">
        <v>1824</v>
      </c>
      <c r="B1825">
        <v>608</v>
      </c>
      <c r="C1825" t="s">
        <v>611</v>
      </c>
      <c r="D1825">
        <v>17.21</v>
      </c>
      <c r="E1825" t="s">
        <v>612</v>
      </c>
    </row>
    <row r="1826" spans="1:5" x14ac:dyDescent="0.3">
      <c r="A1826">
        <v>1825</v>
      </c>
      <c r="B1826">
        <v>609</v>
      </c>
      <c r="C1826" t="s">
        <v>603</v>
      </c>
      <c r="D1826">
        <v>96.58</v>
      </c>
      <c r="E1826" t="s">
        <v>604</v>
      </c>
    </row>
    <row r="1827" spans="1:5" x14ac:dyDescent="0.3">
      <c r="A1827">
        <v>1826</v>
      </c>
      <c r="B1827">
        <v>609</v>
      </c>
      <c r="C1827" t="s">
        <v>607</v>
      </c>
      <c r="D1827">
        <v>145.66999999999999</v>
      </c>
      <c r="E1827" t="s">
        <v>608</v>
      </c>
    </row>
    <row r="1828" spans="1:5" x14ac:dyDescent="0.3">
      <c r="A1828">
        <v>1827</v>
      </c>
      <c r="B1828">
        <v>609</v>
      </c>
      <c r="C1828" t="s">
        <v>613</v>
      </c>
      <c r="D1828">
        <v>4.46</v>
      </c>
      <c r="E1828" t="s">
        <v>614</v>
      </c>
    </row>
    <row r="1829" spans="1:5" x14ac:dyDescent="0.3">
      <c r="A1829">
        <v>1828</v>
      </c>
      <c r="B1829">
        <v>610</v>
      </c>
      <c r="C1829" t="s">
        <v>609</v>
      </c>
      <c r="D1829">
        <v>0.28000000000000003</v>
      </c>
      <c r="E1829" t="s">
        <v>610</v>
      </c>
    </row>
    <row r="1830" spans="1:5" x14ac:dyDescent="0.3">
      <c r="A1830">
        <v>1829</v>
      </c>
      <c r="B1830">
        <v>610</v>
      </c>
      <c r="C1830" t="s">
        <v>607</v>
      </c>
      <c r="D1830">
        <v>130.59</v>
      </c>
      <c r="E1830" t="s">
        <v>608</v>
      </c>
    </row>
    <row r="1831" spans="1:5" x14ac:dyDescent="0.3">
      <c r="A1831">
        <v>1830</v>
      </c>
      <c r="B1831">
        <v>610</v>
      </c>
      <c r="C1831" t="s">
        <v>621</v>
      </c>
      <c r="D1831">
        <v>11.97</v>
      </c>
      <c r="E1831" t="s">
        <v>622</v>
      </c>
    </row>
    <row r="1832" spans="1:5" x14ac:dyDescent="0.3">
      <c r="A1832">
        <v>1831</v>
      </c>
      <c r="B1832">
        <v>611</v>
      </c>
      <c r="C1832" t="s">
        <v>617</v>
      </c>
      <c r="D1832">
        <v>11</v>
      </c>
      <c r="E1832" t="s">
        <v>618</v>
      </c>
    </row>
    <row r="1833" spans="1:5" x14ac:dyDescent="0.3">
      <c r="A1833">
        <v>1832</v>
      </c>
      <c r="B1833">
        <v>611</v>
      </c>
      <c r="C1833" t="s">
        <v>609</v>
      </c>
      <c r="D1833">
        <v>7.5</v>
      </c>
      <c r="E1833" t="s">
        <v>610</v>
      </c>
    </row>
    <row r="1834" spans="1:5" x14ac:dyDescent="0.3">
      <c r="A1834">
        <v>1833</v>
      </c>
      <c r="B1834">
        <v>611</v>
      </c>
      <c r="C1834" t="s">
        <v>615</v>
      </c>
      <c r="D1834">
        <v>327.58</v>
      </c>
      <c r="E1834" t="s">
        <v>616</v>
      </c>
    </row>
    <row r="1835" spans="1:5" x14ac:dyDescent="0.3">
      <c r="A1835">
        <v>1834</v>
      </c>
      <c r="B1835">
        <v>612</v>
      </c>
      <c r="C1835" t="s">
        <v>605</v>
      </c>
      <c r="D1835">
        <v>280.56</v>
      </c>
      <c r="E1835" t="s">
        <v>606</v>
      </c>
    </row>
    <row r="1836" spans="1:5" x14ac:dyDescent="0.3">
      <c r="A1836">
        <v>1835</v>
      </c>
      <c r="B1836">
        <v>612</v>
      </c>
      <c r="C1836" t="s">
        <v>617</v>
      </c>
      <c r="D1836">
        <v>15.38</v>
      </c>
      <c r="E1836" t="s">
        <v>618</v>
      </c>
    </row>
    <row r="1837" spans="1:5" x14ac:dyDescent="0.3">
      <c r="A1837">
        <v>1836</v>
      </c>
      <c r="B1837">
        <v>612</v>
      </c>
      <c r="C1837" t="s">
        <v>619</v>
      </c>
      <c r="D1837">
        <v>1.8</v>
      </c>
      <c r="E1837" t="s">
        <v>620</v>
      </c>
    </row>
    <row r="1838" spans="1:5" x14ac:dyDescent="0.3">
      <c r="A1838">
        <v>1837</v>
      </c>
      <c r="B1838">
        <v>613</v>
      </c>
      <c r="C1838" t="s">
        <v>621</v>
      </c>
      <c r="D1838">
        <v>7.7</v>
      </c>
      <c r="E1838" t="s">
        <v>622</v>
      </c>
    </row>
    <row r="1839" spans="1:5" x14ac:dyDescent="0.3">
      <c r="A1839">
        <v>1838</v>
      </c>
      <c r="B1839">
        <v>613</v>
      </c>
      <c r="C1839" t="s">
        <v>617</v>
      </c>
      <c r="D1839">
        <v>15.17</v>
      </c>
      <c r="E1839" t="s">
        <v>618</v>
      </c>
    </row>
    <row r="1840" spans="1:5" x14ac:dyDescent="0.3">
      <c r="A1840">
        <v>1839</v>
      </c>
      <c r="B1840">
        <v>613</v>
      </c>
      <c r="C1840" t="s">
        <v>613</v>
      </c>
      <c r="D1840">
        <v>5.95</v>
      </c>
      <c r="E1840" t="s">
        <v>614</v>
      </c>
    </row>
    <row r="1841" spans="1:5" x14ac:dyDescent="0.3">
      <c r="A1841">
        <v>1840</v>
      </c>
      <c r="B1841">
        <v>614</v>
      </c>
      <c r="C1841" t="s">
        <v>605</v>
      </c>
      <c r="D1841">
        <v>121.96</v>
      </c>
      <c r="E1841" t="s">
        <v>606</v>
      </c>
    </row>
    <row r="1842" spans="1:5" x14ac:dyDescent="0.3">
      <c r="A1842">
        <v>1841</v>
      </c>
      <c r="B1842">
        <v>614</v>
      </c>
      <c r="C1842" t="s">
        <v>621</v>
      </c>
      <c r="D1842">
        <v>7.33</v>
      </c>
      <c r="E1842" t="s">
        <v>622</v>
      </c>
    </row>
    <row r="1843" spans="1:5" x14ac:dyDescent="0.3">
      <c r="A1843">
        <v>1842</v>
      </c>
      <c r="B1843">
        <v>614</v>
      </c>
      <c r="C1843" t="s">
        <v>613</v>
      </c>
      <c r="D1843">
        <v>3.31</v>
      </c>
      <c r="E1843" t="s">
        <v>614</v>
      </c>
    </row>
    <row r="1844" spans="1:5" x14ac:dyDescent="0.3">
      <c r="A1844">
        <v>1843</v>
      </c>
      <c r="B1844">
        <v>615</v>
      </c>
      <c r="C1844" t="s">
        <v>611</v>
      </c>
      <c r="D1844">
        <v>14.37</v>
      </c>
      <c r="E1844" t="s">
        <v>612</v>
      </c>
    </row>
    <row r="1845" spans="1:5" x14ac:dyDescent="0.3">
      <c r="A1845">
        <v>1844</v>
      </c>
      <c r="B1845">
        <v>615</v>
      </c>
      <c r="C1845" t="s">
        <v>603</v>
      </c>
      <c r="D1845">
        <v>101.86</v>
      </c>
      <c r="E1845" t="s">
        <v>604</v>
      </c>
    </row>
    <row r="1846" spans="1:5" x14ac:dyDescent="0.3">
      <c r="A1846">
        <v>1845</v>
      </c>
      <c r="B1846">
        <v>615</v>
      </c>
      <c r="C1846" t="s">
        <v>617</v>
      </c>
      <c r="D1846">
        <v>4.22</v>
      </c>
      <c r="E1846" t="s">
        <v>618</v>
      </c>
    </row>
    <row r="1847" spans="1:5" x14ac:dyDescent="0.3">
      <c r="A1847">
        <v>1846</v>
      </c>
      <c r="B1847">
        <v>616</v>
      </c>
      <c r="C1847" t="s">
        <v>613</v>
      </c>
      <c r="D1847">
        <v>3.01</v>
      </c>
      <c r="E1847" t="s">
        <v>614</v>
      </c>
    </row>
    <row r="1848" spans="1:5" x14ac:dyDescent="0.3">
      <c r="A1848">
        <v>1847</v>
      </c>
      <c r="B1848">
        <v>616</v>
      </c>
      <c r="C1848" t="s">
        <v>615</v>
      </c>
      <c r="D1848">
        <v>264.04000000000002</v>
      </c>
      <c r="E1848" t="s">
        <v>616</v>
      </c>
    </row>
    <row r="1849" spans="1:5" x14ac:dyDescent="0.3">
      <c r="A1849">
        <v>1848</v>
      </c>
      <c r="B1849">
        <v>616</v>
      </c>
      <c r="C1849" t="s">
        <v>611</v>
      </c>
      <c r="D1849">
        <v>8.64</v>
      </c>
      <c r="E1849" t="s">
        <v>612</v>
      </c>
    </row>
    <row r="1850" spans="1:5" x14ac:dyDescent="0.3">
      <c r="A1850">
        <v>1849</v>
      </c>
      <c r="B1850">
        <v>617</v>
      </c>
      <c r="C1850" t="s">
        <v>615</v>
      </c>
      <c r="D1850">
        <v>220.74</v>
      </c>
      <c r="E1850" t="s">
        <v>616</v>
      </c>
    </row>
    <row r="1851" spans="1:5" x14ac:dyDescent="0.3">
      <c r="A1851">
        <v>1850</v>
      </c>
      <c r="B1851">
        <v>617</v>
      </c>
      <c r="C1851" t="s">
        <v>609</v>
      </c>
      <c r="D1851">
        <v>0.38</v>
      </c>
      <c r="E1851" t="s">
        <v>610</v>
      </c>
    </row>
    <row r="1852" spans="1:5" x14ac:dyDescent="0.3">
      <c r="A1852">
        <v>1851</v>
      </c>
      <c r="B1852">
        <v>617</v>
      </c>
      <c r="C1852" t="s">
        <v>619</v>
      </c>
      <c r="D1852">
        <v>1.17</v>
      </c>
      <c r="E1852" t="s">
        <v>620</v>
      </c>
    </row>
    <row r="1853" spans="1:5" x14ac:dyDescent="0.3">
      <c r="A1853">
        <v>1852</v>
      </c>
      <c r="B1853">
        <v>618</v>
      </c>
      <c r="C1853" t="s">
        <v>617</v>
      </c>
      <c r="D1853">
        <v>7.77</v>
      </c>
      <c r="E1853" t="s">
        <v>618</v>
      </c>
    </row>
    <row r="1854" spans="1:5" x14ac:dyDescent="0.3">
      <c r="A1854">
        <v>1853</v>
      </c>
      <c r="B1854">
        <v>618</v>
      </c>
      <c r="C1854" t="s">
        <v>607</v>
      </c>
      <c r="D1854">
        <v>144.87</v>
      </c>
      <c r="E1854" t="s">
        <v>608</v>
      </c>
    </row>
    <row r="1855" spans="1:5" x14ac:dyDescent="0.3">
      <c r="A1855">
        <v>1854</v>
      </c>
      <c r="B1855">
        <v>618</v>
      </c>
      <c r="C1855" t="s">
        <v>621</v>
      </c>
      <c r="D1855">
        <v>11.47</v>
      </c>
      <c r="E1855" t="s">
        <v>622</v>
      </c>
    </row>
    <row r="1856" spans="1:5" x14ac:dyDescent="0.3">
      <c r="A1856">
        <v>1855</v>
      </c>
      <c r="B1856">
        <v>619</v>
      </c>
      <c r="C1856" t="s">
        <v>609</v>
      </c>
      <c r="D1856">
        <v>1.64</v>
      </c>
      <c r="E1856" t="s">
        <v>610</v>
      </c>
    </row>
    <row r="1857" spans="1:5" x14ac:dyDescent="0.3">
      <c r="A1857">
        <v>1856</v>
      </c>
      <c r="B1857">
        <v>619</v>
      </c>
      <c r="C1857" t="s">
        <v>621</v>
      </c>
      <c r="D1857">
        <v>5.22</v>
      </c>
      <c r="E1857" t="s">
        <v>622</v>
      </c>
    </row>
    <row r="1858" spans="1:5" x14ac:dyDescent="0.3">
      <c r="A1858">
        <v>1857</v>
      </c>
      <c r="B1858">
        <v>619</v>
      </c>
      <c r="C1858" t="s">
        <v>619</v>
      </c>
      <c r="D1858">
        <v>3.06</v>
      </c>
      <c r="E1858" t="s">
        <v>620</v>
      </c>
    </row>
    <row r="1859" spans="1:5" x14ac:dyDescent="0.3">
      <c r="A1859">
        <v>1858</v>
      </c>
      <c r="B1859">
        <v>620</v>
      </c>
      <c r="C1859" t="s">
        <v>617</v>
      </c>
      <c r="D1859">
        <v>10.33</v>
      </c>
      <c r="E1859" t="s">
        <v>618</v>
      </c>
    </row>
    <row r="1860" spans="1:5" x14ac:dyDescent="0.3">
      <c r="A1860">
        <v>1859</v>
      </c>
      <c r="B1860">
        <v>620</v>
      </c>
      <c r="C1860" t="s">
        <v>605</v>
      </c>
      <c r="D1860">
        <v>145.34</v>
      </c>
      <c r="E1860" t="s">
        <v>606</v>
      </c>
    </row>
    <row r="1861" spans="1:5" x14ac:dyDescent="0.3">
      <c r="A1861">
        <v>1860</v>
      </c>
      <c r="B1861">
        <v>620</v>
      </c>
      <c r="C1861" t="s">
        <v>621</v>
      </c>
      <c r="D1861">
        <v>8.18</v>
      </c>
      <c r="E1861" t="s">
        <v>622</v>
      </c>
    </row>
    <row r="1862" spans="1:5" x14ac:dyDescent="0.3">
      <c r="A1862">
        <v>1861</v>
      </c>
      <c r="B1862">
        <v>621</v>
      </c>
      <c r="C1862" t="s">
        <v>607</v>
      </c>
      <c r="D1862">
        <v>149.27000000000001</v>
      </c>
      <c r="E1862" t="s">
        <v>608</v>
      </c>
    </row>
    <row r="1863" spans="1:5" x14ac:dyDescent="0.3">
      <c r="A1863">
        <v>1862</v>
      </c>
      <c r="B1863">
        <v>621</v>
      </c>
      <c r="C1863" t="s">
        <v>615</v>
      </c>
      <c r="D1863">
        <v>358.04</v>
      </c>
      <c r="E1863" t="s">
        <v>616</v>
      </c>
    </row>
    <row r="1864" spans="1:5" x14ac:dyDescent="0.3">
      <c r="A1864">
        <v>1863</v>
      </c>
      <c r="B1864">
        <v>621</v>
      </c>
      <c r="C1864" t="s">
        <v>617</v>
      </c>
      <c r="D1864">
        <v>11.01</v>
      </c>
      <c r="E1864" t="s">
        <v>618</v>
      </c>
    </row>
    <row r="1865" spans="1:5" x14ac:dyDescent="0.3">
      <c r="A1865">
        <v>1864</v>
      </c>
      <c r="B1865">
        <v>622</v>
      </c>
      <c r="C1865" t="s">
        <v>613</v>
      </c>
      <c r="D1865">
        <v>2.81</v>
      </c>
      <c r="E1865" t="s">
        <v>614</v>
      </c>
    </row>
    <row r="1866" spans="1:5" x14ac:dyDescent="0.3">
      <c r="A1866">
        <v>1865</v>
      </c>
      <c r="B1866">
        <v>622</v>
      </c>
      <c r="C1866" t="s">
        <v>619</v>
      </c>
      <c r="D1866">
        <v>1.31</v>
      </c>
      <c r="E1866" t="s">
        <v>620</v>
      </c>
    </row>
    <row r="1867" spans="1:5" x14ac:dyDescent="0.3">
      <c r="A1867">
        <v>1866</v>
      </c>
      <c r="B1867">
        <v>622</v>
      </c>
      <c r="C1867" t="s">
        <v>605</v>
      </c>
      <c r="D1867">
        <v>163.29</v>
      </c>
      <c r="E1867" t="s">
        <v>606</v>
      </c>
    </row>
    <row r="1868" spans="1:5" x14ac:dyDescent="0.3">
      <c r="A1868">
        <v>1867</v>
      </c>
      <c r="B1868">
        <v>623</v>
      </c>
      <c r="C1868" t="s">
        <v>621</v>
      </c>
      <c r="D1868">
        <v>5.32</v>
      </c>
      <c r="E1868" t="s">
        <v>622</v>
      </c>
    </row>
    <row r="1869" spans="1:5" x14ac:dyDescent="0.3">
      <c r="A1869">
        <v>1868</v>
      </c>
      <c r="B1869">
        <v>623</v>
      </c>
      <c r="C1869" t="s">
        <v>605</v>
      </c>
      <c r="D1869">
        <v>294.92</v>
      </c>
      <c r="E1869" t="s">
        <v>606</v>
      </c>
    </row>
    <row r="1870" spans="1:5" x14ac:dyDescent="0.3">
      <c r="A1870">
        <v>1869</v>
      </c>
      <c r="B1870">
        <v>623</v>
      </c>
      <c r="C1870" t="s">
        <v>609</v>
      </c>
      <c r="D1870">
        <v>6.53</v>
      </c>
      <c r="E1870" t="s">
        <v>610</v>
      </c>
    </row>
    <row r="1871" spans="1:5" x14ac:dyDescent="0.3">
      <c r="A1871">
        <v>1870</v>
      </c>
      <c r="B1871">
        <v>624</v>
      </c>
      <c r="C1871" t="s">
        <v>603</v>
      </c>
      <c r="D1871">
        <v>143.69999999999999</v>
      </c>
      <c r="E1871" t="s">
        <v>604</v>
      </c>
    </row>
    <row r="1872" spans="1:5" x14ac:dyDescent="0.3">
      <c r="A1872">
        <v>1871</v>
      </c>
      <c r="B1872">
        <v>624</v>
      </c>
      <c r="C1872" t="s">
        <v>605</v>
      </c>
      <c r="D1872">
        <v>214.34</v>
      </c>
      <c r="E1872" t="s">
        <v>606</v>
      </c>
    </row>
    <row r="1873" spans="1:5" x14ac:dyDescent="0.3">
      <c r="A1873">
        <v>1872</v>
      </c>
      <c r="B1873">
        <v>624</v>
      </c>
      <c r="C1873" t="s">
        <v>613</v>
      </c>
      <c r="D1873">
        <v>3.83</v>
      </c>
      <c r="E1873" t="s">
        <v>614</v>
      </c>
    </row>
    <row r="1874" spans="1:5" x14ac:dyDescent="0.3">
      <c r="A1874">
        <v>1873</v>
      </c>
      <c r="B1874">
        <v>625</v>
      </c>
      <c r="C1874" t="s">
        <v>611</v>
      </c>
      <c r="D1874">
        <v>10.96</v>
      </c>
      <c r="E1874" t="s">
        <v>612</v>
      </c>
    </row>
    <row r="1875" spans="1:5" x14ac:dyDescent="0.3">
      <c r="A1875">
        <v>1874</v>
      </c>
      <c r="B1875">
        <v>625</v>
      </c>
      <c r="C1875" t="s">
        <v>619</v>
      </c>
      <c r="D1875">
        <v>1.85</v>
      </c>
      <c r="E1875" t="s">
        <v>620</v>
      </c>
    </row>
    <row r="1876" spans="1:5" x14ac:dyDescent="0.3">
      <c r="A1876">
        <v>1875</v>
      </c>
      <c r="B1876">
        <v>625</v>
      </c>
      <c r="C1876" t="s">
        <v>607</v>
      </c>
      <c r="D1876">
        <v>138.44</v>
      </c>
      <c r="E1876" t="s">
        <v>608</v>
      </c>
    </row>
    <row r="1877" spans="1:5" x14ac:dyDescent="0.3">
      <c r="A1877">
        <v>1876</v>
      </c>
      <c r="B1877">
        <v>626</v>
      </c>
      <c r="C1877" t="s">
        <v>617</v>
      </c>
      <c r="D1877">
        <v>9.9</v>
      </c>
      <c r="E1877" t="s">
        <v>618</v>
      </c>
    </row>
    <row r="1878" spans="1:5" x14ac:dyDescent="0.3">
      <c r="A1878">
        <v>1877</v>
      </c>
      <c r="B1878">
        <v>626</v>
      </c>
      <c r="C1878" t="s">
        <v>609</v>
      </c>
      <c r="D1878">
        <v>17.68</v>
      </c>
      <c r="E1878" t="s">
        <v>610</v>
      </c>
    </row>
    <row r="1879" spans="1:5" x14ac:dyDescent="0.3">
      <c r="A1879">
        <v>1878</v>
      </c>
      <c r="B1879">
        <v>626</v>
      </c>
      <c r="C1879" t="s">
        <v>615</v>
      </c>
      <c r="D1879">
        <v>394.77</v>
      </c>
      <c r="E1879" t="s">
        <v>616</v>
      </c>
    </row>
    <row r="1880" spans="1:5" x14ac:dyDescent="0.3">
      <c r="A1880">
        <v>1879</v>
      </c>
      <c r="B1880">
        <v>627</v>
      </c>
      <c r="C1880" t="s">
        <v>605</v>
      </c>
      <c r="D1880">
        <v>287.98</v>
      </c>
      <c r="E1880" t="s">
        <v>606</v>
      </c>
    </row>
    <row r="1881" spans="1:5" x14ac:dyDescent="0.3">
      <c r="A1881">
        <v>1880</v>
      </c>
      <c r="B1881">
        <v>627</v>
      </c>
      <c r="C1881" t="s">
        <v>617</v>
      </c>
      <c r="D1881">
        <v>10.29</v>
      </c>
      <c r="E1881" t="s">
        <v>618</v>
      </c>
    </row>
    <row r="1882" spans="1:5" x14ac:dyDescent="0.3">
      <c r="A1882">
        <v>1881</v>
      </c>
      <c r="B1882">
        <v>627</v>
      </c>
      <c r="C1882" t="s">
        <v>621</v>
      </c>
      <c r="D1882">
        <v>7.92</v>
      </c>
      <c r="E1882" t="s">
        <v>622</v>
      </c>
    </row>
    <row r="1883" spans="1:5" x14ac:dyDescent="0.3">
      <c r="A1883">
        <v>1882</v>
      </c>
      <c r="B1883">
        <v>628</v>
      </c>
      <c r="C1883" t="s">
        <v>617</v>
      </c>
      <c r="D1883">
        <v>11.48</v>
      </c>
      <c r="E1883" t="s">
        <v>618</v>
      </c>
    </row>
    <row r="1884" spans="1:5" x14ac:dyDescent="0.3">
      <c r="A1884">
        <v>1883</v>
      </c>
      <c r="B1884">
        <v>628</v>
      </c>
      <c r="C1884" t="s">
        <v>611</v>
      </c>
      <c r="D1884">
        <v>8.8699999999999992</v>
      </c>
      <c r="E1884" t="s">
        <v>612</v>
      </c>
    </row>
    <row r="1885" spans="1:5" x14ac:dyDescent="0.3">
      <c r="A1885">
        <v>1884</v>
      </c>
      <c r="B1885">
        <v>628</v>
      </c>
      <c r="C1885" t="s">
        <v>607</v>
      </c>
      <c r="D1885">
        <v>147.06</v>
      </c>
      <c r="E1885" t="s">
        <v>608</v>
      </c>
    </row>
    <row r="1886" spans="1:5" x14ac:dyDescent="0.3">
      <c r="A1886">
        <v>1885</v>
      </c>
      <c r="B1886">
        <v>629</v>
      </c>
      <c r="C1886" t="s">
        <v>613</v>
      </c>
      <c r="D1886">
        <v>3.53</v>
      </c>
      <c r="E1886" t="s">
        <v>614</v>
      </c>
    </row>
    <row r="1887" spans="1:5" x14ac:dyDescent="0.3">
      <c r="A1887">
        <v>1886</v>
      </c>
      <c r="B1887">
        <v>629</v>
      </c>
      <c r="C1887" t="s">
        <v>615</v>
      </c>
      <c r="D1887">
        <v>295.93</v>
      </c>
      <c r="E1887" t="s">
        <v>616</v>
      </c>
    </row>
    <row r="1888" spans="1:5" x14ac:dyDescent="0.3">
      <c r="A1888">
        <v>1887</v>
      </c>
      <c r="B1888">
        <v>629</v>
      </c>
      <c r="C1888" t="s">
        <v>607</v>
      </c>
      <c r="D1888">
        <v>149.94999999999999</v>
      </c>
      <c r="E1888" t="s">
        <v>608</v>
      </c>
    </row>
    <row r="1889" spans="1:5" x14ac:dyDescent="0.3">
      <c r="A1889">
        <v>1888</v>
      </c>
      <c r="B1889">
        <v>630</v>
      </c>
      <c r="C1889" t="s">
        <v>619</v>
      </c>
      <c r="D1889">
        <v>1.1299999999999999</v>
      </c>
      <c r="E1889" t="s">
        <v>620</v>
      </c>
    </row>
    <row r="1890" spans="1:5" x14ac:dyDescent="0.3">
      <c r="A1890">
        <v>1889</v>
      </c>
      <c r="B1890">
        <v>630</v>
      </c>
      <c r="C1890" t="s">
        <v>607</v>
      </c>
      <c r="D1890">
        <v>144.44999999999999</v>
      </c>
      <c r="E1890" t="s">
        <v>608</v>
      </c>
    </row>
    <row r="1891" spans="1:5" x14ac:dyDescent="0.3">
      <c r="A1891">
        <v>1890</v>
      </c>
      <c r="B1891">
        <v>630</v>
      </c>
      <c r="C1891" t="s">
        <v>615</v>
      </c>
      <c r="D1891">
        <v>103.74</v>
      </c>
      <c r="E1891" t="s">
        <v>616</v>
      </c>
    </row>
    <row r="1892" spans="1:5" x14ac:dyDescent="0.3">
      <c r="A1892">
        <v>1891</v>
      </c>
      <c r="B1892">
        <v>631</v>
      </c>
      <c r="C1892" t="s">
        <v>613</v>
      </c>
      <c r="D1892">
        <v>2.82</v>
      </c>
      <c r="E1892" t="s">
        <v>614</v>
      </c>
    </row>
    <row r="1893" spans="1:5" x14ac:dyDescent="0.3">
      <c r="A1893">
        <v>1892</v>
      </c>
      <c r="B1893">
        <v>631</v>
      </c>
      <c r="C1893" t="s">
        <v>615</v>
      </c>
      <c r="D1893">
        <v>208.64</v>
      </c>
      <c r="E1893" t="s">
        <v>616</v>
      </c>
    </row>
    <row r="1894" spans="1:5" x14ac:dyDescent="0.3">
      <c r="A1894">
        <v>1893</v>
      </c>
      <c r="B1894">
        <v>631</v>
      </c>
      <c r="C1894" t="s">
        <v>619</v>
      </c>
      <c r="D1894">
        <v>0.83</v>
      </c>
      <c r="E1894" t="s">
        <v>620</v>
      </c>
    </row>
    <row r="1895" spans="1:5" x14ac:dyDescent="0.3">
      <c r="A1895">
        <v>1894</v>
      </c>
      <c r="B1895">
        <v>632</v>
      </c>
      <c r="C1895" t="s">
        <v>615</v>
      </c>
      <c r="D1895">
        <v>312.37</v>
      </c>
      <c r="E1895" t="s">
        <v>616</v>
      </c>
    </row>
    <row r="1896" spans="1:5" x14ac:dyDescent="0.3">
      <c r="A1896">
        <v>1895</v>
      </c>
      <c r="B1896">
        <v>632</v>
      </c>
      <c r="C1896" t="s">
        <v>617</v>
      </c>
      <c r="D1896">
        <v>3.44</v>
      </c>
      <c r="E1896" t="s">
        <v>618</v>
      </c>
    </row>
    <row r="1897" spans="1:5" x14ac:dyDescent="0.3">
      <c r="A1897">
        <v>1896</v>
      </c>
      <c r="B1897">
        <v>632</v>
      </c>
      <c r="C1897" t="s">
        <v>603</v>
      </c>
      <c r="D1897">
        <v>115.87</v>
      </c>
      <c r="E1897" t="s">
        <v>604</v>
      </c>
    </row>
    <row r="1898" spans="1:5" x14ac:dyDescent="0.3">
      <c r="A1898">
        <v>1897</v>
      </c>
      <c r="B1898">
        <v>633</v>
      </c>
      <c r="C1898" t="s">
        <v>613</v>
      </c>
      <c r="D1898">
        <v>6.19</v>
      </c>
      <c r="E1898" t="s">
        <v>614</v>
      </c>
    </row>
    <row r="1899" spans="1:5" x14ac:dyDescent="0.3">
      <c r="A1899">
        <v>1898</v>
      </c>
      <c r="B1899">
        <v>633</v>
      </c>
      <c r="C1899" t="s">
        <v>607</v>
      </c>
      <c r="D1899">
        <v>143.49</v>
      </c>
      <c r="E1899" t="s">
        <v>608</v>
      </c>
    </row>
    <row r="1900" spans="1:5" x14ac:dyDescent="0.3">
      <c r="A1900">
        <v>1899</v>
      </c>
      <c r="B1900">
        <v>633</v>
      </c>
      <c r="C1900" t="s">
        <v>603</v>
      </c>
      <c r="D1900">
        <v>115.72</v>
      </c>
      <c r="E1900" t="s">
        <v>604</v>
      </c>
    </row>
    <row r="1901" spans="1:5" x14ac:dyDescent="0.3">
      <c r="A1901">
        <v>1900</v>
      </c>
      <c r="B1901">
        <v>634</v>
      </c>
      <c r="C1901" t="s">
        <v>603</v>
      </c>
      <c r="D1901">
        <v>249.49</v>
      </c>
      <c r="E1901" t="s">
        <v>604</v>
      </c>
    </row>
    <row r="1902" spans="1:5" x14ac:dyDescent="0.3">
      <c r="A1902">
        <v>1901</v>
      </c>
      <c r="B1902">
        <v>634</v>
      </c>
      <c r="C1902" t="s">
        <v>621</v>
      </c>
      <c r="D1902">
        <v>9.06</v>
      </c>
      <c r="E1902" t="s">
        <v>622</v>
      </c>
    </row>
    <row r="1903" spans="1:5" x14ac:dyDescent="0.3">
      <c r="A1903">
        <v>1902</v>
      </c>
      <c r="B1903">
        <v>634</v>
      </c>
      <c r="C1903" t="s">
        <v>613</v>
      </c>
      <c r="D1903">
        <v>4.47</v>
      </c>
      <c r="E1903" t="s">
        <v>614</v>
      </c>
    </row>
    <row r="1904" spans="1:5" x14ac:dyDescent="0.3">
      <c r="A1904">
        <v>1903</v>
      </c>
      <c r="B1904">
        <v>635</v>
      </c>
      <c r="C1904" t="s">
        <v>613</v>
      </c>
      <c r="D1904">
        <v>2.93</v>
      </c>
      <c r="E1904" t="s">
        <v>614</v>
      </c>
    </row>
    <row r="1905" spans="1:5" x14ac:dyDescent="0.3">
      <c r="A1905">
        <v>1904</v>
      </c>
      <c r="B1905">
        <v>635</v>
      </c>
      <c r="C1905" t="s">
        <v>609</v>
      </c>
      <c r="D1905">
        <v>0.67</v>
      </c>
      <c r="E1905" t="s">
        <v>610</v>
      </c>
    </row>
    <row r="1906" spans="1:5" x14ac:dyDescent="0.3">
      <c r="A1906">
        <v>1905</v>
      </c>
      <c r="B1906">
        <v>635</v>
      </c>
      <c r="C1906" t="s">
        <v>611</v>
      </c>
      <c r="D1906">
        <v>16.39</v>
      </c>
      <c r="E1906" t="s">
        <v>612</v>
      </c>
    </row>
    <row r="1907" spans="1:5" x14ac:dyDescent="0.3">
      <c r="A1907">
        <v>1906</v>
      </c>
      <c r="B1907">
        <v>636</v>
      </c>
      <c r="C1907" t="s">
        <v>605</v>
      </c>
      <c r="D1907">
        <v>136.56</v>
      </c>
      <c r="E1907" t="s">
        <v>606</v>
      </c>
    </row>
    <row r="1908" spans="1:5" x14ac:dyDescent="0.3">
      <c r="A1908">
        <v>1907</v>
      </c>
      <c r="B1908">
        <v>636</v>
      </c>
      <c r="C1908" t="s">
        <v>621</v>
      </c>
      <c r="D1908">
        <v>10.67</v>
      </c>
      <c r="E1908" t="s">
        <v>622</v>
      </c>
    </row>
    <row r="1909" spans="1:5" x14ac:dyDescent="0.3">
      <c r="A1909">
        <v>1908</v>
      </c>
      <c r="B1909">
        <v>636</v>
      </c>
      <c r="C1909" t="s">
        <v>609</v>
      </c>
      <c r="D1909">
        <v>2.48</v>
      </c>
      <c r="E1909" t="s">
        <v>610</v>
      </c>
    </row>
    <row r="1910" spans="1:5" x14ac:dyDescent="0.3">
      <c r="A1910">
        <v>1909</v>
      </c>
      <c r="B1910">
        <v>637</v>
      </c>
      <c r="C1910" t="s">
        <v>613</v>
      </c>
      <c r="D1910">
        <v>3.13</v>
      </c>
      <c r="E1910" t="s">
        <v>614</v>
      </c>
    </row>
    <row r="1911" spans="1:5" x14ac:dyDescent="0.3">
      <c r="A1911">
        <v>1910</v>
      </c>
      <c r="B1911">
        <v>637</v>
      </c>
      <c r="C1911" t="s">
        <v>603</v>
      </c>
      <c r="D1911">
        <v>165.66</v>
      </c>
      <c r="E1911" t="s">
        <v>604</v>
      </c>
    </row>
    <row r="1912" spans="1:5" x14ac:dyDescent="0.3">
      <c r="A1912">
        <v>1911</v>
      </c>
      <c r="B1912">
        <v>637</v>
      </c>
      <c r="C1912" t="s">
        <v>615</v>
      </c>
      <c r="D1912">
        <v>444.19</v>
      </c>
      <c r="E1912" t="s">
        <v>616</v>
      </c>
    </row>
    <row r="1913" spans="1:5" x14ac:dyDescent="0.3">
      <c r="A1913">
        <v>1912</v>
      </c>
      <c r="B1913">
        <v>638</v>
      </c>
      <c r="C1913" t="s">
        <v>619</v>
      </c>
      <c r="D1913">
        <v>3.43</v>
      </c>
      <c r="E1913" t="s">
        <v>620</v>
      </c>
    </row>
    <row r="1914" spans="1:5" x14ac:dyDescent="0.3">
      <c r="A1914">
        <v>1913</v>
      </c>
      <c r="B1914">
        <v>638</v>
      </c>
      <c r="C1914" t="s">
        <v>603</v>
      </c>
      <c r="D1914">
        <v>221.92</v>
      </c>
      <c r="E1914" t="s">
        <v>604</v>
      </c>
    </row>
    <row r="1915" spans="1:5" x14ac:dyDescent="0.3">
      <c r="A1915">
        <v>1914</v>
      </c>
      <c r="B1915">
        <v>638</v>
      </c>
      <c r="C1915" t="s">
        <v>615</v>
      </c>
      <c r="D1915">
        <v>210.77</v>
      </c>
      <c r="E1915" t="s">
        <v>616</v>
      </c>
    </row>
    <row r="1916" spans="1:5" x14ac:dyDescent="0.3">
      <c r="A1916">
        <v>1915</v>
      </c>
      <c r="B1916">
        <v>639</v>
      </c>
      <c r="C1916" t="s">
        <v>605</v>
      </c>
      <c r="D1916">
        <v>308.11</v>
      </c>
      <c r="E1916" t="s">
        <v>606</v>
      </c>
    </row>
    <row r="1917" spans="1:5" x14ac:dyDescent="0.3">
      <c r="A1917">
        <v>1916</v>
      </c>
      <c r="B1917">
        <v>639</v>
      </c>
      <c r="C1917" t="s">
        <v>615</v>
      </c>
      <c r="D1917">
        <v>241.11</v>
      </c>
      <c r="E1917" t="s">
        <v>616</v>
      </c>
    </row>
    <row r="1918" spans="1:5" x14ac:dyDescent="0.3">
      <c r="A1918">
        <v>1917</v>
      </c>
      <c r="B1918">
        <v>639</v>
      </c>
      <c r="C1918" t="s">
        <v>603</v>
      </c>
      <c r="D1918">
        <v>219.98</v>
      </c>
      <c r="E1918" t="s">
        <v>604</v>
      </c>
    </row>
    <row r="1919" spans="1:5" x14ac:dyDescent="0.3">
      <c r="A1919">
        <v>1918</v>
      </c>
      <c r="B1919">
        <v>640</v>
      </c>
      <c r="C1919" t="s">
        <v>603</v>
      </c>
      <c r="D1919">
        <v>217.63</v>
      </c>
      <c r="E1919" t="s">
        <v>604</v>
      </c>
    </row>
    <row r="1920" spans="1:5" x14ac:dyDescent="0.3">
      <c r="A1920">
        <v>1919</v>
      </c>
      <c r="B1920">
        <v>640</v>
      </c>
      <c r="C1920" t="s">
        <v>611</v>
      </c>
      <c r="D1920">
        <v>12.27</v>
      </c>
      <c r="E1920" t="s">
        <v>612</v>
      </c>
    </row>
    <row r="1921" spans="1:5" x14ac:dyDescent="0.3">
      <c r="A1921">
        <v>1920</v>
      </c>
      <c r="B1921">
        <v>640</v>
      </c>
      <c r="C1921" t="s">
        <v>619</v>
      </c>
      <c r="D1921">
        <v>3.05</v>
      </c>
      <c r="E1921" t="s">
        <v>620</v>
      </c>
    </row>
    <row r="1922" spans="1:5" x14ac:dyDescent="0.3">
      <c r="A1922">
        <v>1921</v>
      </c>
      <c r="B1922">
        <v>641</v>
      </c>
      <c r="C1922" t="s">
        <v>611</v>
      </c>
      <c r="D1922">
        <v>7.47</v>
      </c>
      <c r="E1922" t="s">
        <v>612</v>
      </c>
    </row>
    <row r="1923" spans="1:5" x14ac:dyDescent="0.3">
      <c r="A1923">
        <v>1922</v>
      </c>
      <c r="B1923">
        <v>641</v>
      </c>
      <c r="C1923" t="s">
        <v>605</v>
      </c>
      <c r="D1923">
        <v>241.71</v>
      </c>
      <c r="E1923" t="s">
        <v>606</v>
      </c>
    </row>
    <row r="1924" spans="1:5" x14ac:dyDescent="0.3">
      <c r="A1924">
        <v>1923</v>
      </c>
      <c r="B1924">
        <v>641</v>
      </c>
      <c r="C1924" t="s">
        <v>613</v>
      </c>
      <c r="D1924">
        <v>5.14</v>
      </c>
      <c r="E1924" t="s">
        <v>614</v>
      </c>
    </row>
    <row r="1925" spans="1:5" x14ac:dyDescent="0.3">
      <c r="A1925">
        <v>1924</v>
      </c>
      <c r="B1925">
        <v>642</v>
      </c>
      <c r="C1925" t="s">
        <v>607</v>
      </c>
      <c r="D1925">
        <v>134.85</v>
      </c>
      <c r="E1925" t="s">
        <v>608</v>
      </c>
    </row>
    <row r="1926" spans="1:5" x14ac:dyDescent="0.3">
      <c r="A1926">
        <v>1925</v>
      </c>
      <c r="B1926">
        <v>642</v>
      </c>
      <c r="C1926" t="s">
        <v>605</v>
      </c>
      <c r="D1926">
        <v>232.11</v>
      </c>
      <c r="E1926" t="s">
        <v>606</v>
      </c>
    </row>
    <row r="1927" spans="1:5" x14ac:dyDescent="0.3">
      <c r="A1927">
        <v>1926</v>
      </c>
      <c r="B1927">
        <v>642</v>
      </c>
      <c r="C1927" t="s">
        <v>603</v>
      </c>
      <c r="D1927">
        <v>86.78</v>
      </c>
      <c r="E1927" t="s">
        <v>604</v>
      </c>
    </row>
    <row r="1928" spans="1:5" x14ac:dyDescent="0.3">
      <c r="A1928">
        <v>1927</v>
      </c>
      <c r="B1928">
        <v>643</v>
      </c>
      <c r="C1928" t="s">
        <v>613</v>
      </c>
      <c r="D1928">
        <v>3.1</v>
      </c>
      <c r="E1928" t="s">
        <v>614</v>
      </c>
    </row>
    <row r="1929" spans="1:5" x14ac:dyDescent="0.3">
      <c r="A1929">
        <v>1928</v>
      </c>
      <c r="B1929">
        <v>643</v>
      </c>
      <c r="C1929" t="s">
        <v>611</v>
      </c>
      <c r="D1929">
        <v>16.64</v>
      </c>
      <c r="E1929" t="s">
        <v>612</v>
      </c>
    </row>
    <row r="1930" spans="1:5" x14ac:dyDescent="0.3">
      <c r="A1930">
        <v>1929</v>
      </c>
      <c r="B1930">
        <v>643</v>
      </c>
      <c r="C1930" t="s">
        <v>621</v>
      </c>
      <c r="D1930">
        <v>5.46</v>
      </c>
      <c r="E1930" t="s">
        <v>622</v>
      </c>
    </row>
    <row r="1931" spans="1:5" x14ac:dyDescent="0.3">
      <c r="A1931">
        <v>1930</v>
      </c>
      <c r="B1931">
        <v>644</v>
      </c>
      <c r="C1931" t="s">
        <v>611</v>
      </c>
      <c r="D1931">
        <v>13.21</v>
      </c>
      <c r="E1931" t="s">
        <v>612</v>
      </c>
    </row>
    <row r="1932" spans="1:5" x14ac:dyDescent="0.3">
      <c r="A1932">
        <v>1931</v>
      </c>
      <c r="B1932">
        <v>644</v>
      </c>
      <c r="C1932" t="s">
        <v>605</v>
      </c>
      <c r="D1932">
        <v>313.14999999999998</v>
      </c>
      <c r="E1932" t="s">
        <v>606</v>
      </c>
    </row>
    <row r="1933" spans="1:5" x14ac:dyDescent="0.3">
      <c r="A1933">
        <v>1932</v>
      </c>
      <c r="B1933">
        <v>644</v>
      </c>
      <c r="C1933" t="s">
        <v>615</v>
      </c>
      <c r="D1933">
        <v>368.35</v>
      </c>
      <c r="E1933" t="s">
        <v>616</v>
      </c>
    </row>
    <row r="1934" spans="1:5" x14ac:dyDescent="0.3">
      <c r="A1934">
        <v>1933</v>
      </c>
      <c r="B1934">
        <v>645</v>
      </c>
      <c r="C1934" t="s">
        <v>603</v>
      </c>
      <c r="D1934">
        <v>150.16</v>
      </c>
      <c r="E1934" t="s">
        <v>604</v>
      </c>
    </row>
    <row r="1935" spans="1:5" x14ac:dyDescent="0.3">
      <c r="A1935">
        <v>1934</v>
      </c>
      <c r="B1935">
        <v>645</v>
      </c>
      <c r="C1935" t="s">
        <v>619</v>
      </c>
      <c r="D1935">
        <v>3.57</v>
      </c>
      <c r="E1935" t="s">
        <v>620</v>
      </c>
    </row>
    <row r="1936" spans="1:5" x14ac:dyDescent="0.3">
      <c r="A1936">
        <v>1935</v>
      </c>
      <c r="B1936">
        <v>645</v>
      </c>
      <c r="C1936" t="s">
        <v>615</v>
      </c>
      <c r="D1936">
        <v>430.13</v>
      </c>
      <c r="E1936" t="s">
        <v>616</v>
      </c>
    </row>
    <row r="1937" spans="1:5" x14ac:dyDescent="0.3">
      <c r="A1937">
        <v>1936</v>
      </c>
      <c r="B1937">
        <v>646</v>
      </c>
      <c r="C1937" t="s">
        <v>617</v>
      </c>
      <c r="D1937">
        <v>7.04</v>
      </c>
      <c r="E1937" t="s">
        <v>618</v>
      </c>
    </row>
    <row r="1938" spans="1:5" x14ac:dyDescent="0.3">
      <c r="A1938">
        <v>1937</v>
      </c>
      <c r="B1938">
        <v>646</v>
      </c>
      <c r="C1938" t="s">
        <v>619</v>
      </c>
      <c r="D1938">
        <v>1.83</v>
      </c>
      <c r="E1938" t="s">
        <v>620</v>
      </c>
    </row>
    <row r="1939" spans="1:5" x14ac:dyDescent="0.3">
      <c r="A1939">
        <v>1938</v>
      </c>
      <c r="B1939">
        <v>646</v>
      </c>
      <c r="C1939" t="s">
        <v>605</v>
      </c>
      <c r="D1939">
        <v>177.42</v>
      </c>
      <c r="E1939" t="s">
        <v>606</v>
      </c>
    </row>
    <row r="1940" spans="1:5" x14ac:dyDescent="0.3">
      <c r="A1940">
        <v>1939</v>
      </c>
      <c r="B1940">
        <v>647</v>
      </c>
      <c r="C1940" t="s">
        <v>617</v>
      </c>
      <c r="D1940">
        <v>8.3800000000000008</v>
      </c>
      <c r="E1940" t="s">
        <v>618</v>
      </c>
    </row>
    <row r="1941" spans="1:5" x14ac:dyDescent="0.3">
      <c r="A1941">
        <v>1940</v>
      </c>
      <c r="B1941">
        <v>647</v>
      </c>
      <c r="C1941" t="s">
        <v>605</v>
      </c>
      <c r="D1941">
        <v>287.06</v>
      </c>
      <c r="E1941" t="s">
        <v>606</v>
      </c>
    </row>
    <row r="1942" spans="1:5" x14ac:dyDescent="0.3">
      <c r="A1942">
        <v>1941</v>
      </c>
      <c r="B1942">
        <v>647</v>
      </c>
      <c r="C1942" t="s">
        <v>615</v>
      </c>
      <c r="D1942">
        <v>195.48</v>
      </c>
      <c r="E1942" t="s">
        <v>616</v>
      </c>
    </row>
    <row r="1943" spans="1:5" x14ac:dyDescent="0.3">
      <c r="A1943">
        <v>1942</v>
      </c>
      <c r="B1943">
        <v>648</v>
      </c>
      <c r="C1943" t="s">
        <v>619</v>
      </c>
      <c r="D1943">
        <v>1.41</v>
      </c>
      <c r="E1943" t="s">
        <v>620</v>
      </c>
    </row>
    <row r="1944" spans="1:5" x14ac:dyDescent="0.3">
      <c r="A1944">
        <v>1943</v>
      </c>
      <c r="B1944">
        <v>648</v>
      </c>
      <c r="C1944" t="s">
        <v>605</v>
      </c>
      <c r="D1944">
        <v>207.92</v>
      </c>
      <c r="E1944" t="s">
        <v>606</v>
      </c>
    </row>
    <row r="1945" spans="1:5" x14ac:dyDescent="0.3">
      <c r="A1945">
        <v>1944</v>
      </c>
      <c r="B1945">
        <v>648</v>
      </c>
      <c r="C1945" t="s">
        <v>617</v>
      </c>
      <c r="D1945">
        <v>4.2</v>
      </c>
      <c r="E1945" t="s">
        <v>618</v>
      </c>
    </row>
    <row r="1946" spans="1:5" x14ac:dyDescent="0.3">
      <c r="A1946">
        <v>1945</v>
      </c>
      <c r="B1946">
        <v>649</v>
      </c>
      <c r="C1946" t="s">
        <v>615</v>
      </c>
      <c r="D1946">
        <v>370.33</v>
      </c>
      <c r="E1946" t="s">
        <v>616</v>
      </c>
    </row>
    <row r="1947" spans="1:5" x14ac:dyDescent="0.3">
      <c r="A1947">
        <v>1946</v>
      </c>
      <c r="B1947">
        <v>649</v>
      </c>
      <c r="C1947" t="s">
        <v>621</v>
      </c>
      <c r="D1947">
        <v>8.18</v>
      </c>
      <c r="E1947" t="s">
        <v>622</v>
      </c>
    </row>
    <row r="1948" spans="1:5" x14ac:dyDescent="0.3">
      <c r="A1948">
        <v>1947</v>
      </c>
      <c r="B1948">
        <v>649</v>
      </c>
      <c r="C1948" t="s">
        <v>609</v>
      </c>
      <c r="D1948">
        <v>16.61</v>
      </c>
      <c r="E1948" t="s">
        <v>610</v>
      </c>
    </row>
    <row r="1949" spans="1:5" x14ac:dyDescent="0.3">
      <c r="A1949">
        <v>1948</v>
      </c>
      <c r="B1949">
        <v>650</v>
      </c>
      <c r="C1949" t="s">
        <v>605</v>
      </c>
      <c r="D1949">
        <v>151.13999999999999</v>
      </c>
      <c r="E1949" t="s">
        <v>606</v>
      </c>
    </row>
    <row r="1950" spans="1:5" x14ac:dyDescent="0.3">
      <c r="A1950">
        <v>1949</v>
      </c>
      <c r="B1950">
        <v>650</v>
      </c>
      <c r="C1950" t="s">
        <v>603</v>
      </c>
      <c r="D1950">
        <v>170.21</v>
      </c>
      <c r="E1950" t="s">
        <v>604</v>
      </c>
    </row>
    <row r="1951" spans="1:5" x14ac:dyDescent="0.3">
      <c r="A1951">
        <v>1950</v>
      </c>
      <c r="B1951">
        <v>650</v>
      </c>
      <c r="C1951" t="s">
        <v>607</v>
      </c>
      <c r="D1951">
        <v>149.86000000000001</v>
      </c>
      <c r="E1951" t="s">
        <v>608</v>
      </c>
    </row>
    <row r="1952" spans="1:5" x14ac:dyDescent="0.3">
      <c r="A1952">
        <v>1951</v>
      </c>
      <c r="B1952">
        <v>651</v>
      </c>
      <c r="C1952" t="s">
        <v>607</v>
      </c>
      <c r="D1952">
        <v>132.56</v>
      </c>
      <c r="E1952" t="s">
        <v>608</v>
      </c>
    </row>
    <row r="1953" spans="1:5" x14ac:dyDescent="0.3">
      <c r="A1953">
        <v>1952</v>
      </c>
      <c r="B1953">
        <v>651</v>
      </c>
      <c r="C1953" t="s">
        <v>615</v>
      </c>
      <c r="D1953">
        <v>344.88</v>
      </c>
      <c r="E1953" t="s">
        <v>616</v>
      </c>
    </row>
    <row r="1954" spans="1:5" x14ac:dyDescent="0.3">
      <c r="A1954">
        <v>1953</v>
      </c>
      <c r="B1954">
        <v>651</v>
      </c>
      <c r="C1954" t="s">
        <v>617</v>
      </c>
      <c r="D1954">
        <v>9.5500000000000007</v>
      </c>
      <c r="E1954" t="s">
        <v>618</v>
      </c>
    </row>
    <row r="1955" spans="1:5" x14ac:dyDescent="0.3">
      <c r="A1955">
        <v>1954</v>
      </c>
      <c r="B1955">
        <v>652</v>
      </c>
      <c r="C1955" t="s">
        <v>617</v>
      </c>
      <c r="D1955">
        <v>6.36</v>
      </c>
      <c r="E1955" t="s">
        <v>618</v>
      </c>
    </row>
    <row r="1956" spans="1:5" x14ac:dyDescent="0.3">
      <c r="A1956">
        <v>1955</v>
      </c>
      <c r="B1956">
        <v>652</v>
      </c>
      <c r="C1956" t="s">
        <v>611</v>
      </c>
      <c r="D1956">
        <v>11.91</v>
      </c>
      <c r="E1956" t="s">
        <v>612</v>
      </c>
    </row>
    <row r="1957" spans="1:5" x14ac:dyDescent="0.3">
      <c r="A1957">
        <v>1956</v>
      </c>
      <c r="B1957">
        <v>652</v>
      </c>
      <c r="C1957" t="s">
        <v>619</v>
      </c>
      <c r="D1957">
        <v>0.61</v>
      </c>
      <c r="E1957" t="s">
        <v>620</v>
      </c>
    </row>
    <row r="1958" spans="1:5" x14ac:dyDescent="0.3">
      <c r="A1958">
        <v>1957</v>
      </c>
      <c r="B1958">
        <v>653</v>
      </c>
      <c r="C1958" t="s">
        <v>611</v>
      </c>
      <c r="D1958">
        <v>11.99</v>
      </c>
      <c r="E1958" t="s">
        <v>612</v>
      </c>
    </row>
    <row r="1959" spans="1:5" x14ac:dyDescent="0.3">
      <c r="A1959">
        <v>1958</v>
      </c>
      <c r="B1959">
        <v>653</v>
      </c>
      <c r="C1959" t="s">
        <v>609</v>
      </c>
      <c r="D1959">
        <v>9.4</v>
      </c>
      <c r="E1959" t="s">
        <v>610</v>
      </c>
    </row>
    <row r="1960" spans="1:5" x14ac:dyDescent="0.3">
      <c r="A1960">
        <v>1959</v>
      </c>
      <c r="B1960">
        <v>653</v>
      </c>
      <c r="C1960" t="s">
        <v>605</v>
      </c>
      <c r="D1960">
        <v>184.6</v>
      </c>
      <c r="E1960" t="s">
        <v>606</v>
      </c>
    </row>
    <row r="1961" spans="1:5" x14ac:dyDescent="0.3">
      <c r="A1961">
        <v>1960</v>
      </c>
      <c r="B1961">
        <v>654</v>
      </c>
      <c r="C1961" t="s">
        <v>621</v>
      </c>
      <c r="D1961">
        <v>6.58</v>
      </c>
      <c r="E1961" t="s">
        <v>622</v>
      </c>
    </row>
    <row r="1962" spans="1:5" x14ac:dyDescent="0.3">
      <c r="A1962">
        <v>1961</v>
      </c>
      <c r="B1962">
        <v>654</v>
      </c>
      <c r="C1962" t="s">
        <v>607</v>
      </c>
      <c r="D1962">
        <v>130.30000000000001</v>
      </c>
      <c r="E1962" t="s">
        <v>608</v>
      </c>
    </row>
    <row r="1963" spans="1:5" x14ac:dyDescent="0.3">
      <c r="A1963">
        <v>1962</v>
      </c>
      <c r="B1963">
        <v>654</v>
      </c>
      <c r="C1963" t="s">
        <v>603</v>
      </c>
      <c r="D1963">
        <v>131.38999999999999</v>
      </c>
      <c r="E1963" t="s">
        <v>604</v>
      </c>
    </row>
    <row r="1964" spans="1:5" x14ac:dyDescent="0.3">
      <c r="A1964">
        <v>1963</v>
      </c>
      <c r="B1964">
        <v>655</v>
      </c>
      <c r="C1964" t="s">
        <v>603</v>
      </c>
      <c r="D1964">
        <v>152.97</v>
      </c>
      <c r="E1964" t="s">
        <v>604</v>
      </c>
    </row>
    <row r="1965" spans="1:5" x14ac:dyDescent="0.3">
      <c r="A1965">
        <v>1964</v>
      </c>
      <c r="B1965">
        <v>655</v>
      </c>
      <c r="C1965" t="s">
        <v>605</v>
      </c>
      <c r="D1965">
        <v>187.33</v>
      </c>
      <c r="E1965" t="s">
        <v>606</v>
      </c>
    </row>
    <row r="1966" spans="1:5" x14ac:dyDescent="0.3">
      <c r="A1966">
        <v>1965</v>
      </c>
      <c r="B1966">
        <v>655</v>
      </c>
      <c r="C1966" t="s">
        <v>607</v>
      </c>
      <c r="D1966">
        <v>147.87</v>
      </c>
      <c r="E1966" t="s">
        <v>608</v>
      </c>
    </row>
    <row r="1967" spans="1:5" x14ac:dyDescent="0.3">
      <c r="A1967">
        <v>1966</v>
      </c>
      <c r="B1967">
        <v>656</v>
      </c>
      <c r="C1967" t="s">
        <v>605</v>
      </c>
      <c r="D1967">
        <v>152.55000000000001</v>
      </c>
      <c r="E1967" t="s">
        <v>606</v>
      </c>
    </row>
    <row r="1968" spans="1:5" x14ac:dyDescent="0.3">
      <c r="A1968">
        <v>1967</v>
      </c>
      <c r="B1968">
        <v>656</v>
      </c>
      <c r="C1968" t="s">
        <v>615</v>
      </c>
      <c r="D1968">
        <v>291.37</v>
      </c>
      <c r="E1968" t="s">
        <v>616</v>
      </c>
    </row>
    <row r="1969" spans="1:5" x14ac:dyDescent="0.3">
      <c r="A1969">
        <v>1968</v>
      </c>
      <c r="B1969">
        <v>656</v>
      </c>
      <c r="C1969" t="s">
        <v>617</v>
      </c>
      <c r="D1969">
        <v>12.78</v>
      </c>
      <c r="E1969" t="s">
        <v>618</v>
      </c>
    </row>
    <row r="1970" spans="1:5" x14ac:dyDescent="0.3">
      <c r="A1970">
        <v>1969</v>
      </c>
      <c r="B1970">
        <v>657</v>
      </c>
      <c r="C1970" t="s">
        <v>613</v>
      </c>
      <c r="D1970">
        <v>5.29</v>
      </c>
      <c r="E1970" t="s">
        <v>614</v>
      </c>
    </row>
    <row r="1971" spans="1:5" x14ac:dyDescent="0.3">
      <c r="A1971">
        <v>1970</v>
      </c>
      <c r="B1971">
        <v>657</v>
      </c>
      <c r="C1971" t="s">
        <v>621</v>
      </c>
      <c r="D1971">
        <v>7.79</v>
      </c>
      <c r="E1971" t="s">
        <v>622</v>
      </c>
    </row>
    <row r="1972" spans="1:5" x14ac:dyDescent="0.3">
      <c r="A1972">
        <v>1971</v>
      </c>
      <c r="B1972">
        <v>657</v>
      </c>
      <c r="C1972" t="s">
        <v>607</v>
      </c>
      <c r="D1972">
        <v>133.36000000000001</v>
      </c>
      <c r="E1972" t="s">
        <v>608</v>
      </c>
    </row>
    <row r="1973" spans="1:5" x14ac:dyDescent="0.3">
      <c r="A1973">
        <v>1972</v>
      </c>
      <c r="B1973">
        <v>658</v>
      </c>
      <c r="C1973" t="s">
        <v>615</v>
      </c>
      <c r="D1973">
        <v>337.49</v>
      </c>
      <c r="E1973" t="s">
        <v>616</v>
      </c>
    </row>
    <row r="1974" spans="1:5" x14ac:dyDescent="0.3">
      <c r="A1974">
        <v>1973</v>
      </c>
      <c r="B1974">
        <v>658</v>
      </c>
      <c r="C1974" t="s">
        <v>621</v>
      </c>
      <c r="D1974">
        <v>6.4</v>
      </c>
      <c r="E1974" t="s">
        <v>622</v>
      </c>
    </row>
    <row r="1975" spans="1:5" x14ac:dyDescent="0.3">
      <c r="A1975">
        <v>1974</v>
      </c>
      <c r="B1975">
        <v>658</v>
      </c>
      <c r="C1975" t="s">
        <v>613</v>
      </c>
      <c r="D1975">
        <v>6.1</v>
      </c>
      <c r="E1975" t="s">
        <v>614</v>
      </c>
    </row>
    <row r="1976" spans="1:5" x14ac:dyDescent="0.3">
      <c r="A1976">
        <v>1975</v>
      </c>
      <c r="B1976">
        <v>659</v>
      </c>
      <c r="C1976" t="s">
        <v>619</v>
      </c>
      <c r="D1976">
        <v>1.97</v>
      </c>
      <c r="E1976" t="s">
        <v>620</v>
      </c>
    </row>
    <row r="1977" spans="1:5" x14ac:dyDescent="0.3">
      <c r="A1977">
        <v>1976</v>
      </c>
      <c r="B1977">
        <v>659</v>
      </c>
      <c r="C1977" t="s">
        <v>609</v>
      </c>
      <c r="D1977">
        <v>15.5</v>
      </c>
      <c r="E1977" t="s">
        <v>610</v>
      </c>
    </row>
    <row r="1978" spans="1:5" x14ac:dyDescent="0.3">
      <c r="A1978">
        <v>1977</v>
      </c>
      <c r="B1978">
        <v>659</v>
      </c>
      <c r="C1978" t="s">
        <v>611</v>
      </c>
      <c r="D1978">
        <v>17.02</v>
      </c>
      <c r="E1978" t="s">
        <v>612</v>
      </c>
    </row>
    <row r="1979" spans="1:5" x14ac:dyDescent="0.3">
      <c r="A1979">
        <v>1978</v>
      </c>
      <c r="B1979">
        <v>660</v>
      </c>
      <c r="C1979" t="s">
        <v>607</v>
      </c>
      <c r="D1979">
        <v>139.27000000000001</v>
      </c>
      <c r="E1979" t="s">
        <v>608</v>
      </c>
    </row>
    <row r="1980" spans="1:5" x14ac:dyDescent="0.3">
      <c r="A1980">
        <v>1979</v>
      </c>
      <c r="B1980">
        <v>660</v>
      </c>
      <c r="C1980" t="s">
        <v>603</v>
      </c>
      <c r="D1980">
        <v>235.64</v>
      </c>
      <c r="E1980" t="s">
        <v>604</v>
      </c>
    </row>
    <row r="1981" spans="1:5" x14ac:dyDescent="0.3">
      <c r="A1981">
        <v>1980</v>
      </c>
      <c r="B1981">
        <v>660</v>
      </c>
      <c r="C1981" t="s">
        <v>605</v>
      </c>
      <c r="D1981">
        <v>297.32</v>
      </c>
      <c r="E1981" t="s">
        <v>606</v>
      </c>
    </row>
    <row r="1982" spans="1:5" x14ac:dyDescent="0.3">
      <c r="A1982">
        <v>1981</v>
      </c>
      <c r="B1982">
        <v>661</v>
      </c>
      <c r="C1982" t="s">
        <v>609</v>
      </c>
      <c r="D1982">
        <v>2.68</v>
      </c>
      <c r="E1982" t="s">
        <v>610</v>
      </c>
    </row>
    <row r="1983" spans="1:5" x14ac:dyDescent="0.3">
      <c r="A1983">
        <v>1982</v>
      </c>
      <c r="B1983">
        <v>661</v>
      </c>
      <c r="C1983" t="s">
        <v>619</v>
      </c>
      <c r="D1983">
        <v>1.67</v>
      </c>
      <c r="E1983" t="s">
        <v>620</v>
      </c>
    </row>
    <row r="1984" spans="1:5" x14ac:dyDescent="0.3">
      <c r="A1984">
        <v>1983</v>
      </c>
      <c r="B1984">
        <v>661</v>
      </c>
      <c r="C1984" t="s">
        <v>605</v>
      </c>
      <c r="D1984">
        <v>311.98</v>
      </c>
      <c r="E1984" t="s">
        <v>606</v>
      </c>
    </row>
    <row r="1985" spans="1:5" x14ac:dyDescent="0.3">
      <c r="A1985">
        <v>1984</v>
      </c>
      <c r="B1985">
        <v>662</v>
      </c>
      <c r="C1985" t="s">
        <v>611</v>
      </c>
      <c r="D1985">
        <v>15.42</v>
      </c>
      <c r="E1985" t="s">
        <v>612</v>
      </c>
    </row>
    <row r="1986" spans="1:5" x14ac:dyDescent="0.3">
      <c r="A1986">
        <v>1985</v>
      </c>
      <c r="B1986">
        <v>662</v>
      </c>
      <c r="C1986" t="s">
        <v>617</v>
      </c>
      <c r="D1986">
        <v>8.9600000000000009</v>
      </c>
      <c r="E1986" t="s">
        <v>618</v>
      </c>
    </row>
    <row r="1987" spans="1:5" x14ac:dyDescent="0.3">
      <c r="A1987">
        <v>1986</v>
      </c>
      <c r="B1987">
        <v>662</v>
      </c>
      <c r="C1987" t="s">
        <v>605</v>
      </c>
      <c r="D1987">
        <v>153.07</v>
      </c>
      <c r="E1987" t="s">
        <v>606</v>
      </c>
    </row>
    <row r="1988" spans="1:5" x14ac:dyDescent="0.3">
      <c r="A1988">
        <v>1987</v>
      </c>
      <c r="B1988">
        <v>663</v>
      </c>
      <c r="C1988" t="s">
        <v>603</v>
      </c>
      <c r="D1988">
        <v>228.35</v>
      </c>
      <c r="E1988" t="s">
        <v>604</v>
      </c>
    </row>
    <row r="1989" spans="1:5" x14ac:dyDescent="0.3">
      <c r="A1989">
        <v>1988</v>
      </c>
      <c r="B1989">
        <v>663</v>
      </c>
      <c r="C1989" t="s">
        <v>605</v>
      </c>
      <c r="D1989">
        <v>180.26</v>
      </c>
      <c r="E1989" t="s">
        <v>606</v>
      </c>
    </row>
    <row r="1990" spans="1:5" x14ac:dyDescent="0.3">
      <c r="A1990">
        <v>1989</v>
      </c>
      <c r="B1990">
        <v>663</v>
      </c>
      <c r="C1990" t="s">
        <v>619</v>
      </c>
      <c r="D1990">
        <v>0.78</v>
      </c>
      <c r="E1990" t="s">
        <v>620</v>
      </c>
    </row>
    <row r="1991" spans="1:5" x14ac:dyDescent="0.3">
      <c r="A1991">
        <v>1990</v>
      </c>
      <c r="B1991">
        <v>664</v>
      </c>
      <c r="C1991" t="s">
        <v>619</v>
      </c>
      <c r="D1991">
        <v>0.82</v>
      </c>
      <c r="E1991" t="s">
        <v>620</v>
      </c>
    </row>
    <row r="1992" spans="1:5" x14ac:dyDescent="0.3">
      <c r="A1992">
        <v>1991</v>
      </c>
      <c r="B1992">
        <v>664</v>
      </c>
      <c r="C1992" t="s">
        <v>621</v>
      </c>
      <c r="D1992">
        <v>5.96</v>
      </c>
      <c r="E1992" t="s">
        <v>622</v>
      </c>
    </row>
    <row r="1993" spans="1:5" x14ac:dyDescent="0.3">
      <c r="A1993">
        <v>1992</v>
      </c>
      <c r="B1993">
        <v>664</v>
      </c>
      <c r="C1993" t="s">
        <v>607</v>
      </c>
      <c r="D1993">
        <v>143.06</v>
      </c>
      <c r="E1993" t="s">
        <v>608</v>
      </c>
    </row>
    <row r="1994" spans="1:5" x14ac:dyDescent="0.3">
      <c r="A1994">
        <v>1993</v>
      </c>
      <c r="B1994">
        <v>665</v>
      </c>
      <c r="C1994" t="s">
        <v>615</v>
      </c>
      <c r="D1994">
        <v>155.77000000000001</v>
      </c>
      <c r="E1994" t="s">
        <v>616</v>
      </c>
    </row>
    <row r="1995" spans="1:5" x14ac:dyDescent="0.3">
      <c r="A1995">
        <v>1994</v>
      </c>
      <c r="B1995">
        <v>665</v>
      </c>
      <c r="C1995" t="s">
        <v>603</v>
      </c>
      <c r="D1995">
        <v>83.48</v>
      </c>
      <c r="E1995" t="s">
        <v>604</v>
      </c>
    </row>
    <row r="1996" spans="1:5" x14ac:dyDescent="0.3">
      <c r="A1996">
        <v>1995</v>
      </c>
      <c r="B1996">
        <v>665</v>
      </c>
      <c r="C1996" t="s">
        <v>613</v>
      </c>
      <c r="D1996">
        <v>4.67</v>
      </c>
      <c r="E1996" t="s">
        <v>614</v>
      </c>
    </row>
    <row r="1997" spans="1:5" x14ac:dyDescent="0.3">
      <c r="A1997">
        <v>1996</v>
      </c>
      <c r="B1997">
        <v>666</v>
      </c>
      <c r="C1997" t="s">
        <v>607</v>
      </c>
      <c r="D1997">
        <v>142.71</v>
      </c>
      <c r="E1997" t="s">
        <v>608</v>
      </c>
    </row>
    <row r="1998" spans="1:5" x14ac:dyDescent="0.3">
      <c r="A1998">
        <v>1997</v>
      </c>
      <c r="B1998">
        <v>666</v>
      </c>
      <c r="C1998" t="s">
        <v>619</v>
      </c>
      <c r="D1998">
        <v>3.41</v>
      </c>
      <c r="E1998" t="s">
        <v>620</v>
      </c>
    </row>
    <row r="1999" spans="1:5" x14ac:dyDescent="0.3">
      <c r="A1999">
        <v>1998</v>
      </c>
      <c r="B1999">
        <v>666</v>
      </c>
      <c r="C1999" t="s">
        <v>613</v>
      </c>
      <c r="D1999">
        <v>5.2</v>
      </c>
      <c r="E1999" t="s">
        <v>614</v>
      </c>
    </row>
    <row r="2000" spans="1:5" x14ac:dyDescent="0.3">
      <c r="A2000">
        <v>1999</v>
      </c>
      <c r="B2000">
        <v>667</v>
      </c>
      <c r="C2000" t="s">
        <v>611</v>
      </c>
      <c r="D2000">
        <v>10.34</v>
      </c>
      <c r="E2000" t="s">
        <v>612</v>
      </c>
    </row>
    <row r="2001" spans="1:5" x14ac:dyDescent="0.3">
      <c r="A2001">
        <v>2000</v>
      </c>
      <c r="B2001">
        <v>667</v>
      </c>
      <c r="C2001" t="s">
        <v>607</v>
      </c>
      <c r="D2001">
        <v>148.58000000000001</v>
      </c>
      <c r="E2001" t="s">
        <v>608</v>
      </c>
    </row>
    <row r="2002" spans="1:5" x14ac:dyDescent="0.3">
      <c r="A2002">
        <v>2001</v>
      </c>
      <c r="B2002">
        <v>667</v>
      </c>
      <c r="C2002" t="s">
        <v>605</v>
      </c>
      <c r="D2002">
        <v>199.98</v>
      </c>
      <c r="E2002" t="s">
        <v>606</v>
      </c>
    </row>
    <row r="2003" spans="1:5" x14ac:dyDescent="0.3">
      <c r="A2003">
        <v>2002</v>
      </c>
      <c r="B2003">
        <v>668</v>
      </c>
      <c r="C2003" t="s">
        <v>615</v>
      </c>
      <c r="D2003">
        <v>308.93</v>
      </c>
      <c r="E2003" t="s">
        <v>616</v>
      </c>
    </row>
    <row r="2004" spans="1:5" x14ac:dyDescent="0.3">
      <c r="A2004">
        <v>2003</v>
      </c>
      <c r="B2004">
        <v>668</v>
      </c>
      <c r="C2004" t="s">
        <v>617</v>
      </c>
      <c r="D2004">
        <v>9.94</v>
      </c>
      <c r="E2004" t="s">
        <v>618</v>
      </c>
    </row>
    <row r="2005" spans="1:5" x14ac:dyDescent="0.3">
      <c r="A2005">
        <v>2004</v>
      </c>
      <c r="B2005">
        <v>668</v>
      </c>
      <c r="C2005" t="s">
        <v>607</v>
      </c>
      <c r="D2005">
        <v>135.63</v>
      </c>
      <c r="E2005" t="s">
        <v>608</v>
      </c>
    </row>
    <row r="2006" spans="1:5" x14ac:dyDescent="0.3">
      <c r="A2006">
        <v>2005</v>
      </c>
      <c r="B2006">
        <v>669</v>
      </c>
      <c r="C2006" t="s">
        <v>621</v>
      </c>
      <c r="D2006">
        <v>11.08</v>
      </c>
      <c r="E2006" t="s">
        <v>622</v>
      </c>
    </row>
    <row r="2007" spans="1:5" x14ac:dyDescent="0.3">
      <c r="A2007">
        <v>2006</v>
      </c>
      <c r="B2007">
        <v>669</v>
      </c>
      <c r="C2007" t="s">
        <v>603</v>
      </c>
      <c r="D2007">
        <v>97.96</v>
      </c>
      <c r="E2007" t="s">
        <v>604</v>
      </c>
    </row>
    <row r="2008" spans="1:5" x14ac:dyDescent="0.3">
      <c r="A2008">
        <v>2007</v>
      </c>
      <c r="B2008">
        <v>669</v>
      </c>
      <c r="C2008" t="s">
        <v>619</v>
      </c>
      <c r="D2008">
        <v>1.32</v>
      </c>
      <c r="E2008" t="s">
        <v>620</v>
      </c>
    </row>
    <row r="2009" spans="1:5" x14ac:dyDescent="0.3">
      <c r="A2009">
        <v>2008</v>
      </c>
      <c r="B2009">
        <v>670</v>
      </c>
      <c r="C2009" t="s">
        <v>615</v>
      </c>
      <c r="D2009">
        <v>313.7</v>
      </c>
      <c r="E2009" t="s">
        <v>616</v>
      </c>
    </row>
    <row r="2010" spans="1:5" x14ac:dyDescent="0.3">
      <c r="A2010">
        <v>2009</v>
      </c>
      <c r="B2010">
        <v>670</v>
      </c>
      <c r="C2010" t="s">
        <v>621</v>
      </c>
      <c r="D2010">
        <v>10.01</v>
      </c>
      <c r="E2010" t="s">
        <v>622</v>
      </c>
    </row>
    <row r="2011" spans="1:5" x14ac:dyDescent="0.3">
      <c r="A2011">
        <v>2010</v>
      </c>
      <c r="B2011">
        <v>670</v>
      </c>
      <c r="C2011" t="s">
        <v>603</v>
      </c>
      <c r="D2011">
        <v>234.2</v>
      </c>
      <c r="E2011" t="s">
        <v>604</v>
      </c>
    </row>
    <row r="2012" spans="1:5" x14ac:dyDescent="0.3">
      <c r="A2012">
        <v>2011</v>
      </c>
      <c r="B2012">
        <v>671</v>
      </c>
      <c r="C2012" t="s">
        <v>619</v>
      </c>
      <c r="D2012">
        <v>1.1599999999999999</v>
      </c>
      <c r="E2012" t="s">
        <v>620</v>
      </c>
    </row>
    <row r="2013" spans="1:5" x14ac:dyDescent="0.3">
      <c r="A2013">
        <v>2012</v>
      </c>
      <c r="B2013">
        <v>671</v>
      </c>
      <c r="C2013" t="s">
        <v>605</v>
      </c>
      <c r="D2013">
        <v>162.25</v>
      </c>
      <c r="E2013" t="s">
        <v>606</v>
      </c>
    </row>
    <row r="2014" spans="1:5" x14ac:dyDescent="0.3">
      <c r="A2014">
        <v>2013</v>
      </c>
      <c r="B2014">
        <v>671</v>
      </c>
      <c r="C2014" t="s">
        <v>613</v>
      </c>
      <c r="D2014">
        <v>4.28</v>
      </c>
      <c r="E2014" t="s">
        <v>614</v>
      </c>
    </row>
    <row r="2015" spans="1:5" x14ac:dyDescent="0.3">
      <c r="A2015">
        <v>2014</v>
      </c>
      <c r="B2015">
        <v>672</v>
      </c>
      <c r="C2015" t="s">
        <v>615</v>
      </c>
      <c r="D2015">
        <v>249</v>
      </c>
      <c r="E2015" t="s">
        <v>616</v>
      </c>
    </row>
    <row r="2016" spans="1:5" x14ac:dyDescent="0.3">
      <c r="A2016">
        <v>2015</v>
      </c>
      <c r="B2016">
        <v>672</v>
      </c>
      <c r="C2016" t="s">
        <v>607</v>
      </c>
      <c r="D2016">
        <v>134.27000000000001</v>
      </c>
      <c r="E2016" t="s">
        <v>608</v>
      </c>
    </row>
    <row r="2017" spans="1:5" x14ac:dyDescent="0.3">
      <c r="A2017">
        <v>2016</v>
      </c>
      <c r="B2017">
        <v>672</v>
      </c>
      <c r="C2017" t="s">
        <v>605</v>
      </c>
      <c r="D2017">
        <v>197.36</v>
      </c>
      <c r="E2017" t="s">
        <v>606</v>
      </c>
    </row>
    <row r="2018" spans="1:5" x14ac:dyDescent="0.3">
      <c r="A2018">
        <v>2017</v>
      </c>
      <c r="B2018">
        <v>673</v>
      </c>
      <c r="C2018" t="s">
        <v>613</v>
      </c>
      <c r="D2018">
        <v>6.06</v>
      </c>
      <c r="E2018" t="s">
        <v>614</v>
      </c>
    </row>
    <row r="2019" spans="1:5" x14ac:dyDescent="0.3">
      <c r="A2019">
        <v>2018</v>
      </c>
      <c r="B2019">
        <v>673</v>
      </c>
      <c r="C2019" t="s">
        <v>603</v>
      </c>
      <c r="D2019">
        <v>143.02000000000001</v>
      </c>
      <c r="E2019" t="s">
        <v>604</v>
      </c>
    </row>
    <row r="2020" spans="1:5" x14ac:dyDescent="0.3">
      <c r="A2020">
        <v>2019</v>
      </c>
      <c r="B2020">
        <v>673</v>
      </c>
      <c r="C2020" t="s">
        <v>617</v>
      </c>
      <c r="D2020">
        <v>5.13</v>
      </c>
      <c r="E2020" t="s">
        <v>618</v>
      </c>
    </row>
    <row r="2021" spans="1:5" x14ac:dyDescent="0.3">
      <c r="A2021">
        <v>2020</v>
      </c>
      <c r="B2021">
        <v>674</v>
      </c>
      <c r="C2021" t="s">
        <v>609</v>
      </c>
      <c r="D2021">
        <v>16.14</v>
      </c>
      <c r="E2021" t="s">
        <v>610</v>
      </c>
    </row>
    <row r="2022" spans="1:5" x14ac:dyDescent="0.3">
      <c r="A2022">
        <v>2021</v>
      </c>
      <c r="B2022">
        <v>674</v>
      </c>
      <c r="C2022" t="s">
        <v>611</v>
      </c>
      <c r="D2022">
        <v>10.64</v>
      </c>
      <c r="E2022" t="s">
        <v>612</v>
      </c>
    </row>
    <row r="2023" spans="1:5" x14ac:dyDescent="0.3">
      <c r="A2023">
        <v>2022</v>
      </c>
      <c r="B2023">
        <v>674</v>
      </c>
      <c r="C2023" t="s">
        <v>613</v>
      </c>
      <c r="D2023">
        <v>5.29</v>
      </c>
      <c r="E2023" t="s">
        <v>614</v>
      </c>
    </row>
    <row r="2024" spans="1:5" x14ac:dyDescent="0.3">
      <c r="A2024">
        <v>2023</v>
      </c>
      <c r="B2024">
        <v>675</v>
      </c>
      <c r="C2024" t="s">
        <v>607</v>
      </c>
      <c r="D2024">
        <v>135.02000000000001</v>
      </c>
      <c r="E2024" t="s">
        <v>608</v>
      </c>
    </row>
    <row r="2025" spans="1:5" x14ac:dyDescent="0.3">
      <c r="A2025">
        <v>2024</v>
      </c>
      <c r="B2025">
        <v>675</v>
      </c>
      <c r="C2025" t="s">
        <v>603</v>
      </c>
      <c r="D2025">
        <v>171.32</v>
      </c>
      <c r="E2025" t="s">
        <v>604</v>
      </c>
    </row>
    <row r="2026" spans="1:5" x14ac:dyDescent="0.3">
      <c r="A2026">
        <v>2025</v>
      </c>
      <c r="B2026">
        <v>675</v>
      </c>
      <c r="C2026" t="s">
        <v>605</v>
      </c>
      <c r="D2026">
        <v>196.8</v>
      </c>
      <c r="E2026" t="s">
        <v>606</v>
      </c>
    </row>
    <row r="2027" spans="1:5" x14ac:dyDescent="0.3">
      <c r="A2027">
        <v>2026</v>
      </c>
      <c r="B2027">
        <v>676</v>
      </c>
      <c r="C2027" t="s">
        <v>613</v>
      </c>
      <c r="D2027">
        <v>5.0199999999999996</v>
      </c>
      <c r="E2027" t="s">
        <v>614</v>
      </c>
    </row>
    <row r="2028" spans="1:5" x14ac:dyDescent="0.3">
      <c r="A2028">
        <v>2027</v>
      </c>
      <c r="B2028">
        <v>676</v>
      </c>
      <c r="C2028" t="s">
        <v>603</v>
      </c>
      <c r="D2028">
        <v>188.99</v>
      </c>
      <c r="E2028" t="s">
        <v>604</v>
      </c>
    </row>
    <row r="2029" spans="1:5" x14ac:dyDescent="0.3">
      <c r="A2029">
        <v>2028</v>
      </c>
      <c r="B2029">
        <v>676</v>
      </c>
      <c r="C2029" t="s">
        <v>621</v>
      </c>
      <c r="D2029">
        <v>7.38</v>
      </c>
      <c r="E2029" t="s">
        <v>622</v>
      </c>
    </row>
    <row r="2030" spans="1:5" x14ac:dyDescent="0.3">
      <c r="A2030">
        <v>2029</v>
      </c>
      <c r="B2030">
        <v>677</v>
      </c>
      <c r="C2030" t="s">
        <v>603</v>
      </c>
      <c r="D2030">
        <v>112.85</v>
      </c>
      <c r="E2030" t="s">
        <v>604</v>
      </c>
    </row>
    <row r="2031" spans="1:5" x14ac:dyDescent="0.3">
      <c r="A2031">
        <v>2030</v>
      </c>
      <c r="B2031">
        <v>677</v>
      </c>
      <c r="C2031" t="s">
        <v>617</v>
      </c>
      <c r="D2031">
        <v>11.24</v>
      </c>
      <c r="E2031" t="s">
        <v>618</v>
      </c>
    </row>
    <row r="2032" spans="1:5" x14ac:dyDescent="0.3">
      <c r="A2032">
        <v>2031</v>
      </c>
      <c r="B2032">
        <v>677</v>
      </c>
      <c r="C2032" t="s">
        <v>607</v>
      </c>
      <c r="D2032">
        <v>141.28</v>
      </c>
      <c r="E2032" t="s">
        <v>608</v>
      </c>
    </row>
    <row r="2033" spans="1:5" x14ac:dyDescent="0.3">
      <c r="A2033">
        <v>2032</v>
      </c>
      <c r="B2033">
        <v>678</v>
      </c>
      <c r="C2033" t="s">
        <v>613</v>
      </c>
      <c r="D2033">
        <v>5.46</v>
      </c>
      <c r="E2033" t="s">
        <v>614</v>
      </c>
    </row>
    <row r="2034" spans="1:5" x14ac:dyDescent="0.3">
      <c r="A2034">
        <v>2033</v>
      </c>
      <c r="B2034">
        <v>678</v>
      </c>
      <c r="C2034" t="s">
        <v>609</v>
      </c>
      <c r="D2034">
        <v>14.27</v>
      </c>
      <c r="E2034" t="s">
        <v>610</v>
      </c>
    </row>
    <row r="2035" spans="1:5" x14ac:dyDescent="0.3">
      <c r="A2035">
        <v>2034</v>
      </c>
      <c r="B2035">
        <v>678</v>
      </c>
      <c r="C2035" t="s">
        <v>615</v>
      </c>
      <c r="D2035">
        <v>395.46</v>
      </c>
      <c r="E2035" t="s">
        <v>616</v>
      </c>
    </row>
    <row r="2036" spans="1:5" x14ac:dyDescent="0.3">
      <c r="A2036">
        <v>2035</v>
      </c>
      <c r="B2036">
        <v>679</v>
      </c>
      <c r="C2036" t="s">
        <v>615</v>
      </c>
      <c r="D2036">
        <v>443.26</v>
      </c>
      <c r="E2036" t="s">
        <v>616</v>
      </c>
    </row>
    <row r="2037" spans="1:5" x14ac:dyDescent="0.3">
      <c r="A2037">
        <v>2036</v>
      </c>
      <c r="B2037">
        <v>679</v>
      </c>
      <c r="C2037" t="s">
        <v>611</v>
      </c>
      <c r="D2037">
        <v>12.58</v>
      </c>
      <c r="E2037" t="s">
        <v>612</v>
      </c>
    </row>
    <row r="2038" spans="1:5" x14ac:dyDescent="0.3">
      <c r="A2038">
        <v>2037</v>
      </c>
      <c r="B2038">
        <v>679</v>
      </c>
      <c r="C2038" t="s">
        <v>605</v>
      </c>
      <c r="D2038">
        <v>196.69</v>
      </c>
      <c r="E2038" t="s">
        <v>606</v>
      </c>
    </row>
    <row r="2039" spans="1:5" x14ac:dyDescent="0.3">
      <c r="A2039">
        <v>2038</v>
      </c>
      <c r="B2039">
        <v>680</v>
      </c>
      <c r="C2039" t="s">
        <v>611</v>
      </c>
      <c r="D2039">
        <v>10.54</v>
      </c>
      <c r="E2039" t="s">
        <v>612</v>
      </c>
    </row>
    <row r="2040" spans="1:5" x14ac:dyDescent="0.3">
      <c r="A2040">
        <v>2039</v>
      </c>
      <c r="B2040">
        <v>680</v>
      </c>
      <c r="C2040" t="s">
        <v>605</v>
      </c>
      <c r="D2040">
        <v>306.83999999999997</v>
      </c>
      <c r="E2040" t="s">
        <v>606</v>
      </c>
    </row>
    <row r="2041" spans="1:5" x14ac:dyDescent="0.3">
      <c r="A2041">
        <v>2040</v>
      </c>
      <c r="B2041">
        <v>680</v>
      </c>
      <c r="C2041" t="s">
        <v>603</v>
      </c>
      <c r="D2041">
        <v>174.18</v>
      </c>
      <c r="E2041" t="s">
        <v>604</v>
      </c>
    </row>
    <row r="2042" spans="1:5" x14ac:dyDescent="0.3">
      <c r="A2042">
        <v>2041</v>
      </c>
      <c r="B2042">
        <v>681</v>
      </c>
      <c r="C2042" t="s">
        <v>619</v>
      </c>
      <c r="D2042">
        <v>2.02</v>
      </c>
      <c r="E2042" t="s">
        <v>620</v>
      </c>
    </row>
    <row r="2043" spans="1:5" x14ac:dyDescent="0.3">
      <c r="A2043">
        <v>2042</v>
      </c>
      <c r="B2043">
        <v>681</v>
      </c>
      <c r="C2043" t="s">
        <v>609</v>
      </c>
      <c r="D2043">
        <v>9.35</v>
      </c>
      <c r="E2043" t="s">
        <v>610</v>
      </c>
    </row>
    <row r="2044" spans="1:5" x14ac:dyDescent="0.3">
      <c r="A2044">
        <v>2043</v>
      </c>
      <c r="B2044">
        <v>681</v>
      </c>
      <c r="C2044" t="s">
        <v>613</v>
      </c>
      <c r="D2044">
        <v>2.94</v>
      </c>
      <c r="E2044" t="s">
        <v>614</v>
      </c>
    </row>
    <row r="2045" spans="1:5" x14ac:dyDescent="0.3">
      <c r="A2045">
        <v>2044</v>
      </c>
      <c r="B2045">
        <v>682</v>
      </c>
      <c r="C2045" t="s">
        <v>613</v>
      </c>
      <c r="D2045">
        <v>2.97</v>
      </c>
      <c r="E2045" t="s">
        <v>614</v>
      </c>
    </row>
    <row r="2046" spans="1:5" x14ac:dyDescent="0.3">
      <c r="A2046">
        <v>2045</v>
      </c>
      <c r="B2046">
        <v>682</v>
      </c>
      <c r="C2046" t="s">
        <v>621</v>
      </c>
      <c r="D2046">
        <v>8.7899999999999991</v>
      </c>
      <c r="E2046" t="s">
        <v>622</v>
      </c>
    </row>
    <row r="2047" spans="1:5" x14ac:dyDescent="0.3">
      <c r="A2047">
        <v>2046</v>
      </c>
      <c r="B2047">
        <v>682</v>
      </c>
      <c r="C2047" t="s">
        <v>615</v>
      </c>
      <c r="D2047">
        <v>229.25</v>
      </c>
      <c r="E2047" t="s">
        <v>616</v>
      </c>
    </row>
    <row r="2048" spans="1:5" x14ac:dyDescent="0.3">
      <c r="A2048">
        <v>2047</v>
      </c>
      <c r="B2048">
        <v>683</v>
      </c>
      <c r="C2048" t="s">
        <v>607</v>
      </c>
      <c r="D2048">
        <v>144.87</v>
      </c>
      <c r="E2048" t="s">
        <v>608</v>
      </c>
    </row>
    <row r="2049" spans="1:5" x14ac:dyDescent="0.3">
      <c r="A2049">
        <v>2048</v>
      </c>
      <c r="B2049">
        <v>683</v>
      </c>
      <c r="C2049" t="s">
        <v>615</v>
      </c>
      <c r="D2049">
        <v>108.24</v>
      </c>
      <c r="E2049" t="s">
        <v>616</v>
      </c>
    </row>
    <row r="2050" spans="1:5" x14ac:dyDescent="0.3">
      <c r="A2050">
        <v>2049</v>
      </c>
      <c r="B2050">
        <v>683</v>
      </c>
      <c r="C2050" t="s">
        <v>617</v>
      </c>
      <c r="D2050">
        <v>6.47</v>
      </c>
      <c r="E2050" t="s">
        <v>618</v>
      </c>
    </row>
    <row r="2051" spans="1:5" x14ac:dyDescent="0.3">
      <c r="A2051">
        <v>2050</v>
      </c>
      <c r="B2051">
        <v>684</v>
      </c>
      <c r="C2051" t="s">
        <v>617</v>
      </c>
      <c r="D2051">
        <v>3.23</v>
      </c>
      <c r="E2051" t="s">
        <v>618</v>
      </c>
    </row>
    <row r="2052" spans="1:5" x14ac:dyDescent="0.3">
      <c r="A2052">
        <v>2051</v>
      </c>
      <c r="B2052">
        <v>684</v>
      </c>
      <c r="C2052" t="s">
        <v>615</v>
      </c>
      <c r="D2052">
        <v>213.62</v>
      </c>
      <c r="E2052" t="s">
        <v>616</v>
      </c>
    </row>
    <row r="2053" spans="1:5" x14ac:dyDescent="0.3">
      <c r="A2053">
        <v>2052</v>
      </c>
      <c r="B2053">
        <v>684</v>
      </c>
      <c r="C2053" t="s">
        <v>607</v>
      </c>
      <c r="D2053">
        <v>141.99</v>
      </c>
      <c r="E2053" t="s">
        <v>608</v>
      </c>
    </row>
    <row r="2054" spans="1:5" x14ac:dyDescent="0.3">
      <c r="A2054">
        <v>2053</v>
      </c>
      <c r="B2054">
        <v>685</v>
      </c>
      <c r="C2054" t="s">
        <v>621</v>
      </c>
      <c r="D2054">
        <v>9.86</v>
      </c>
      <c r="E2054" t="s">
        <v>622</v>
      </c>
    </row>
    <row r="2055" spans="1:5" x14ac:dyDescent="0.3">
      <c r="A2055">
        <v>2054</v>
      </c>
      <c r="B2055">
        <v>685</v>
      </c>
      <c r="C2055" t="s">
        <v>611</v>
      </c>
      <c r="D2055">
        <v>12.58</v>
      </c>
      <c r="E2055" t="s">
        <v>612</v>
      </c>
    </row>
    <row r="2056" spans="1:5" x14ac:dyDescent="0.3">
      <c r="A2056">
        <v>2055</v>
      </c>
      <c r="B2056">
        <v>685</v>
      </c>
      <c r="C2056" t="s">
        <v>615</v>
      </c>
      <c r="D2056">
        <v>238.68</v>
      </c>
      <c r="E2056" t="s">
        <v>616</v>
      </c>
    </row>
    <row r="2057" spans="1:5" x14ac:dyDescent="0.3">
      <c r="A2057">
        <v>2056</v>
      </c>
      <c r="B2057">
        <v>686</v>
      </c>
      <c r="C2057" t="s">
        <v>605</v>
      </c>
      <c r="D2057">
        <v>145.21</v>
      </c>
      <c r="E2057" t="s">
        <v>606</v>
      </c>
    </row>
    <row r="2058" spans="1:5" x14ac:dyDescent="0.3">
      <c r="A2058">
        <v>2057</v>
      </c>
      <c r="B2058">
        <v>686</v>
      </c>
      <c r="C2058" t="s">
        <v>611</v>
      </c>
      <c r="D2058">
        <v>8.52</v>
      </c>
      <c r="E2058" t="s">
        <v>612</v>
      </c>
    </row>
    <row r="2059" spans="1:5" x14ac:dyDescent="0.3">
      <c r="A2059">
        <v>2058</v>
      </c>
      <c r="B2059">
        <v>686</v>
      </c>
      <c r="C2059" t="s">
        <v>609</v>
      </c>
      <c r="D2059">
        <v>9.92</v>
      </c>
      <c r="E2059" t="s">
        <v>610</v>
      </c>
    </row>
    <row r="2060" spans="1:5" x14ac:dyDescent="0.3">
      <c r="A2060">
        <v>2059</v>
      </c>
      <c r="B2060">
        <v>687</v>
      </c>
      <c r="C2060" t="s">
        <v>617</v>
      </c>
      <c r="D2060">
        <v>11.96</v>
      </c>
      <c r="E2060" t="s">
        <v>618</v>
      </c>
    </row>
    <row r="2061" spans="1:5" x14ac:dyDescent="0.3">
      <c r="A2061">
        <v>2060</v>
      </c>
      <c r="B2061">
        <v>687</v>
      </c>
      <c r="C2061" t="s">
        <v>615</v>
      </c>
      <c r="D2061">
        <v>185.44</v>
      </c>
      <c r="E2061" t="s">
        <v>616</v>
      </c>
    </row>
    <row r="2062" spans="1:5" x14ac:dyDescent="0.3">
      <c r="A2062">
        <v>2061</v>
      </c>
      <c r="B2062">
        <v>687</v>
      </c>
      <c r="C2062" t="s">
        <v>613</v>
      </c>
      <c r="D2062">
        <v>5.61</v>
      </c>
      <c r="E2062" t="s">
        <v>614</v>
      </c>
    </row>
    <row r="2063" spans="1:5" x14ac:dyDescent="0.3">
      <c r="A2063">
        <v>2062</v>
      </c>
      <c r="B2063">
        <v>688</v>
      </c>
      <c r="C2063" t="s">
        <v>609</v>
      </c>
      <c r="D2063">
        <v>1.62</v>
      </c>
      <c r="E2063" t="s">
        <v>610</v>
      </c>
    </row>
    <row r="2064" spans="1:5" x14ac:dyDescent="0.3">
      <c r="A2064">
        <v>2063</v>
      </c>
      <c r="B2064">
        <v>688</v>
      </c>
      <c r="C2064" t="s">
        <v>613</v>
      </c>
      <c r="D2064">
        <v>4.07</v>
      </c>
      <c r="E2064" t="s">
        <v>614</v>
      </c>
    </row>
    <row r="2065" spans="1:5" x14ac:dyDescent="0.3">
      <c r="A2065">
        <v>2064</v>
      </c>
      <c r="B2065">
        <v>688</v>
      </c>
      <c r="C2065" t="s">
        <v>603</v>
      </c>
      <c r="D2065">
        <v>92.15</v>
      </c>
      <c r="E2065" t="s">
        <v>604</v>
      </c>
    </row>
    <row r="2066" spans="1:5" x14ac:dyDescent="0.3">
      <c r="A2066">
        <v>2065</v>
      </c>
      <c r="B2066">
        <v>689</v>
      </c>
      <c r="C2066" t="s">
        <v>611</v>
      </c>
      <c r="D2066">
        <v>10.55</v>
      </c>
      <c r="E2066" t="s">
        <v>612</v>
      </c>
    </row>
    <row r="2067" spans="1:5" x14ac:dyDescent="0.3">
      <c r="A2067">
        <v>2066</v>
      </c>
      <c r="B2067">
        <v>689</v>
      </c>
      <c r="C2067" t="s">
        <v>607</v>
      </c>
      <c r="D2067">
        <v>142.01</v>
      </c>
      <c r="E2067" t="s">
        <v>608</v>
      </c>
    </row>
    <row r="2068" spans="1:5" x14ac:dyDescent="0.3">
      <c r="A2068">
        <v>2067</v>
      </c>
      <c r="B2068">
        <v>689</v>
      </c>
      <c r="C2068" t="s">
        <v>621</v>
      </c>
      <c r="D2068">
        <v>6.42</v>
      </c>
      <c r="E2068" t="s">
        <v>622</v>
      </c>
    </row>
    <row r="2069" spans="1:5" x14ac:dyDescent="0.3">
      <c r="A2069">
        <v>2068</v>
      </c>
      <c r="B2069">
        <v>690</v>
      </c>
      <c r="C2069" t="s">
        <v>607</v>
      </c>
      <c r="D2069">
        <v>148.91</v>
      </c>
      <c r="E2069" t="s">
        <v>608</v>
      </c>
    </row>
    <row r="2070" spans="1:5" x14ac:dyDescent="0.3">
      <c r="A2070">
        <v>2069</v>
      </c>
      <c r="B2070">
        <v>690</v>
      </c>
      <c r="C2070" t="s">
        <v>603</v>
      </c>
      <c r="D2070">
        <v>112.52</v>
      </c>
      <c r="E2070" t="s">
        <v>604</v>
      </c>
    </row>
    <row r="2071" spans="1:5" x14ac:dyDescent="0.3">
      <c r="A2071">
        <v>2070</v>
      </c>
      <c r="B2071">
        <v>690</v>
      </c>
      <c r="C2071" t="s">
        <v>605</v>
      </c>
      <c r="D2071">
        <v>250.58</v>
      </c>
      <c r="E2071" t="s">
        <v>606</v>
      </c>
    </row>
    <row r="2072" spans="1:5" x14ac:dyDescent="0.3">
      <c r="A2072">
        <v>2071</v>
      </c>
      <c r="B2072">
        <v>691</v>
      </c>
      <c r="C2072" t="s">
        <v>611</v>
      </c>
      <c r="D2072">
        <v>15.33</v>
      </c>
      <c r="E2072" t="s">
        <v>612</v>
      </c>
    </row>
    <row r="2073" spans="1:5" x14ac:dyDescent="0.3">
      <c r="A2073">
        <v>2072</v>
      </c>
      <c r="B2073">
        <v>691</v>
      </c>
      <c r="C2073" t="s">
        <v>607</v>
      </c>
      <c r="D2073">
        <v>140.56</v>
      </c>
      <c r="E2073" t="s">
        <v>608</v>
      </c>
    </row>
    <row r="2074" spans="1:5" x14ac:dyDescent="0.3">
      <c r="A2074">
        <v>2073</v>
      </c>
      <c r="B2074">
        <v>691</v>
      </c>
      <c r="C2074" t="s">
        <v>621</v>
      </c>
      <c r="D2074">
        <v>11.96</v>
      </c>
      <c r="E2074" t="s">
        <v>622</v>
      </c>
    </row>
    <row r="2075" spans="1:5" x14ac:dyDescent="0.3">
      <c r="A2075">
        <v>2074</v>
      </c>
      <c r="B2075">
        <v>692</v>
      </c>
      <c r="C2075" t="s">
        <v>621</v>
      </c>
      <c r="D2075">
        <v>9.5500000000000007</v>
      </c>
      <c r="E2075" t="s">
        <v>622</v>
      </c>
    </row>
    <row r="2076" spans="1:5" x14ac:dyDescent="0.3">
      <c r="A2076">
        <v>2075</v>
      </c>
      <c r="B2076">
        <v>692</v>
      </c>
      <c r="C2076" t="s">
        <v>609</v>
      </c>
      <c r="D2076">
        <v>1.07</v>
      </c>
      <c r="E2076" t="s">
        <v>610</v>
      </c>
    </row>
    <row r="2077" spans="1:5" x14ac:dyDescent="0.3">
      <c r="A2077">
        <v>2076</v>
      </c>
      <c r="B2077">
        <v>692</v>
      </c>
      <c r="C2077" t="s">
        <v>619</v>
      </c>
      <c r="D2077">
        <v>2.5099999999999998</v>
      </c>
      <c r="E2077" t="s">
        <v>620</v>
      </c>
    </row>
    <row r="2078" spans="1:5" x14ac:dyDescent="0.3">
      <c r="A2078">
        <v>2077</v>
      </c>
      <c r="B2078">
        <v>693</v>
      </c>
      <c r="C2078" t="s">
        <v>619</v>
      </c>
      <c r="D2078">
        <v>3.11</v>
      </c>
      <c r="E2078" t="s">
        <v>620</v>
      </c>
    </row>
    <row r="2079" spans="1:5" x14ac:dyDescent="0.3">
      <c r="A2079">
        <v>2078</v>
      </c>
      <c r="B2079">
        <v>693</v>
      </c>
      <c r="C2079" t="s">
        <v>607</v>
      </c>
      <c r="D2079">
        <v>145.12</v>
      </c>
      <c r="E2079" t="s">
        <v>608</v>
      </c>
    </row>
    <row r="2080" spans="1:5" x14ac:dyDescent="0.3">
      <c r="A2080">
        <v>2079</v>
      </c>
      <c r="B2080">
        <v>693</v>
      </c>
      <c r="C2080" t="s">
        <v>617</v>
      </c>
      <c r="D2080">
        <v>6.6</v>
      </c>
      <c r="E2080" t="s">
        <v>618</v>
      </c>
    </row>
    <row r="2081" spans="1:5" x14ac:dyDescent="0.3">
      <c r="A2081">
        <v>2080</v>
      </c>
      <c r="B2081">
        <v>694</v>
      </c>
      <c r="C2081" t="s">
        <v>603</v>
      </c>
      <c r="D2081">
        <v>190.47</v>
      </c>
      <c r="E2081" t="s">
        <v>604</v>
      </c>
    </row>
    <row r="2082" spans="1:5" x14ac:dyDescent="0.3">
      <c r="A2082">
        <v>2081</v>
      </c>
      <c r="B2082">
        <v>694</v>
      </c>
      <c r="C2082" t="s">
        <v>607</v>
      </c>
      <c r="D2082">
        <v>134</v>
      </c>
      <c r="E2082" t="s">
        <v>608</v>
      </c>
    </row>
    <row r="2083" spans="1:5" x14ac:dyDescent="0.3">
      <c r="A2083">
        <v>2082</v>
      </c>
      <c r="B2083">
        <v>694</v>
      </c>
      <c r="C2083" t="s">
        <v>605</v>
      </c>
      <c r="D2083">
        <v>201.44</v>
      </c>
      <c r="E2083" t="s">
        <v>606</v>
      </c>
    </row>
    <row r="2084" spans="1:5" x14ac:dyDescent="0.3">
      <c r="A2084">
        <v>2083</v>
      </c>
      <c r="B2084">
        <v>695</v>
      </c>
      <c r="C2084" t="s">
        <v>603</v>
      </c>
      <c r="D2084">
        <v>115.83</v>
      </c>
      <c r="E2084" t="s">
        <v>604</v>
      </c>
    </row>
    <row r="2085" spans="1:5" x14ac:dyDescent="0.3">
      <c r="A2085">
        <v>2084</v>
      </c>
      <c r="B2085">
        <v>695</v>
      </c>
      <c r="C2085" t="s">
        <v>607</v>
      </c>
      <c r="D2085">
        <v>138.16999999999999</v>
      </c>
      <c r="E2085" t="s">
        <v>608</v>
      </c>
    </row>
    <row r="2086" spans="1:5" x14ac:dyDescent="0.3">
      <c r="A2086">
        <v>2085</v>
      </c>
      <c r="B2086">
        <v>695</v>
      </c>
      <c r="C2086" t="s">
        <v>605</v>
      </c>
      <c r="D2086">
        <v>278.05</v>
      </c>
      <c r="E2086" t="s">
        <v>606</v>
      </c>
    </row>
    <row r="2087" spans="1:5" x14ac:dyDescent="0.3">
      <c r="A2087">
        <v>2086</v>
      </c>
      <c r="B2087">
        <v>696</v>
      </c>
      <c r="C2087" t="s">
        <v>615</v>
      </c>
      <c r="D2087">
        <v>178.69</v>
      </c>
      <c r="E2087" t="s">
        <v>616</v>
      </c>
    </row>
    <row r="2088" spans="1:5" x14ac:dyDescent="0.3">
      <c r="A2088">
        <v>2087</v>
      </c>
      <c r="B2088">
        <v>696</v>
      </c>
      <c r="C2088" t="s">
        <v>611</v>
      </c>
      <c r="D2088">
        <v>14.44</v>
      </c>
      <c r="E2088" t="s">
        <v>612</v>
      </c>
    </row>
    <row r="2089" spans="1:5" x14ac:dyDescent="0.3">
      <c r="A2089">
        <v>2088</v>
      </c>
      <c r="B2089">
        <v>696</v>
      </c>
      <c r="C2089" t="s">
        <v>619</v>
      </c>
      <c r="D2089">
        <v>1.27</v>
      </c>
      <c r="E2089" t="s">
        <v>620</v>
      </c>
    </row>
    <row r="2090" spans="1:5" x14ac:dyDescent="0.3">
      <c r="A2090">
        <v>2089</v>
      </c>
      <c r="B2090">
        <v>697</v>
      </c>
      <c r="C2090" t="s">
        <v>621</v>
      </c>
      <c r="D2090">
        <v>8.6999999999999993</v>
      </c>
      <c r="E2090" t="s">
        <v>622</v>
      </c>
    </row>
    <row r="2091" spans="1:5" x14ac:dyDescent="0.3">
      <c r="A2091">
        <v>2090</v>
      </c>
      <c r="B2091">
        <v>697</v>
      </c>
      <c r="C2091" t="s">
        <v>617</v>
      </c>
      <c r="D2091">
        <v>11.25</v>
      </c>
      <c r="E2091" t="s">
        <v>618</v>
      </c>
    </row>
    <row r="2092" spans="1:5" x14ac:dyDescent="0.3">
      <c r="A2092">
        <v>2091</v>
      </c>
      <c r="B2092">
        <v>697</v>
      </c>
      <c r="C2092" t="s">
        <v>613</v>
      </c>
      <c r="D2092">
        <v>3.92</v>
      </c>
      <c r="E2092" t="s">
        <v>614</v>
      </c>
    </row>
    <row r="2093" spans="1:5" x14ac:dyDescent="0.3">
      <c r="A2093">
        <v>2092</v>
      </c>
      <c r="B2093">
        <v>698</v>
      </c>
      <c r="C2093" t="s">
        <v>607</v>
      </c>
      <c r="D2093">
        <v>135.54</v>
      </c>
      <c r="E2093" t="s">
        <v>608</v>
      </c>
    </row>
    <row r="2094" spans="1:5" x14ac:dyDescent="0.3">
      <c r="A2094">
        <v>2093</v>
      </c>
      <c r="B2094">
        <v>698</v>
      </c>
      <c r="C2094" t="s">
        <v>613</v>
      </c>
      <c r="D2094">
        <v>3.89</v>
      </c>
      <c r="E2094" t="s">
        <v>614</v>
      </c>
    </row>
    <row r="2095" spans="1:5" x14ac:dyDescent="0.3">
      <c r="A2095">
        <v>2094</v>
      </c>
      <c r="B2095">
        <v>698</v>
      </c>
      <c r="C2095" t="s">
        <v>603</v>
      </c>
      <c r="D2095">
        <v>217.19</v>
      </c>
      <c r="E2095" t="s">
        <v>604</v>
      </c>
    </row>
    <row r="2096" spans="1:5" x14ac:dyDescent="0.3">
      <c r="A2096">
        <v>2095</v>
      </c>
      <c r="B2096">
        <v>699</v>
      </c>
      <c r="C2096" t="s">
        <v>605</v>
      </c>
      <c r="D2096">
        <v>162.13</v>
      </c>
      <c r="E2096" t="s">
        <v>606</v>
      </c>
    </row>
    <row r="2097" spans="1:5" x14ac:dyDescent="0.3">
      <c r="A2097">
        <v>2096</v>
      </c>
      <c r="B2097">
        <v>699</v>
      </c>
      <c r="C2097" t="s">
        <v>613</v>
      </c>
      <c r="D2097">
        <v>5.17</v>
      </c>
      <c r="E2097" t="s">
        <v>614</v>
      </c>
    </row>
    <row r="2098" spans="1:5" x14ac:dyDescent="0.3">
      <c r="A2098">
        <v>2097</v>
      </c>
      <c r="B2098">
        <v>699</v>
      </c>
      <c r="C2098" t="s">
        <v>609</v>
      </c>
      <c r="D2098">
        <v>13.49</v>
      </c>
      <c r="E2098" t="s">
        <v>610</v>
      </c>
    </row>
    <row r="2099" spans="1:5" x14ac:dyDescent="0.3">
      <c r="A2099">
        <v>2098</v>
      </c>
      <c r="B2099">
        <v>700</v>
      </c>
      <c r="C2099" t="s">
        <v>617</v>
      </c>
      <c r="D2099">
        <v>11.59</v>
      </c>
      <c r="E2099" t="s">
        <v>618</v>
      </c>
    </row>
    <row r="2100" spans="1:5" x14ac:dyDescent="0.3">
      <c r="A2100">
        <v>2099</v>
      </c>
      <c r="B2100">
        <v>700</v>
      </c>
      <c r="C2100" t="s">
        <v>607</v>
      </c>
      <c r="D2100">
        <v>140.57</v>
      </c>
      <c r="E2100" t="s">
        <v>608</v>
      </c>
    </row>
    <row r="2101" spans="1:5" x14ac:dyDescent="0.3">
      <c r="A2101">
        <v>2100</v>
      </c>
      <c r="B2101">
        <v>700</v>
      </c>
      <c r="C2101" t="s">
        <v>603</v>
      </c>
      <c r="D2101">
        <v>79.540000000000006</v>
      </c>
      <c r="E2101" t="s">
        <v>604</v>
      </c>
    </row>
    <row r="2102" spans="1:5" x14ac:dyDescent="0.3">
      <c r="A2102">
        <v>2101</v>
      </c>
      <c r="B2102">
        <v>701</v>
      </c>
      <c r="C2102" t="s">
        <v>613</v>
      </c>
      <c r="D2102">
        <v>3.08</v>
      </c>
      <c r="E2102" t="s">
        <v>614</v>
      </c>
    </row>
    <row r="2103" spans="1:5" x14ac:dyDescent="0.3">
      <c r="A2103">
        <v>2102</v>
      </c>
      <c r="B2103">
        <v>701</v>
      </c>
      <c r="C2103" t="s">
        <v>609</v>
      </c>
      <c r="D2103">
        <v>14.99</v>
      </c>
      <c r="E2103" t="s">
        <v>610</v>
      </c>
    </row>
    <row r="2104" spans="1:5" x14ac:dyDescent="0.3">
      <c r="A2104">
        <v>2103</v>
      </c>
      <c r="B2104">
        <v>701</v>
      </c>
      <c r="C2104" t="s">
        <v>615</v>
      </c>
      <c r="D2104">
        <v>285.36</v>
      </c>
      <c r="E2104" t="s">
        <v>616</v>
      </c>
    </row>
    <row r="2105" spans="1:5" x14ac:dyDescent="0.3">
      <c r="A2105">
        <v>2104</v>
      </c>
      <c r="B2105">
        <v>702</v>
      </c>
      <c r="C2105" t="s">
        <v>617</v>
      </c>
      <c r="D2105">
        <v>8.8699999999999992</v>
      </c>
      <c r="E2105" t="s">
        <v>618</v>
      </c>
    </row>
    <row r="2106" spans="1:5" x14ac:dyDescent="0.3">
      <c r="A2106">
        <v>2105</v>
      </c>
      <c r="B2106">
        <v>702</v>
      </c>
      <c r="C2106" t="s">
        <v>621</v>
      </c>
      <c r="D2106">
        <v>7.74</v>
      </c>
      <c r="E2106" t="s">
        <v>622</v>
      </c>
    </row>
    <row r="2107" spans="1:5" x14ac:dyDescent="0.3">
      <c r="A2107">
        <v>2106</v>
      </c>
      <c r="B2107">
        <v>702</v>
      </c>
      <c r="C2107" t="s">
        <v>615</v>
      </c>
      <c r="D2107">
        <v>154.57</v>
      </c>
      <c r="E2107" t="s">
        <v>616</v>
      </c>
    </row>
    <row r="2108" spans="1:5" x14ac:dyDescent="0.3">
      <c r="A2108">
        <v>2107</v>
      </c>
      <c r="B2108">
        <v>703</v>
      </c>
      <c r="C2108" t="s">
        <v>621</v>
      </c>
      <c r="D2108">
        <v>8.52</v>
      </c>
      <c r="E2108" t="s">
        <v>622</v>
      </c>
    </row>
    <row r="2109" spans="1:5" x14ac:dyDescent="0.3">
      <c r="A2109">
        <v>2108</v>
      </c>
      <c r="B2109">
        <v>703</v>
      </c>
      <c r="C2109" t="s">
        <v>605</v>
      </c>
      <c r="D2109">
        <v>203.08</v>
      </c>
      <c r="E2109" t="s">
        <v>606</v>
      </c>
    </row>
    <row r="2110" spans="1:5" x14ac:dyDescent="0.3">
      <c r="A2110">
        <v>2109</v>
      </c>
      <c r="B2110">
        <v>703</v>
      </c>
      <c r="C2110" t="s">
        <v>615</v>
      </c>
      <c r="D2110">
        <v>367.73</v>
      </c>
      <c r="E2110" t="s">
        <v>616</v>
      </c>
    </row>
    <row r="2111" spans="1:5" x14ac:dyDescent="0.3">
      <c r="A2111">
        <v>2110</v>
      </c>
      <c r="B2111">
        <v>704</v>
      </c>
      <c r="C2111" t="s">
        <v>617</v>
      </c>
      <c r="D2111">
        <v>15.87</v>
      </c>
      <c r="E2111" t="s">
        <v>618</v>
      </c>
    </row>
    <row r="2112" spans="1:5" x14ac:dyDescent="0.3">
      <c r="A2112">
        <v>2111</v>
      </c>
      <c r="B2112">
        <v>704</v>
      </c>
      <c r="C2112" t="s">
        <v>609</v>
      </c>
      <c r="D2112">
        <v>7.57</v>
      </c>
      <c r="E2112" t="s">
        <v>610</v>
      </c>
    </row>
    <row r="2113" spans="1:5" x14ac:dyDescent="0.3">
      <c r="A2113">
        <v>2112</v>
      </c>
      <c r="B2113">
        <v>704</v>
      </c>
      <c r="C2113" t="s">
        <v>613</v>
      </c>
      <c r="D2113">
        <v>4.63</v>
      </c>
      <c r="E2113" t="s">
        <v>614</v>
      </c>
    </row>
    <row r="2114" spans="1:5" x14ac:dyDescent="0.3">
      <c r="A2114">
        <v>2113</v>
      </c>
      <c r="B2114">
        <v>705</v>
      </c>
      <c r="C2114" t="s">
        <v>607</v>
      </c>
      <c r="D2114">
        <v>136.71</v>
      </c>
      <c r="E2114" t="s">
        <v>608</v>
      </c>
    </row>
    <row r="2115" spans="1:5" x14ac:dyDescent="0.3">
      <c r="A2115">
        <v>2114</v>
      </c>
      <c r="B2115">
        <v>705</v>
      </c>
      <c r="C2115" t="s">
        <v>611</v>
      </c>
      <c r="D2115">
        <v>9.2200000000000006</v>
      </c>
      <c r="E2115" t="s">
        <v>612</v>
      </c>
    </row>
    <row r="2116" spans="1:5" x14ac:dyDescent="0.3">
      <c r="A2116">
        <v>2115</v>
      </c>
      <c r="B2116">
        <v>705</v>
      </c>
      <c r="C2116" t="s">
        <v>609</v>
      </c>
      <c r="D2116">
        <v>2.2999999999999998</v>
      </c>
      <c r="E2116" t="s">
        <v>610</v>
      </c>
    </row>
    <row r="2117" spans="1:5" x14ac:dyDescent="0.3">
      <c r="A2117">
        <v>2116</v>
      </c>
      <c r="B2117">
        <v>706</v>
      </c>
      <c r="C2117" t="s">
        <v>617</v>
      </c>
      <c r="D2117">
        <v>12.97</v>
      </c>
      <c r="E2117" t="s">
        <v>618</v>
      </c>
    </row>
    <row r="2118" spans="1:5" x14ac:dyDescent="0.3">
      <c r="A2118">
        <v>2117</v>
      </c>
      <c r="B2118">
        <v>706</v>
      </c>
      <c r="C2118" t="s">
        <v>605</v>
      </c>
      <c r="D2118">
        <v>316.88</v>
      </c>
      <c r="E2118" t="s">
        <v>606</v>
      </c>
    </row>
    <row r="2119" spans="1:5" x14ac:dyDescent="0.3">
      <c r="A2119">
        <v>2118</v>
      </c>
      <c r="B2119">
        <v>706</v>
      </c>
      <c r="C2119" t="s">
        <v>609</v>
      </c>
      <c r="D2119">
        <v>19.579999999999998</v>
      </c>
      <c r="E2119" t="s">
        <v>610</v>
      </c>
    </row>
    <row r="2120" spans="1:5" x14ac:dyDescent="0.3">
      <c r="A2120">
        <v>2119</v>
      </c>
      <c r="B2120">
        <v>707</v>
      </c>
      <c r="C2120" t="s">
        <v>609</v>
      </c>
      <c r="D2120">
        <v>15.05</v>
      </c>
      <c r="E2120" t="s">
        <v>610</v>
      </c>
    </row>
    <row r="2121" spans="1:5" x14ac:dyDescent="0.3">
      <c r="A2121">
        <v>2120</v>
      </c>
      <c r="B2121">
        <v>707</v>
      </c>
      <c r="C2121" t="s">
        <v>607</v>
      </c>
      <c r="D2121">
        <v>137.19999999999999</v>
      </c>
      <c r="E2121" t="s">
        <v>608</v>
      </c>
    </row>
    <row r="2122" spans="1:5" x14ac:dyDescent="0.3">
      <c r="A2122">
        <v>2121</v>
      </c>
      <c r="B2122">
        <v>707</v>
      </c>
      <c r="C2122" t="s">
        <v>615</v>
      </c>
      <c r="D2122">
        <v>309.74</v>
      </c>
      <c r="E2122" t="s">
        <v>616</v>
      </c>
    </row>
    <row r="2123" spans="1:5" x14ac:dyDescent="0.3">
      <c r="A2123">
        <v>2122</v>
      </c>
      <c r="B2123">
        <v>708</v>
      </c>
      <c r="C2123" t="s">
        <v>615</v>
      </c>
      <c r="D2123">
        <v>332.48</v>
      </c>
      <c r="E2123" t="s">
        <v>616</v>
      </c>
    </row>
    <row r="2124" spans="1:5" x14ac:dyDescent="0.3">
      <c r="A2124">
        <v>2123</v>
      </c>
      <c r="B2124">
        <v>708</v>
      </c>
      <c r="C2124" t="s">
        <v>621</v>
      </c>
      <c r="D2124">
        <v>9.49</v>
      </c>
      <c r="E2124" t="s">
        <v>622</v>
      </c>
    </row>
    <row r="2125" spans="1:5" x14ac:dyDescent="0.3">
      <c r="A2125">
        <v>2124</v>
      </c>
      <c r="B2125">
        <v>708</v>
      </c>
      <c r="C2125" t="s">
        <v>611</v>
      </c>
      <c r="D2125">
        <v>13.65</v>
      </c>
      <c r="E2125" t="s">
        <v>612</v>
      </c>
    </row>
    <row r="2126" spans="1:5" x14ac:dyDescent="0.3">
      <c r="A2126">
        <v>2125</v>
      </c>
      <c r="B2126">
        <v>709</v>
      </c>
      <c r="C2126" t="s">
        <v>615</v>
      </c>
      <c r="D2126">
        <v>178.78</v>
      </c>
      <c r="E2126" t="s">
        <v>616</v>
      </c>
    </row>
    <row r="2127" spans="1:5" x14ac:dyDescent="0.3">
      <c r="A2127">
        <v>2126</v>
      </c>
      <c r="B2127">
        <v>709</v>
      </c>
      <c r="C2127" t="s">
        <v>609</v>
      </c>
      <c r="D2127">
        <v>8.14</v>
      </c>
      <c r="E2127" t="s">
        <v>610</v>
      </c>
    </row>
    <row r="2128" spans="1:5" x14ac:dyDescent="0.3">
      <c r="A2128">
        <v>2127</v>
      </c>
      <c r="B2128">
        <v>709</v>
      </c>
      <c r="C2128" t="s">
        <v>607</v>
      </c>
      <c r="D2128">
        <v>144.65</v>
      </c>
      <c r="E2128" t="s">
        <v>608</v>
      </c>
    </row>
    <row r="2129" spans="1:5" x14ac:dyDescent="0.3">
      <c r="A2129">
        <v>2128</v>
      </c>
      <c r="B2129">
        <v>710</v>
      </c>
      <c r="C2129" t="s">
        <v>617</v>
      </c>
      <c r="D2129">
        <v>15.01</v>
      </c>
      <c r="E2129" t="s">
        <v>618</v>
      </c>
    </row>
    <row r="2130" spans="1:5" x14ac:dyDescent="0.3">
      <c r="A2130">
        <v>2129</v>
      </c>
      <c r="B2130">
        <v>710</v>
      </c>
      <c r="C2130" t="s">
        <v>613</v>
      </c>
      <c r="D2130">
        <v>3.4</v>
      </c>
      <c r="E2130" t="s">
        <v>614</v>
      </c>
    </row>
    <row r="2131" spans="1:5" x14ac:dyDescent="0.3">
      <c r="A2131">
        <v>2130</v>
      </c>
      <c r="B2131">
        <v>710</v>
      </c>
      <c r="C2131" t="s">
        <v>605</v>
      </c>
      <c r="D2131">
        <v>177.68</v>
      </c>
      <c r="E2131" t="s">
        <v>606</v>
      </c>
    </row>
    <row r="2132" spans="1:5" x14ac:dyDescent="0.3">
      <c r="A2132">
        <v>2131</v>
      </c>
      <c r="B2132">
        <v>711</v>
      </c>
      <c r="C2132" t="s">
        <v>609</v>
      </c>
      <c r="D2132">
        <v>13.16</v>
      </c>
      <c r="E2132" t="s">
        <v>610</v>
      </c>
    </row>
    <row r="2133" spans="1:5" x14ac:dyDescent="0.3">
      <c r="A2133">
        <v>2132</v>
      </c>
      <c r="B2133">
        <v>711</v>
      </c>
      <c r="C2133" t="s">
        <v>615</v>
      </c>
      <c r="D2133">
        <v>339.17</v>
      </c>
      <c r="E2133" t="s">
        <v>616</v>
      </c>
    </row>
    <row r="2134" spans="1:5" x14ac:dyDescent="0.3">
      <c r="A2134">
        <v>2133</v>
      </c>
      <c r="B2134">
        <v>711</v>
      </c>
      <c r="C2134" t="s">
        <v>613</v>
      </c>
      <c r="D2134">
        <v>3.13</v>
      </c>
      <c r="E2134" t="s">
        <v>614</v>
      </c>
    </row>
    <row r="2135" spans="1:5" x14ac:dyDescent="0.3">
      <c r="A2135">
        <v>2134</v>
      </c>
      <c r="B2135">
        <v>712</v>
      </c>
      <c r="C2135" t="s">
        <v>621</v>
      </c>
      <c r="D2135">
        <v>7.28</v>
      </c>
      <c r="E2135" t="s">
        <v>622</v>
      </c>
    </row>
    <row r="2136" spans="1:5" x14ac:dyDescent="0.3">
      <c r="A2136">
        <v>2135</v>
      </c>
      <c r="B2136">
        <v>712</v>
      </c>
      <c r="C2136" t="s">
        <v>607</v>
      </c>
      <c r="D2136">
        <v>142</v>
      </c>
      <c r="E2136" t="s">
        <v>608</v>
      </c>
    </row>
    <row r="2137" spans="1:5" x14ac:dyDescent="0.3">
      <c r="A2137">
        <v>2136</v>
      </c>
      <c r="B2137">
        <v>712</v>
      </c>
      <c r="C2137" t="s">
        <v>609</v>
      </c>
      <c r="D2137">
        <v>12.42</v>
      </c>
      <c r="E2137" t="s">
        <v>610</v>
      </c>
    </row>
    <row r="2138" spans="1:5" x14ac:dyDescent="0.3">
      <c r="A2138">
        <v>2137</v>
      </c>
      <c r="B2138">
        <v>713</v>
      </c>
      <c r="C2138" t="s">
        <v>605</v>
      </c>
      <c r="D2138">
        <v>239.91</v>
      </c>
      <c r="E2138" t="s">
        <v>606</v>
      </c>
    </row>
    <row r="2139" spans="1:5" x14ac:dyDescent="0.3">
      <c r="A2139">
        <v>2138</v>
      </c>
      <c r="B2139">
        <v>713</v>
      </c>
      <c r="C2139" t="s">
        <v>609</v>
      </c>
      <c r="D2139">
        <v>14.67</v>
      </c>
      <c r="E2139" t="s">
        <v>610</v>
      </c>
    </row>
    <row r="2140" spans="1:5" x14ac:dyDescent="0.3">
      <c r="A2140">
        <v>2139</v>
      </c>
      <c r="B2140">
        <v>713</v>
      </c>
      <c r="C2140" t="s">
        <v>611</v>
      </c>
      <c r="D2140">
        <v>16.93</v>
      </c>
      <c r="E2140" t="s">
        <v>612</v>
      </c>
    </row>
    <row r="2141" spans="1:5" x14ac:dyDescent="0.3">
      <c r="A2141">
        <v>2140</v>
      </c>
      <c r="B2141">
        <v>714</v>
      </c>
      <c r="C2141" t="s">
        <v>615</v>
      </c>
      <c r="D2141">
        <v>299.26</v>
      </c>
      <c r="E2141" t="s">
        <v>616</v>
      </c>
    </row>
    <row r="2142" spans="1:5" x14ac:dyDescent="0.3">
      <c r="A2142">
        <v>2141</v>
      </c>
      <c r="B2142">
        <v>714</v>
      </c>
      <c r="C2142" t="s">
        <v>619</v>
      </c>
      <c r="D2142">
        <v>2.15</v>
      </c>
      <c r="E2142" t="s">
        <v>620</v>
      </c>
    </row>
    <row r="2143" spans="1:5" x14ac:dyDescent="0.3">
      <c r="A2143">
        <v>2142</v>
      </c>
      <c r="B2143">
        <v>714</v>
      </c>
      <c r="C2143" t="s">
        <v>605</v>
      </c>
      <c r="D2143">
        <v>138.19</v>
      </c>
      <c r="E2143" t="s">
        <v>606</v>
      </c>
    </row>
    <row r="2144" spans="1:5" x14ac:dyDescent="0.3">
      <c r="A2144">
        <v>2143</v>
      </c>
      <c r="B2144">
        <v>715</v>
      </c>
      <c r="C2144" t="s">
        <v>615</v>
      </c>
      <c r="D2144">
        <v>293.22000000000003</v>
      </c>
      <c r="E2144" t="s">
        <v>616</v>
      </c>
    </row>
    <row r="2145" spans="1:5" x14ac:dyDescent="0.3">
      <c r="A2145">
        <v>2144</v>
      </c>
      <c r="B2145">
        <v>715</v>
      </c>
      <c r="C2145" t="s">
        <v>603</v>
      </c>
      <c r="D2145">
        <v>224.74</v>
      </c>
      <c r="E2145" t="s">
        <v>604</v>
      </c>
    </row>
    <row r="2146" spans="1:5" x14ac:dyDescent="0.3">
      <c r="A2146">
        <v>2145</v>
      </c>
      <c r="B2146">
        <v>715</v>
      </c>
      <c r="C2146" t="s">
        <v>607</v>
      </c>
      <c r="D2146">
        <v>146.71</v>
      </c>
      <c r="E2146" t="s">
        <v>608</v>
      </c>
    </row>
    <row r="2147" spans="1:5" x14ac:dyDescent="0.3">
      <c r="A2147">
        <v>2146</v>
      </c>
      <c r="B2147">
        <v>716</v>
      </c>
      <c r="C2147" t="s">
        <v>605</v>
      </c>
      <c r="D2147">
        <v>264.61</v>
      </c>
      <c r="E2147" t="s">
        <v>606</v>
      </c>
    </row>
    <row r="2148" spans="1:5" x14ac:dyDescent="0.3">
      <c r="A2148">
        <v>2147</v>
      </c>
      <c r="B2148">
        <v>716</v>
      </c>
      <c r="C2148" t="s">
        <v>613</v>
      </c>
      <c r="D2148">
        <v>3.61</v>
      </c>
      <c r="E2148" t="s">
        <v>614</v>
      </c>
    </row>
    <row r="2149" spans="1:5" x14ac:dyDescent="0.3">
      <c r="A2149">
        <v>2148</v>
      </c>
      <c r="B2149">
        <v>716</v>
      </c>
      <c r="C2149" t="s">
        <v>615</v>
      </c>
      <c r="D2149">
        <v>265.26</v>
      </c>
      <c r="E2149" t="s">
        <v>616</v>
      </c>
    </row>
    <row r="2150" spans="1:5" x14ac:dyDescent="0.3">
      <c r="A2150">
        <v>2149</v>
      </c>
      <c r="B2150">
        <v>717</v>
      </c>
      <c r="C2150" t="s">
        <v>619</v>
      </c>
      <c r="D2150">
        <v>1.53</v>
      </c>
      <c r="E2150" t="s">
        <v>620</v>
      </c>
    </row>
    <row r="2151" spans="1:5" x14ac:dyDescent="0.3">
      <c r="A2151">
        <v>2150</v>
      </c>
      <c r="B2151">
        <v>717</v>
      </c>
      <c r="C2151" t="s">
        <v>615</v>
      </c>
      <c r="D2151">
        <v>413.06</v>
      </c>
      <c r="E2151" t="s">
        <v>616</v>
      </c>
    </row>
    <row r="2152" spans="1:5" x14ac:dyDescent="0.3">
      <c r="A2152">
        <v>2151</v>
      </c>
      <c r="B2152">
        <v>717</v>
      </c>
      <c r="C2152" t="s">
        <v>605</v>
      </c>
      <c r="D2152">
        <v>161.4</v>
      </c>
      <c r="E2152" t="s">
        <v>606</v>
      </c>
    </row>
    <row r="2153" spans="1:5" x14ac:dyDescent="0.3">
      <c r="A2153">
        <v>2152</v>
      </c>
      <c r="B2153">
        <v>718</v>
      </c>
      <c r="C2153" t="s">
        <v>613</v>
      </c>
      <c r="D2153">
        <v>5.12</v>
      </c>
      <c r="E2153" t="s">
        <v>614</v>
      </c>
    </row>
    <row r="2154" spans="1:5" x14ac:dyDescent="0.3">
      <c r="A2154">
        <v>2153</v>
      </c>
      <c r="B2154">
        <v>718</v>
      </c>
      <c r="C2154" t="s">
        <v>621</v>
      </c>
      <c r="D2154">
        <v>7.55</v>
      </c>
      <c r="E2154" t="s">
        <v>622</v>
      </c>
    </row>
    <row r="2155" spans="1:5" x14ac:dyDescent="0.3">
      <c r="A2155">
        <v>2154</v>
      </c>
      <c r="B2155">
        <v>718</v>
      </c>
      <c r="C2155" t="s">
        <v>619</v>
      </c>
      <c r="D2155">
        <v>1.35</v>
      </c>
      <c r="E2155" t="s">
        <v>620</v>
      </c>
    </row>
    <row r="2156" spans="1:5" x14ac:dyDescent="0.3">
      <c r="A2156">
        <v>2155</v>
      </c>
      <c r="B2156">
        <v>719</v>
      </c>
      <c r="C2156" t="s">
        <v>605</v>
      </c>
      <c r="D2156">
        <v>280.74</v>
      </c>
      <c r="E2156" t="s">
        <v>606</v>
      </c>
    </row>
    <row r="2157" spans="1:5" x14ac:dyDescent="0.3">
      <c r="A2157">
        <v>2156</v>
      </c>
      <c r="B2157">
        <v>719</v>
      </c>
      <c r="C2157" t="s">
        <v>613</v>
      </c>
      <c r="D2157">
        <v>5.65</v>
      </c>
      <c r="E2157" t="s">
        <v>614</v>
      </c>
    </row>
    <row r="2158" spans="1:5" x14ac:dyDescent="0.3">
      <c r="A2158">
        <v>2157</v>
      </c>
      <c r="B2158">
        <v>719</v>
      </c>
      <c r="C2158" t="s">
        <v>611</v>
      </c>
      <c r="D2158">
        <v>16.16</v>
      </c>
      <c r="E2158" t="s">
        <v>612</v>
      </c>
    </row>
    <row r="2159" spans="1:5" x14ac:dyDescent="0.3">
      <c r="A2159">
        <v>2158</v>
      </c>
      <c r="B2159">
        <v>720</v>
      </c>
      <c r="C2159" t="s">
        <v>605</v>
      </c>
      <c r="D2159">
        <v>264.41000000000003</v>
      </c>
      <c r="E2159" t="s">
        <v>606</v>
      </c>
    </row>
    <row r="2160" spans="1:5" x14ac:dyDescent="0.3">
      <c r="A2160">
        <v>2159</v>
      </c>
      <c r="B2160">
        <v>720</v>
      </c>
      <c r="C2160" t="s">
        <v>619</v>
      </c>
      <c r="D2160">
        <v>0.74</v>
      </c>
      <c r="E2160" t="s">
        <v>620</v>
      </c>
    </row>
    <row r="2161" spans="1:5" x14ac:dyDescent="0.3">
      <c r="A2161">
        <v>2160</v>
      </c>
      <c r="B2161">
        <v>720</v>
      </c>
      <c r="C2161" t="s">
        <v>613</v>
      </c>
      <c r="D2161">
        <v>5.35</v>
      </c>
      <c r="E2161" t="s">
        <v>614</v>
      </c>
    </row>
    <row r="2162" spans="1:5" x14ac:dyDescent="0.3">
      <c r="A2162">
        <v>2161</v>
      </c>
      <c r="B2162">
        <v>721</v>
      </c>
      <c r="C2162" t="s">
        <v>607</v>
      </c>
      <c r="D2162">
        <v>146.97</v>
      </c>
      <c r="E2162" t="s">
        <v>608</v>
      </c>
    </row>
    <row r="2163" spans="1:5" x14ac:dyDescent="0.3">
      <c r="A2163">
        <v>2162</v>
      </c>
      <c r="B2163">
        <v>721</v>
      </c>
      <c r="C2163" t="s">
        <v>609</v>
      </c>
      <c r="D2163">
        <v>1.5</v>
      </c>
      <c r="E2163" t="s">
        <v>610</v>
      </c>
    </row>
    <row r="2164" spans="1:5" x14ac:dyDescent="0.3">
      <c r="A2164">
        <v>2163</v>
      </c>
      <c r="B2164">
        <v>721</v>
      </c>
      <c r="C2164" t="s">
        <v>613</v>
      </c>
      <c r="D2164">
        <v>4.22</v>
      </c>
      <c r="E2164" t="s">
        <v>614</v>
      </c>
    </row>
    <row r="2165" spans="1:5" x14ac:dyDescent="0.3">
      <c r="A2165">
        <v>2164</v>
      </c>
      <c r="B2165">
        <v>722</v>
      </c>
      <c r="C2165" t="s">
        <v>617</v>
      </c>
      <c r="D2165">
        <v>12.31</v>
      </c>
      <c r="E2165" t="s">
        <v>618</v>
      </c>
    </row>
    <row r="2166" spans="1:5" x14ac:dyDescent="0.3">
      <c r="A2166">
        <v>2165</v>
      </c>
      <c r="B2166">
        <v>722</v>
      </c>
      <c r="C2166" t="s">
        <v>609</v>
      </c>
      <c r="D2166">
        <v>12.18</v>
      </c>
      <c r="E2166" t="s">
        <v>610</v>
      </c>
    </row>
    <row r="2167" spans="1:5" x14ac:dyDescent="0.3">
      <c r="A2167">
        <v>2166</v>
      </c>
      <c r="B2167">
        <v>722</v>
      </c>
      <c r="C2167" t="s">
        <v>611</v>
      </c>
      <c r="D2167">
        <v>17.39</v>
      </c>
      <c r="E2167" t="s">
        <v>612</v>
      </c>
    </row>
    <row r="2168" spans="1:5" x14ac:dyDescent="0.3">
      <c r="A2168">
        <v>2167</v>
      </c>
      <c r="B2168">
        <v>723</v>
      </c>
      <c r="C2168" t="s">
        <v>603</v>
      </c>
      <c r="D2168">
        <v>218.13</v>
      </c>
      <c r="E2168" t="s">
        <v>604</v>
      </c>
    </row>
    <row r="2169" spans="1:5" x14ac:dyDescent="0.3">
      <c r="A2169">
        <v>2168</v>
      </c>
      <c r="B2169">
        <v>723</v>
      </c>
      <c r="C2169" t="s">
        <v>613</v>
      </c>
      <c r="D2169">
        <v>3</v>
      </c>
      <c r="E2169" t="s">
        <v>614</v>
      </c>
    </row>
    <row r="2170" spans="1:5" x14ac:dyDescent="0.3">
      <c r="A2170">
        <v>2169</v>
      </c>
      <c r="B2170">
        <v>723</v>
      </c>
      <c r="C2170" t="s">
        <v>609</v>
      </c>
      <c r="D2170">
        <v>16.25</v>
      </c>
      <c r="E2170" t="s">
        <v>610</v>
      </c>
    </row>
    <row r="2171" spans="1:5" x14ac:dyDescent="0.3">
      <c r="A2171">
        <v>2170</v>
      </c>
      <c r="B2171">
        <v>724</v>
      </c>
      <c r="C2171" t="s">
        <v>603</v>
      </c>
      <c r="D2171">
        <v>197.58</v>
      </c>
      <c r="E2171" t="s">
        <v>604</v>
      </c>
    </row>
    <row r="2172" spans="1:5" x14ac:dyDescent="0.3">
      <c r="A2172">
        <v>2171</v>
      </c>
      <c r="B2172">
        <v>724</v>
      </c>
      <c r="C2172" t="s">
        <v>615</v>
      </c>
      <c r="D2172">
        <v>279.05</v>
      </c>
      <c r="E2172" t="s">
        <v>616</v>
      </c>
    </row>
    <row r="2173" spans="1:5" x14ac:dyDescent="0.3">
      <c r="A2173">
        <v>2172</v>
      </c>
      <c r="B2173">
        <v>724</v>
      </c>
      <c r="C2173" t="s">
        <v>607</v>
      </c>
      <c r="D2173">
        <v>142.29</v>
      </c>
      <c r="E2173" t="s">
        <v>608</v>
      </c>
    </row>
    <row r="2174" spans="1:5" x14ac:dyDescent="0.3">
      <c r="A2174">
        <v>2173</v>
      </c>
      <c r="B2174">
        <v>725</v>
      </c>
      <c r="C2174" t="s">
        <v>607</v>
      </c>
      <c r="D2174">
        <v>131.21</v>
      </c>
      <c r="E2174" t="s">
        <v>608</v>
      </c>
    </row>
    <row r="2175" spans="1:5" x14ac:dyDescent="0.3">
      <c r="A2175">
        <v>2174</v>
      </c>
      <c r="B2175">
        <v>725</v>
      </c>
      <c r="C2175" t="s">
        <v>611</v>
      </c>
      <c r="D2175">
        <v>9.76</v>
      </c>
      <c r="E2175" t="s">
        <v>612</v>
      </c>
    </row>
    <row r="2176" spans="1:5" x14ac:dyDescent="0.3">
      <c r="A2176">
        <v>2175</v>
      </c>
      <c r="B2176">
        <v>725</v>
      </c>
      <c r="C2176" t="s">
        <v>609</v>
      </c>
      <c r="D2176">
        <v>16.52</v>
      </c>
      <c r="E2176" t="s">
        <v>610</v>
      </c>
    </row>
    <row r="2177" spans="1:5" x14ac:dyDescent="0.3">
      <c r="A2177">
        <v>2176</v>
      </c>
      <c r="B2177">
        <v>726</v>
      </c>
      <c r="C2177" t="s">
        <v>611</v>
      </c>
      <c r="D2177">
        <v>11.34</v>
      </c>
      <c r="E2177" t="s">
        <v>612</v>
      </c>
    </row>
    <row r="2178" spans="1:5" x14ac:dyDescent="0.3">
      <c r="A2178">
        <v>2177</v>
      </c>
      <c r="B2178">
        <v>726</v>
      </c>
      <c r="C2178" t="s">
        <v>605</v>
      </c>
      <c r="D2178">
        <v>187.97</v>
      </c>
      <c r="E2178" t="s">
        <v>606</v>
      </c>
    </row>
    <row r="2179" spans="1:5" x14ac:dyDescent="0.3">
      <c r="A2179">
        <v>2178</v>
      </c>
      <c r="B2179">
        <v>726</v>
      </c>
      <c r="C2179" t="s">
        <v>615</v>
      </c>
      <c r="D2179">
        <v>419.54</v>
      </c>
      <c r="E2179" t="s">
        <v>616</v>
      </c>
    </row>
    <row r="2180" spans="1:5" x14ac:dyDescent="0.3">
      <c r="A2180">
        <v>2179</v>
      </c>
      <c r="B2180">
        <v>727</v>
      </c>
      <c r="C2180" t="s">
        <v>613</v>
      </c>
      <c r="D2180">
        <v>3.13</v>
      </c>
      <c r="E2180" t="s">
        <v>614</v>
      </c>
    </row>
    <row r="2181" spans="1:5" x14ac:dyDescent="0.3">
      <c r="A2181">
        <v>2180</v>
      </c>
      <c r="B2181">
        <v>727</v>
      </c>
      <c r="C2181" t="s">
        <v>619</v>
      </c>
      <c r="D2181">
        <v>2.75</v>
      </c>
      <c r="E2181" t="s">
        <v>620</v>
      </c>
    </row>
    <row r="2182" spans="1:5" x14ac:dyDescent="0.3">
      <c r="A2182">
        <v>2181</v>
      </c>
      <c r="B2182">
        <v>727</v>
      </c>
      <c r="C2182" t="s">
        <v>617</v>
      </c>
      <c r="D2182">
        <v>3.96</v>
      </c>
      <c r="E2182" t="s">
        <v>618</v>
      </c>
    </row>
    <row r="2183" spans="1:5" x14ac:dyDescent="0.3">
      <c r="A2183">
        <v>2182</v>
      </c>
      <c r="B2183">
        <v>728</v>
      </c>
      <c r="C2183" t="s">
        <v>613</v>
      </c>
      <c r="D2183">
        <v>3.96</v>
      </c>
      <c r="E2183" t="s">
        <v>614</v>
      </c>
    </row>
    <row r="2184" spans="1:5" x14ac:dyDescent="0.3">
      <c r="A2184">
        <v>2183</v>
      </c>
      <c r="B2184">
        <v>728</v>
      </c>
      <c r="C2184" t="s">
        <v>619</v>
      </c>
      <c r="D2184">
        <v>2.91</v>
      </c>
      <c r="E2184" t="s">
        <v>620</v>
      </c>
    </row>
    <row r="2185" spans="1:5" x14ac:dyDescent="0.3">
      <c r="A2185">
        <v>2184</v>
      </c>
      <c r="B2185">
        <v>728</v>
      </c>
      <c r="C2185" t="s">
        <v>617</v>
      </c>
      <c r="D2185">
        <v>7.3</v>
      </c>
      <c r="E2185" t="s">
        <v>618</v>
      </c>
    </row>
    <row r="2186" spans="1:5" x14ac:dyDescent="0.3">
      <c r="A2186">
        <v>2185</v>
      </c>
      <c r="B2186">
        <v>729</v>
      </c>
      <c r="C2186" t="s">
        <v>613</v>
      </c>
      <c r="D2186">
        <v>4.82</v>
      </c>
      <c r="E2186" t="s">
        <v>614</v>
      </c>
    </row>
    <row r="2187" spans="1:5" x14ac:dyDescent="0.3">
      <c r="A2187">
        <v>2186</v>
      </c>
      <c r="B2187">
        <v>729</v>
      </c>
      <c r="C2187" t="s">
        <v>617</v>
      </c>
      <c r="D2187">
        <v>12.9</v>
      </c>
      <c r="E2187" t="s">
        <v>618</v>
      </c>
    </row>
    <row r="2188" spans="1:5" x14ac:dyDescent="0.3">
      <c r="A2188">
        <v>2187</v>
      </c>
      <c r="B2188">
        <v>729</v>
      </c>
      <c r="C2188" t="s">
        <v>609</v>
      </c>
      <c r="D2188">
        <v>3.05</v>
      </c>
      <c r="E2188" t="s">
        <v>610</v>
      </c>
    </row>
    <row r="2189" spans="1:5" x14ac:dyDescent="0.3">
      <c r="A2189">
        <v>2188</v>
      </c>
      <c r="B2189">
        <v>730</v>
      </c>
      <c r="C2189" t="s">
        <v>617</v>
      </c>
      <c r="D2189">
        <v>14.44</v>
      </c>
      <c r="E2189" t="s">
        <v>618</v>
      </c>
    </row>
    <row r="2190" spans="1:5" x14ac:dyDescent="0.3">
      <c r="A2190">
        <v>2189</v>
      </c>
      <c r="B2190">
        <v>730</v>
      </c>
      <c r="C2190" t="s">
        <v>603</v>
      </c>
      <c r="D2190">
        <v>169.25</v>
      </c>
      <c r="E2190" t="s">
        <v>604</v>
      </c>
    </row>
    <row r="2191" spans="1:5" x14ac:dyDescent="0.3">
      <c r="A2191">
        <v>2190</v>
      </c>
      <c r="B2191">
        <v>730</v>
      </c>
      <c r="C2191" t="s">
        <v>619</v>
      </c>
      <c r="D2191">
        <v>3</v>
      </c>
      <c r="E2191" t="s">
        <v>620</v>
      </c>
    </row>
    <row r="2192" spans="1:5" x14ac:dyDescent="0.3">
      <c r="A2192">
        <v>2191</v>
      </c>
      <c r="B2192">
        <v>731</v>
      </c>
      <c r="C2192" t="s">
        <v>617</v>
      </c>
      <c r="D2192">
        <v>9.18</v>
      </c>
      <c r="E2192" t="s">
        <v>618</v>
      </c>
    </row>
    <row r="2193" spans="1:5" x14ac:dyDescent="0.3">
      <c r="A2193">
        <v>2192</v>
      </c>
      <c r="B2193">
        <v>731</v>
      </c>
      <c r="C2193" t="s">
        <v>605</v>
      </c>
      <c r="D2193">
        <v>207.97</v>
      </c>
      <c r="E2193" t="s">
        <v>606</v>
      </c>
    </row>
    <row r="2194" spans="1:5" x14ac:dyDescent="0.3">
      <c r="A2194">
        <v>2193</v>
      </c>
      <c r="B2194">
        <v>731</v>
      </c>
      <c r="C2194" t="s">
        <v>621</v>
      </c>
      <c r="D2194">
        <v>6.36</v>
      </c>
      <c r="E2194" t="s">
        <v>622</v>
      </c>
    </row>
    <row r="2195" spans="1:5" x14ac:dyDescent="0.3">
      <c r="A2195">
        <v>2194</v>
      </c>
      <c r="B2195">
        <v>732</v>
      </c>
      <c r="C2195" t="s">
        <v>605</v>
      </c>
      <c r="D2195">
        <v>291.83</v>
      </c>
      <c r="E2195" t="s">
        <v>606</v>
      </c>
    </row>
    <row r="2196" spans="1:5" x14ac:dyDescent="0.3">
      <c r="A2196">
        <v>2195</v>
      </c>
      <c r="B2196">
        <v>732</v>
      </c>
      <c r="C2196" t="s">
        <v>621</v>
      </c>
      <c r="D2196">
        <v>6.06</v>
      </c>
      <c r="E2196" t="s">
        <v>622</v>
      </c>
    </row>
    <row r="2197" spans="1:5" x14ac:dyDescent="0.3">
      <c r="A2197">
        <v>2196</v>
      </c>
      <c r="B2197">
        <v>732</v>
      </c>
      <c r="C2197" t="s">
        <v>617</v>
      </c>
      <c r="D2197">
        <v>5.96</v>
      </c>
      <c r="E2197" t="s">
        <v>618</v>
      </c>
    </row>
    <row r="2198" spans="1:5" x14ac:dyDescent="0.3">
      <c r="A2198">
        <v>2197</v>
      </c>
      <c r="B2198">
        <v>733</v>
      </c>
      <c r="C2198" t="s">
        <v>619</v>
      </c>
      <c r="D2198">
        <v>2.54</v>
      </c>
      <c r="E2198" t="s">
        <v>620</v>
      </c>
    </row>
    <row r="2199" spans="1:5" x14ac:dyDescent="0.3">
      <c r="A2199">
        <v>2198</v>
      </c>
      <c r="B2199">
        <v>733</v>
      </c>
      <c r="C2199" t="s">
        <v>617</v>
      </c>
      <c r="D2199">
        <v>6.37</v>
      </c>
      <c r="E2199" t="s">
        <v>618</v>
      </c>
    </row>
    <row r="2200" spans="1:5" x14ac:dyDescent="0.3">
      <c r="A2200">
        <v>2199</v>
      </c>
      <c r="B2200">
        <v>733</v>
      </c>
      <c r="C2200" t="s">
        <v>605</v>
      </c>
      <c r="D2200">
        <v>264.23</v>
      </c>
      <c r="E2200" t="s">
        <v>606</v>
      </c>
    </row>
    <row r="2201" spans="1:5" x14ac:dyDescent="0.3">
      <c r="A2201">
        <v>2200</v>
      </c>
      <c r="B2201">
        <v>734</v>
      </c>
      <c r="C2201" t="s">
        <v>609</v>
      </c>
      <c r="D2201">
        <v>12.41</v>
      </c>
      <c r="E2201" t="s">
        <v>610</v>
      </c>
    </row>
    <row r="2202" spans="1:5" x14ac:dyDescent="0.3">
      <c r="A2202">
        <v>2201</v>
      </c>
      <c r="B2202">
        <v>734</v>
      </c>
      <c r="C2202" t="s">
        <v>607</v>
      </c>
      <c r="D2202">
        <v>131.75</v>
      </c>
      <c r="E2202" t="s">
        <v>608</v>
      </c>
    </row>
    <row r="2203" spans="1:5" x14ac:dyDescent="0.3">
      <c r="A2203">
        <v>2202</v>
      </c>
      <c r="B2203">
        <v>734</v>
      </c>
      <c r="C2203" t="s">
        <v>613</v>
      </c>
      <c r="D2203">
        <v>3.97</v>
      </c>
      <c r="E2203" t="s">
        <v>614</v>
      </c>
    </row>
    <row r="2204" spans="1:5" x14ac:dyDescent="0.3">
      <c r="A2204">
        <v>2203</v>
      </c>
      <c r="B2204">
        <v>735</v>
      </c>
      <c r="C2204" t="s">
        <v>605</v>
      </c>
      <c r="D2204">
        <v>224.67</v>
      </c>
      <c r="E2204" t="s">
        <v>606</v>
      </c>
    </row>
    <row r="2205" spans="1:5" x14ac:dyDescent="0.3">
      <c r="A2205">
        <v>2204</v>
      </c>
      <c r="B2205">
        <v>735</v>
      </c>
      <c r="C2205" t="s">
        <v>609</v>
      </c>
      <c r="D2205">
        <v>7.62</v>
      </c>
      <c r="E2205" t="s">
        <v>610</v>
      </c>
    </row>
    <row r="2206" spans="1:5" x14ac:dyDescent="0.3">
      <c r="A2206">
        <v>2205</v>
      </c>
      <c r="B2206">
        <v>735</v>
      </c>
      <c r="C2206" t="s">
        <v>615</v>
      </c>
      <c r="D2206">
        <v>424.13</v>
      </c>
      <c r="E2206" t="s">
        <v>616</v>
      </c>
    </row>
    <row r="2207" spans="1:5" x14ac:dyDescent="0.3">
      <c r="A2207">
        <v>2206</v>
      </c>
      <c r="B2207">
        <v>736</v>
      </c>
      <c r="C2207" t="s">
        <v>605</v>
      </c>
      <c r="D2207">
        <v>155.08000000000001</v>
      </c>
      <c r="E2207" t="s">
        <v>606</v>
      </c>
    </row>
    <row r="2208" spans="1:5" x14ac:dyDescent="0.3">
      <c r="A2208">
        <v>2207</v>
      </c>
      <c r="B2208">
        <v>736</v>
      </c>
      <c r="C2208" t="s">
        <v>609</v>
      </c>
      <c r="D2208">
        <v>17.95</v>
      </c>
      <c r="E2208" t="s">
        <v>610</v>
      </c>
    </row>
    <row r="2209" spans="1:5" x14ac:dyDescent="0.3">
      <c r="A2209">
        <v>2208</v>
      </c>
      <c r="B2209">
        <v>736</v>
      </c>
      <c r="C2209" t="s">
        <v>613</v>
      </c>
      <c r="D2209">
        <v>2.85</v>
      </c>
      <c r="E2209" t="s">
        <v>614</v>
      </c>
    </row>
    <row r="2210" spans="1:5" x14ac:dyDescent="0.3">
      <c r="A2210">
        <v>2209</v>
      </c>
      <c r="B2210">
        <v>737</v>
      </c>
      <c r="C2210" t="s">
        <v>611</v>
      </c>
      <c r="D2210">
        <v>10.25</v>
      </c>
      <c r="E2210" t="s">
        <v>612</v>
      </c>
    </row>
    <row r="2211" spans="1:5" x14ac:dyDescent="0.3">
      <c r="A2211">
        <v>2210</v>
      </c>
      <c r="B2211">
        <v>737</v>
      </c>
      <c r="C2211" t="s">
        <v>615</v>
      </c>
      <c r="D2211">
        <v>178.51</v>
      </c>
      <c r="E2211" t="s">
        <v>616</v>
      </c>
    </row>
    <row r="2212" spans="1:5" x14ac:dyDescent="0.3">
      <c r="A2212">
        <v>2211</v>
      </c>
      <c r="B2212">
        <v>737</v>
      </c>
      <c r="C2212" t="s">
        <v>619</v>
      </c>
      <c r="D2212">
        <v>1.47</v>
      </c>
      <c r="E2212" t="s">
        <v>620</v>
      </c>
    </row>
    <row r="2213" spans="1:5" x14ac:dyDescent="0.3">
      <c r="A2213">
        <v>2212</v>
      </c>
      <c r="B2213">
        <v>738</v>
      </c>
      <c r="C2213" t="s">
        <v>611</v>
      </c>
      <c r="D2213">
        <v>12.24</v>
      </c>
      <c r="E2213" t="s">
        <v>612</v>
      </c>
    </row>
    <row r="2214" spans="1:5" x14ac:dyDescent="0.3">
      <c r="A2214">
        <v>2213</v>
      </c>
      <c r="B2214">
        <v>738</v>
      </c>
      <c r="C2214" t="s">
        <v>619</v>
      </c>
      <c r="D2214">
        <v>2.4900000000000002</v>
      </c>
      <c r="E2214" t="s">
        <v>620</v>
      </c>
    </row>
    <row r="2215" spans="1:5" x14ac:dyDescent="0.3">
      <c r="A2215">
        <v>2214</v>
      </c>
      <c r="B2215">
        <v>738</v>
      </c>
      <c r="C2215" t="s">
        <v>615</v>
      </c>
      <c r="D2215">
        <v>323.52</v>
      </c>
      <c r="E2215" t="s">
        <v>616</v>
      </c>
    </row>
    <row r="2216" spans="1:5" x14ac:dyDescent="0.3">
      <c r="A2216">
        <v>2215</v>
      </c>
      <c r="B2216">
        <v>739</v>
      </c>
      <c r="C2216" t="s">
        <v>603</v>
      </c>
      <c r="D2216">
        <v>202.15</v>
      </c>
      <c r="E2216" t="s">
        <v>604</v>
      </c>
    </row>
    <row r="2217" spans="1:5" x14ac:dyDescent="0.3">
      <c r="A2217">
        <v>2216</v>
      </c>
      <c r="B2217">
        <v>739</v>
      </c>
      <c r="C2217" t="s">
        <v>609</v>
      </c>
      <c r="D2217">
        <v>7.33</v>
      </c>
      <c r="E2217" t="s">
        <v>610</v>
      </c>
    </row>
    <row r="2218" spans="1:5" x14ac:dyDescent="0.3">
      <c r="A2218">
        <v>2217</v>
      </c>
      <c r="B2218">
        <v>739</v>
      </c>
      <c r="C2218" t="s">
        <v>619</v>
      </c>
      <c r="D2218">
        <v>0.61</v>
      </c>
      <c r="E2218" t="s">
        <v>620</v>
      </c>
    </row>
    <row r="2219" spans="1:5" x14ac:dyDescent="0.3">
      <c r="A2219">
        <v>2218</v>
      </c>
      <c r="B2219">
        <v>740</v>
      </c>
      <c r="C2219" t="s">
        <v>611</v>
      </c>
      <c r="D2219">
        <v>9.85</v>
      </c>
      <c r="E2219" t="s">
        <v>612</v>
      </c>
    </row>
    <row r="2220" spans="1:5" x14ac:dyDescent="0.3">
      <c r="A2220">
        <v>2219</v>
      </c>
      <c r="B2220">
        <v>740</v>
      </c>
      <c r="C2220" t="s">
        <v>615</v>
      </c>
      <c r="D2220">
        <v>436.58</v>
      </c>
      <c r="E2220" t="s">
        <v>616</v>
      </c>
    </row>
    <row r="2221" spans="1:5" x14ac:dyDescent="0.3">
      <c r="A2221">
        <v>2220</v>
      </c>
      <c r="B2221">
        <v>740</v>
      </c>
      <c r="C2221" t="s">
        <v>621</v>
      </c>
      <c r="D2221">
        <v>10.77</v>
      </c>
      <c r="E2221" t="s">
        <v>622</v>
      </c>
    </row>
    <row r="2222" spans="1:5" x14ac:dyDescent="0.3">
      <c r="A2222">
        <v>2221</v>
      </c>
      <c r="B2222">
        <v>741</v>
      </c>
      <c r="C2222" t="s">
        <v>609</v>
      </c>
      <c r="D2222">
        <v>8.99</v>
      </c>
      <c r="E2222" t="s">
        <v>610</v>
      </c>
    </row>
    <row r="2223" spans="1:5" x14ac:dyDescent="0.3">
      <c r="A2223">
        <v>2222</v>
      </c>
      <c r="B2223">
        <v>741</v>
      </c>
      <c r="C2223" t="s">
        <v>611</v>
      </c>
      <c r="D2223">
        <v>12.49</v>
      </c>
      <c r="E2223" t="s">
        <v>612</v>
      </c>
    </row>
    <row r="2224" spans="1:5" x14ac:dyDescent="0.3">
      <c r="A2224">
        <v>2223</v>
      </c>
      <c r="B2224">
        <v>741</v>
      </c>
      <c r="C2224" t="s">
        <v>603</v>
      </c>
      <c r="D2224">
        <v>110.27</v>
      </c>
      <c r="E2224" t="s">
        <v>604</v>
      </c>
    </row>
    <row r="2225" spans="1:5" x14ac:dyDescent="0.3">
      <c r="A2225">
        <v>2224</v>
      </c>
      <c r="B2225">
        <v>742</v>
      </c>
      <c r="C2225" t="s">
        <v>605</v>
      </c>
      <c r="D2225">
        <v>257.93</v>
      </c>
      <c r="E2225" t="s">
        <v>606</v>
      </c>
    </row>
    <row r="2226" spans="1:5" x14ac:dyDescent="0.3">
      <c r="A2226">
        <v>2225</v>
      </c>
      <c r="B2226">
        <v>742</v>
      </c>
      <c r="C2226" t="s">
        <v>619</v>
      </c>
      <c r="D2226">
        <v>2.1</v>
      </c>
      <c r="E2226" t="s">
        <v>620</v>
      </c>
    </row>
    <row r="2227" spans="1:5" x14ac:dyDescent="0.3">
      <c r="A2227">
        <v>2226</v>
      </c>
      <c r="B2227">
        <v>742</v>
      </c>
      <c r="C2227" t="s">
        <v>609</v>
      </c>
      <c r="D2227">
        <v>0.9</v>
      </c>
      <c r="E2227" t="s">
        <v>610</v>
      </c>
    </row>
    <row r="2228" spans="1:5" x14ac:dyDescent="0.3">
      <c r="A2228">
        <v>2227</v>
      </c>
      <c r="B2228">
        <v>743</v>
      </c>
      <c r="C2228" t="s">
        <v>621</v>
      </c>
      <c r="D2228">
        <v>4.7300000000000004</v>
      </c>
      <c r="E2228" t="s">
        <v>622</v>
      </c>
    </row>
    <row r="2229" spans="1:5" x14ac:dyDescent="0.3">
      <c r="A2229">
        <v>2228</v>
      </c>
      <c r="B2229">
        <v>743</v>
      </c>
      <c r="C2229" t="s">
        <v>617</v>
      </c>
      <c r="D2229">
        <v>5.47</v>
      </c>
      <c r="E2229" t="s">
        <v>618</v>
      </c>
    </row>
    <row r="2230" spans="1:5" x14ac:dyDescent="0.3">
      <c r="A2230">
        <v>2229</v>
      </c>
      <c r="B2230">
        <v>743</v>
      </c>
      <c r="C2230" t="s">
        <v>609</v>
      </c>
      <c r="D2230">
        <v>16.63</v>
      </c>
      <c r="E2230" t="s">
        <v>610</v>
      </c>
    </row>
    <row r="2231" spans="1:5" x14ac:dyDescent="0.3">
      <c r="A2231">
        <v>2230</v>
      </c>
      <c r="B2231">
        <v>744</v>
      </c>
      <c r="C2231" t="s">
        <v>611</v>
      </c>
      <c r="D2231">
        <v>7.64</v>
      </c>
      <c r="E2231" t="s">
        <v>612</v>
      </c>
    </row>
    <row r="2232" spans="1:5" x14ac:dyDescent="0.3">
      <c r="A2232">
        <v>2231</v>
      </c>
      <c r="B2232">
        <v>744</v>
      </c>
      <c r="C2232" t="s">
        <v>605</v>
      </c>
      <c r="D2232">
        <v>165.52</v>
      </c>
      <c r="E2232" t="s">
        <v>606</v>
      </c>
    </row>
    <row r="2233" spans="1:5" x14ac:dyDescent="0.3">
      <c r="A2233">
        <v>2232</v>
      </c>
      <c r="B2233">
        <v>744</v>
      </c>
      <c r="C2233" t="s">
        <v>617</v>
      </c>
      <c r="D2233">
        <v>10.61</v>
      </c>
      <c r="E2233" t="s">
        <v>618</v>
      </c>
    </row>
    <row r="2234" spans="1:5" x14ac:dyDescent="0.3">
      <c r="A2234">
        <v>2233</v>
      </c>
      <c r="B2234">
        <v>745</v>
      </c>
      <c r="C2234" t="s">
        <v>621</v>
      </c>
      <c r="D2234">
        <v>4.79</v>
      </c>
      <c r="E2234" t="s">
        <v>622</v>
      </c>
    </row>
    <row r="2235" spans="1:5" x14ac:dyDescent="0.3">
      <c r="A2235">
        <v>2234</v>
      </c>
      <c r="B2235">
        <v>745</v>
      </c>
      <c r="C2235" t="s">
        <v>613</v>
      </c>
      <c r="D2235">
        <v>5.8</v>
      </c>
      <c r="E2235" t="s">
        <v>614</v>
      </c>
    </row>
    <row r="2236" spans="1:5" x14ac:dyDescent="0.3">
      <c r="A2236">
        <v>2235</v>
      </c>
      <c r="B2236">
        <v>745</v>
      </c>
      <c r="C2236" t="s">
        <v>609</v>
      </c>
      <c r="D2236">
        <v>1.1200000000000001</v>
      </c>
      <c r="E2236" t="s">
        <v>610</v>
      </c>
    </row>
    <row r="2237" spans="1:5" x14ac:dyDescent="0.3">
      <c r="A2237">
        <v>2236</v>
      </c>
      <c r="B2237">
        <v>746</v>
      </c>
      <c r="C2237" t="s">
        <v>611</v>
      </c>
      <c r="D2237">
        <v>8.2200000000000006</v>
      </c>
      <c r="E2237" t="s">
        <v>612</v>
      </c>
    </row>
    <row r="2238" spans="1:5" x14ac:dyDescent="0.3">
      <c r="A2238">
        <v>2237</v>
      </c>
      <c r="B2238">
        <v>746</v>
      </c>
      <c r="C2238" t="s">
        <v>619</v>
      </c>
      <c r="D2238">
        <v>0.79</v>
      </c>
      <c r="E2238" t="s">
        <v>620</v>
      </c>
    </row>
    <row r="2239" spans="1:5" x14ac:dyDescent="0.3">
      <c r="A2239">
        <v>2238</v>
      </c>
      <c r="B2239">
        <v>746</v>
      </c>
      <c r="C2239" t="s">
        <v>613</v>
      </c>
      <c r="D2239">
        <v>3.47</v>
      </c>
      <c r="E2239" t="s">
        <v>614</v>
      </c>
    </row>
    <row r="2240" spans="1:5" x14ac:dyDescent="0.3">
      <c r="A2240">
        <v>2239</v>
      </c>
      <c r="B2240">
        <v>747</v>
      </c>
      <c r="C2240" t="s">
        <v>609</v>
      </c>
      <c r="D2240">
        <v>6.07</v>
      </c>
      <c r="E2240" t="s">
        <v>610</v>
      </c>
    </row>
    <row r="2241" spans="1:5" x14ac:dyDescent="0.3">
      <c r="A2241">
        <v>2240</v>
      </c>
      <c r="B2241">
        <v>747</v>
      </c>
      <c r="C2241" t="s">
        <v>619</v>
      </c>
      <c r="D2241">
        <v>0.53</v>
      </c>
      <c r="E2241" t="s">
        <v>620</v>
      </c>
    </row>
    <row r="2242" spans="1:5" x14ac:dyDescent="0.3">
      <c r="A2242">
        <v>2241</v>
      </c>
      <c r="B2242">
        <v>747</v>
      </c>
      <c r="C2242" t="s">
        <v>613</v>
      </c>
      <c r="D2242">
        <v>4.26</v>
      </c>
      <c r="E2242" t="s">
        <v>614</v>
      </c>
    </row>
    <row r="2243" spans="1:5" x14ac:dyDescent="0.3">
      <c r="A2243">
        <v>2242</v>
      </c>
      <c r="B2243">
        <v>748</v>
      </c>
      <c r="C2243" t="s">
        <v>611</v>
      </c>
      <c r="D2243">
        <v>13.18</v>
      </c>
      <c r="E2243" t="s">
        <v>612</v>
      </c>
    </row>
    <row r="2244" spans="1:5" x14ac:dyDescent="0.3">
      <c r="A2244">
        <v>2243</v>
      </c>
      <c r="B2244">
        <v>748</v>
      </c>
      <c r="C2244" t="s">
        <v>613</v>
      </c>
      <c r="D2244">
        <v>4.96</v>
      </c>
      <c r="E2244" t="s">
        <v>614</v>
      </c>
    </row>
    <row r="2245" spans="1:5" x14ac:dyDescent="0.3">
      <c r="A2245">
        <v>2244</v>
      </c>
      <c r="B2245">
        <v>748</v>
      </c>
      <c r="C2245" t="s">
        <v>619</v>
      </c>
      <c r="D2245">
        <v>3.14</v>
      </c>
      <c r="E2245" t="s">
        <v>620</v>
      </c>
    </row>
    <row r="2246" spans="1:5" x14ac:dyDescent="0.3">
      <c r="A2246">
        <v>2245</v>
      </c>
      <c r="B2246">
        <v>749</v>
      </c>
      <c r="C2246" t="s">
        <v>603</v>
      </c>
      <c r="D2246">
        <v>176.25</v>
      </c>
      <c r="E2246" t="s">
        <v>604</v>
      </c>
    </row>
    <row r="2247" spans="1:5" x14ac:dyDescent="0.3">
      <c r="A2247">
        <v>2246</v>
      </c>
      <c r="B2247">
        <v>749</v>
      </c>
      <c r="C2247" t="s">
        <v>617</v>
      </c>
      <c r="D2247">
        <v>9.4</v>
      </c>
      <c r="E2247" t="s">
        <v>618</v>
      </c>
    </row>
    <row r="2248" spans="1:5" x14ac:dyDescent="0.3">
      <c r="A2248">
        <v>2247</v>
      </c>
      <c r="B2248">
        <v>749</v>
      </c>
      <c r="C2248" t="s">
        <v>607</v>
      </c>
      <c r="D2248">
        <v>131.88</v>
      </c>
      <c r="E2248" t="s">
        <v>608</v>
      </c>
    </row>
    <row r="2249" spans="1:5" x14ac:dyDescent="0.3">
      <c r="A2249">
        <v>2248</v>
      </c>
      <c r="B2249">
        <v>750</v>
      </c>
      <c r="C2249" t="s">
        <v>609</v>
      </c>
      <c r="D2249">
        <v>19.03</v>
      </c>
      <c r="E2249" t="s">
        <v>610</v>
      </c>
    </row>
    <row r="2250" spans="1:5" x14ac:dyDescent="0.3">
      <c r="A2250">
        <v>2249</v>
      </c>
      <c r="B2250">
        <v>750</v>
      </c>
      <c r="C2250" t="s">
        <v>613</v>
      </c>
      <c r="D2250">
        <v>3.82</v>
      </c>
      <c r="E2250" t="s">
        <v>614</v>
      </c>
    </row>
    <row r="2251" spans="1:5" x14ac:dyDescent="0.3">
      <c r="A2251">
        <v>2250</v>
      </c>
      <c r="B2251">
        <v>750</v>
      </c>
      <c r="C2251" t="s">
        <v>617</v>
      </c>
      <c r="D2251">
        <v>14.27</v>
      </c>
      <c r="E2251" t="s">
        <v>618</v>
      </c>
    </row>
    <row r="2252" spans="1:5" x14ac:dyDescent="0.3">
      <c r="A2252">
        <v>2251</v>
      </c>
      <c r="B2252">
        <v>751</v>
      </c>
      <c r="C2252" t="s">
        <v>619</v>
      </c>
      <c r="D2252">
        <v>2.87</v>
      </c>
      <c r="E2252" t="s">
        <v>620</v>
      </c>
    </row>
    <row r="2253" spans="1:5" x14ac:dyDescent="0.3">
      <c r="A2253">
        <v>2252</v>
      </c>
      <c r="B2253">
        <v>751</v>
      </c>
      <c r="C2253" t="s">
        <v>615</v>
      </c>
      <c r="D2253">
        <v>276.07</v>
      </c>
      <c r="E2253" t="s">
        <v>616</v>
      </c>
    </row>
    <row r="2254" spans="1:5" x14ac:dyDescent="0.3">
      <c r="A2254">
        <v>2253</v>
      </c>
      <c r="B2254">
        <v>751</v>
      </c>
      <c r="C2254" t="s">
        <v>617</v>
      </c>
      <c r="D2254">
        <v>11.14</v>
      </c>
      <c r="E2254" t="s">
        <v>618</v>
      </c>
    </row>
    <row r="2255" spans="1:5" x14ac:dyDescent="0.3">
      <c r="A2255">
        <v>2254</v>
      </c>
      <c r="B2255">
        <v>752</v>
      </c>
      <c r="C2255" t="s">
        <v>611</v>
      </c>
      <c r="D2255">
        <v>7.07</v>
      </c>
      <c r="E2255" t="s">
        <v>612</v>
      </c>
    </row>
    <row r="2256" spans="1:5" x14ac:dyDescent="0.3">
      <c r="A2256">
        <v>2255</v>
      </c>
      <c r="B2256">
        <v>752</v>
      </c>
      <c r="C2256" t="s">
        <v>605</v>
      </c>
      <c r="D2256">
        <v>298.67</v>
      </c>
      <c r="E2256" t="s">
        <v>606</v>
      </c>
    </row>
    <row r="2257" spans="1:5" x14ac:dyDescent="0.3">
      <c r="A2257">
        <v>2256</v>
      </c>
      <c r="B2257">
        <v>752</v>
      </c>
      <c r="C2257" t="s">
        <v>613</v>
      </c>
      <c r="D2257">
        <v>4.53</v>
      </c>
      <c r="E2257" t="s">
        <v>614</v>
      </c>
    </row>
    <row r="2258" spans="1:5" x14ac:dyDescent="0.3">
      <c r="A2258">
        <v>2257</v>
      </c>
      <c r="B2258">
        <v>753</v>
      </c>
      <c r="C2258" t="s">
        <v>613</v>
      </c>
      <c r="D2258">
        <v>3.02</v>
      </c>
      <c r="E2258" t="s">
        <v>614</v>
      </c>
    </row>
    <row r="2259" spans="1:5" x14ac:dyDescent="0.3">
      <c r="A2259">
        <v>2258</v>
      </c>
      <c r="B2259">
        <v>753</v>
      </c>
      <c r="C2259" t="s">
        <v>605</v>
      </c>
      <c r="D2259">
        <v>206.4</v>
      </c>
      <c r="E2259" t="s">
        <v>606</v>
      </c>
    </row>
    <row r="2260" spans="1:5" x14ac:dyDescent="0.3">
      <c r="A2260">
        <v>2259</v>
      </c>
      <c r="B2260">
        <v>753</v>
      </c>
      <c r="C2260" t="s">
        <v>609</v>
      </c>
      <c r="D2260">
        <v>6.16</v>
      </c>
      <c r="E2260" t="s">
        <v>610</v>
      </c>
    </row>
    <row r="2261" spans="1:5" x14ac:dyDescent="0.3">
      <c r="A2261">
        <v>2260</v>
      </c>
      <c r="B2261">
        <v>754</v>
      </c>
      <c r="C2261" t="s">
        <v>613</v>
      </c>
      <c r="D2261">
        <v>3.46</v>
      </c>
      <c r="E2261" t="s">
        <v>614</v>
      </c>
    </row>
    <row r="2262" spans="1:5" x14ac:dyDescent="0.3">
      <c r="A2262">
        <v>2261</v>
      </c>
      <c r="B2262">
        <v>754</v>
      </c>
      <c r="C2262" t="s">
        <v>615</v>
      </c>
      <c r="D2262">
        <v>138.05000000000001</v>
      </c>
      <c r="E2262" t="s">
        <v>616</v>
      </c>
    </row>
    <row r="2263" spans="1:5" x14ac:dyDescent="0.3">
      <c r="A2263">
        <v>2262</v>
      </c>
      <c r="B2263">
        <v>754</v>
      </c>
      <c r="C2263" t="s">
        <v>605</v>
      </c>
      <c r="D2263">
        <v>166.36</v>
      </c>
      <c r="E2263" t="s">
        <v>606</v>
      </c>
    </row>
    <row r="2264" spans="1:5" x14ac:dyDescent="0.3">
      <c r="A2264">
        <v>2263</v>
      </c>
      <c r="B2264">
        <v>755</v>
      </c>
      <c r="C2264" t="s">
        <v>617</v>
      </c>
      <c r="D2264">
        <v>7.16</v>
      </c>
      <c r="E2264" t="s">
        <v>618</v>
      </c>
    </row>
    <row r="2265" spans="1:5" x14ac:dyDescent="0.3">
      <c r="A2265">
        <v>2264</v>
      </c>
      <c r="B2265">
        <v>755</v>
      </c>
      <c r="C2265" t="s">
        <v>609</v>
      </c>
      <c r="D2265">
        <v>10.65</v>
      </c>
      <c r="E2265" t="s">
        <v>610</v>
      </c>
    </row>
    <row r="2266" spans="1:5" x14ac:dyDescent="0.3">
      <c r="A2266">
        <v>2265</v>
      </c>
      <c r="B2266">
        <v>755</v>
      </c>
      <c r="C2266" t="s">
        <v>621</v>
      </c>
      <c r="D2266">
        <v>4.82</v>
      </c>
      <c r="E2266" t="s">
        <v>622</v>
      </c>
    </row>
    <row r="2267" spans="1:5" x14ac:dyDescent="0.3">
      <c r="A2267">
        <v>2266</v>
      </c>
      <c r="B2267">
        <v>756</v>
      </c>
      <c r="C2267" t="s">
        <v>617</v>
      </c>
      <c r="D2267">
        <v>7.21</v>
      </c>
      <c r="E2267" t="s">
        <v>618</v>
      </c>
    </row>
    <row r="2268" spans="1:5" x14ac:dyDescent="0.3">
      <c r="A2268">
        <v>2267</v>
      </c>
      <c r="B2268">
        <v>756</v>
      </c>
      <c r="C2268" t="s">
        <v>619</v>
      </c>
      <c r="D2268">
        <v>1.17</v>
      </c>
      <c r="E2268" t="s">
        <v>620</v>
      </c>
    </row>
    <row r="2269" spans="1:5" x14ac:dyDescent="0.3">
      <c r="A2269">
        <v>2268</v>
      </c>
      <c r="B2269">
        <v>756</v>
      </c>
      <c r="C2269" t="s">
        <v>605</v>
      </c>
      <c r="D2269">
        <v>199.25</v>
      </c>
      <c r="E2269" t="s">
        <v>606</v>
      </c>
    </row>
    <row r="2270" spans="1:5" x14ac:dyDescent="0.3">
      <c r="A2270">
        <v>2269</v>
      </c>
      <c r="B2270">
        <v>757</v>
      </c>
      <c r="C2270" t="s">
        <v>605</v>
      </c>
      <c r="D2270">
        <v>185.14</v>
      </c>
      <c r="E2270" t="s">
        <v>606</v>
      </c>
    </row>
    <row r="2271" spans="1:5" x14ac:dyDescent="0.3">
      <c r="A2271">
        <v>2270</v>
      </c>
      <c r="B2271">
        <v>757</v>
      </c>
      <c r="C2271" t="s">
        <v>621</v>
      </c>
      <c r="D2271">
        <v>8.1300000000000008</v>
      </c>
      <c r="E2271" t="s">
        <v>622</v>
      </c>
    </row>
    <row r="2272" spans="1:5" x14ac:dyDescent="0.3">
      <c r="A2272">
        <v>2271</v>
      </c>
      <c r="B2272">
        <v>757</v>
      </c>
      <c r="C2272" t="s">
        <v>609</v>
      </c>
      <c r="D2272">
        <v>9.5299999999999994</v>
      </c>
      <c r="E2272" t="s">
        <v>610</v>
      </c>
    </row>
    <row r="2273" spans="1:5" x14ac:dyDescent="0.3">
      <c r="A2273">
        <v>2272</v>
      </c>
      <c r="B2273">
        <v>758</v>
      </c>
      <c r="C2273" t="s">
        <v>621</v>
      </c>
      <c r="D2273">
        <v>5.83</v>
      </c>
      <c r="E2273" t="s">
        <v>622</v>
      </c>
    </row>
    <row r="2274" spans="1:5" x14ac:dyDescent="0.3">
      <c r="A2274">
        <v>2273</v>
      </c>
      <c r="B2274">
        <v>758</v>
      </c>
      <c r="C2274" t="s">
        <v>607</v>
      </c>
      <c r="D2274">
        <v>133.78</v>
      </c>
      <c r="E2274" t="s">
        <v>608</v>
      </c>
    </row>
    <row r="2275" spans="1:5" x14ac:dyDescent="0.3">
      <c r="A2275">
        <v>2274</v>
      </c>
      <c r="B2275">
        <v>758</v>
      </c>
      <c r="C2275" t="s">
        <v>617</v>
      </c>
      <c r="D2275">
        <v>15.15</v>
      </c>
      <c r="E2275" t="s">
        <v>618</v>
      </c>
    </row>
    <row r="2276" spans="1:5" x14ac:dyDescent="0.3">
      <c r="A2276">
        <v>2275</v>
      </c>
      <c r="B2276">
        <v>759</v>
      </c>
      <c r="C2276" t="s">
        <v>617</v>
      </c>
      <c r="D2276">
        <v>6.98</v>
      </c>
      <c r="E2276" t="s">
        <v>618</v>
      </c>
    </row>
    <row r="2277" spans="1:5" x14ac:dyDescent="0.3">
      <c r="A2277">
        <v>2276</v>
      </c>
      <c r="B2277">
        <v>759</v>
      </c>
      <c r="C2277" t="s">
        <v>615</v>
      </c>
      <c r="D2277">
        <v>354.35</v>
      </c>
      <c r="E2277" t="s">
        <v>616</v>
      </c>
    </row>
    <row r="2278" spans="1:5" x14ac:dyDescent="0.3">
      <c r="A2278">
        <v>2277</v>
      </c>
      <c r="B2278">
        <v>759</v>
      </c>
      <c r="C2278" t="s">
        <v>605</v>
      </c>
      <c r="D2278">
        <v>285.85000000000002</v>
      </c>
      <c r="E2278" t="s">
        <v>606</v>
      </c>
    </row>
    <row r="2279" spans="1:5" x14ac:dyDescent="0.3">
      <c r="A2279">
        <v>2278</v>
      </c>
      <c r="B2279">
        <v>760</v>
      </c>
      <c r="C2279" t="s">
        <v>615</v>
      </c>
      <c r="D2279">
        <v>248.85</v>
      </c>
      <c r="E2279" t="s">
        <v>616</v>
      </c>
    </row>
    <row r="2280" spans="1:5" x14ac:dyDescent="0.3">
      <c r="A2280">
        <v>2279</v>
      </c>
      <c r="B2280">
        <v>760</v>
      </c>
      <c r="C2280" t="s">
        <v>613</v>
      </c>
      <c r="D2280">
        <v>4.1399999999999997</v>
      </c>
      <c r="E2280" t="s">
        <v>614</v>
      </c>
    </row>
    <row r="2281" spans="1:5" x14ac:dyDescent="0.3">
      <c r="A2281">
        <v>2280</v>
      </c>
      <c r="B2281">
        <v>760</v>
      </c>
      <c r="C2281" t="s">
        <v>617</v>
      </c>
      <c r="D2281">
        <v>8.42</v>
      </c>
      <c r="E2281" t="s">
        <v>618</v>
      </c>
    </row>
    <row r="2282" spans="1:5" x14ac:dyDescent="0.3">
      <c r="A2282">
        <v>2281</v>
      </c>
      <c r="B2282">
        <v>761</v>
      </c>
      <c r="C2282" t="s">
        <v>607</v>
      </c>
      <c r="D2282">
        <v>135.78</v>
      </c>
      <c r="E2282" t="s">
        <v>608</v>
      </c>
    </row>
    <row r="2283" spans="1:5" x14ac:dyDescent="0.3">
      <c r="A2283">
        <v>2282</v>
      </c>
      <c r="B2283">
        <v>761</v>
      </c>
      <c r="C2283" t="s">
        <v>603</v>
      </c>
      <c r="D2283">
        <v>213.99</v>
      </c>
      <c r="E2283" t="s">
        <v>604</v>
      </c>
    </row>
    <row r="2284" spans="1:5" x14ac:dyDescent="0.3">
      <c r="A2284">
        <v>2283</v>
      </c>
      <c r="B2284">
        <v>761</v>
      </c>
      <c r="C2284" t="s">
        <v>621</v>
      </c>
      <c r="D2284">
        <v>11.8</v>
      </c>
      <c r="E2284" t="s">
        <v>622</v>
      </c>
    </row>
    <row r="2285" spans="1:5" x14ac:dyDescent="0.3">
      <c r="A2285">
        <v>2284</v>
      </c>
      <c r="B2285">
        <v>762</v>
      </c>
      <c r="C2285" t="s">
        <v>617</v>
      </c>
      <c r="D2285">
        <v>5.71</v>
      </c>
      <c r="E2285" t="s">
        <v>618</v>
      </c>
    </row>
    <row r="2286" spans="1:5" x14ac:dyDescent="0.3">
      <c r="A2286">
        <v>2285</v>
      </c>
      <c r="B2286">
        <v>762</v>
      </c>
      <c r="C2286" t="s">
        <v>603</v>
      </c>
      <c r="D2286">
        <v>197.58</v>
      </c>
      <c r="E2286" t="s">
        <v>604</v>
      </c>
    </row>
    <row r="2287" spans="1:5" x14ac:dyDescent="0.3">
      <c r="A2287">
        <v>2286</v>
      </c>
      <c r="B2287">
        <v>762</v>
      </c>
      <c r="C2287" t="s">
        <v>619</v>
      </c>
      <c r="D2287">
        <v>1.53</v>
      </c>
      <c r="E2287" t="s">
        <v>620</v>
      </c>
    </row>
    <row r="2288" spans="1:5" x14ac:dyDescent="0.3">
      <c r="A2288">
        <v>2287</v>
      </c>
      <c r="B2288">
        <v>763</v>
      </c>
      <c r="C2288" t="s">
        <v>615</v>
      </c>
      <c r="D2288">
        <v>249.62</v>
      </c>
      <c r="E2288" t="s">
        <v>616</v>
      </c>
    </row>
    <row r="2289" spans="1:5" x14ac:dyDescent="0.3">
      <c r="A2289">
        <v>2288</v>
      </c>
      <c r="B2289">
        <v>763</v>
      </c>
      <c r="C2289" t="s">
        <v>603</v>
      </c>
      <c r="D2289">
        <v>135.75</v>
      </c>
      <c r="E2289" t="s">
        <v>604</v>
      </c>
    </row>
    <row r="2290" spans="1:5" x14ac:dyDescent="0.3">
      <c r="A2290">
        <v>2289</v>
      </c>
      <c r="B2290">
        <v>763</v>
      </c>
      <c r="C2290" t="s">
        <v>621</v>
      </c>
      <c r="D2290">
        <v>8.4600000000000009</v>
      </c>
      <c r="E2290" t="s">
        <v>622</v>
      </c>
    </row>
    <row r="2291" spans="1:5" x14ac:dyDescent="0.3">
      <c r="A2291">
        <v>2290</v>
      </c>
      <c r="B2291">
        <v>764</v>
      </c>
      <c r="C2291" t="s">
        <v>619</v>
      </c>
      <c r="D2291">
        <v>3.5</v>
      </c>
      <c r="E2291" t="s">
        <v>620</v>
      </c>
    </row>
    <row r="2292" spans="1:5" x14ac:dyDescent="0.3">
      <c r="A2292">
        <v>2291</v>
      </c>
      <c r="B2292">
        <v>764</v>
      </c>
      <c r="C2292" t="s">
        <v>621</v>
      </c>
      <c r="D2292">
        <v>4.8499999999999996</v>
      </c>
      <c r="E2292" t="s">
        <v>622</v>
      </c>
    </row>
    <row r="2293" spans="1:5" x14ac:dyDescent="0.3">
      <c r="A2293">
        <v>2292</v>
      </c>
      <c r="B2293">
        <v>764</v>
      </c>
      <c r="C2293" t="s">
        <v>613</v>
      </c>
      <c r="D2293">
        <v>3.63</v>
      </c>
      <c r="E2293" t="s">
        <v>614</v>
      </c>
    </row>
    <row r="2294" spans="1:5" x14ac:dyDescent="0.3">
      <c r="A2294">
        <v>2293</v>
      </c>
      <c r="B2294">
        <v>765</v>
      </c>
      <c r="C2294" t="s">
        <v>615</v>
      </c>
      <c r="D2294">
        <v>433.22</v>
      </c>
      <c r="E2294" t="s">
        <v>616</v>
      </c>
    </row>
    <row r="2295" spans="1:5" x14ac:dyDescent="0.3">
      <c r="A2295">
        <v>2294</v>
      </c>
      <c r="B2295">
        <v>765</v>
      </c>
      <c r="C2295" t="s">
        <v>613</v>
      </c>
      <c r="D2295">
        <v>6.02</v>
      </c>
      <c r="E2295" t="s">
        <v>614</v>
      </c>
    </row>
    <row r="2296" spans="1:5" x14ac:dyDescent="0.3">
      <c r="A2296">
        <v>2295</v>
      </c>
      <c r="B2296">
        <v>765</v>
      </c>
      <c r="C2296" t="s">
        <v>609</v>
      </c>
      <c r="D2296">
        <v>15.65</v>
      </c>
      <c r="E2296" t="s">
        <v>610</v>
      </c>
    </row>
    <row r="2297" spans="1:5" x14ac:dyDescent="0.3">
      <c r="A2297">
        <v>2296</v>
      </c>
      <c r="B2297">
        <v>766</v>
      </c>
      <c r="C2297" t="s">
        <v>607</v>
      </c>
      <c r="D2297">
        <v>134.16</v>
      </c>
      <c r="E2297" t="s">
        <v>608</v>
      </c>
    </row>
    <row r="2298" spans="1:5" x14ac:dyDescent="0.3">
      <c r="A2298">
        <v>2297</v>
      </c>
      <c r="B2298">
        <v>766</v>
      </c>
      <c r="C2298" t="s">
        <v>613</v>
      </c>
      <c r="D2298">
        <v>4.8600000000000003</v>
      </c>
      <c r="E2298" t="s">
        <v>614</v>
      </c>
    </row>
    <row r="2299" spans="1:5" x14ac:dyDescent="0.3">
      <c r="A2299">
        <v>2298</v>
      </c>
      <c r="B2299">
        <v>766</v>
      </c>
      <c r="C2299" t="s">
        <v>619</v>
      </c>
      <c r="D2299">
        <v>1.81</v>
      </c>
      <c r="E2299" t="s">
        <v>620</v>
      </c>
    </row>
    <row r="2300" spans="1:5" x14ac:dyDescent="0.3">
      <c r="A2300">
        <v>2299</v>
      </c>
      <c r="B2300">
        <v>767</v>
      </c>
      <c r="C2300" t="s">
        <v>611</v>
      </c>
      <c r="D2300">
        <v>9.9</v>
      </c>
      <c r="E2300" t="s">
        <v>612</v>
      </c>
    </row>
    <row r="2301" spans="1:5" x14ac:dyDescent="0.3">
      <c r="A2301">
        <v>2300</v>
      </c>
      <c r="B2301">
        <v>767</v>
      </c>
      <c r="C2301" t="s">
        <v>603</v>
      </c>
      <c r="D2301">
        <v>133.35</v>
      </c>
      <c r="E2301" t="s">
        <v>604</v>
      </c>
    </row>
    <row r="2302" spans="1:5" x14ac:dyDescent="0.3">
      <c r="A2302">
        <v>2301</v>
      </c>
      <c r="B2302">
        <v>767</v>
      </c>
      <c r="C2302" t="s">
        <v>615</v>
      </c>
      <c r="D2302">
        <v>423.26</v>
      </c>
      <c r="E2302" t="s">
        <v>616</v>
      </c>
    </row>
    <row r="2303" spans="1:5" x14ac:dyDescent="0.3">
      <c r="A2303">
        <v>2302</v>
      </c>
      <c r="B2303">
        <v>768</v>
      </c>
      <c r="C2303" t="s">
        <v>611</v>
      </c>
      <c r="D2303">
        <v>16.25</v>
      </c>
      <c r="E2303" t="s">
        <v>612</v>
      </c>
    </row>
    <row r="2304" spans="1:5" x14ac:dyDescent="0.3">
      <c r="A2304">
        <v>2303</v>
      </c>
      <c r="B2304">
        <v>768</v>
      </c>
      <c r="C2304" t="s">
        <v>613</v>
      </c>
      <c r="D2304">
        <v>3.05</v>
      </c>
      <c r="E2304" t="s">
        <v>614</v>
      </c>
    </row>
    <row r="2305" spans="1:5" x14ac:dyDescent="0.3">
      <c r="A2305">
        <v>2304</v>
      </c>
      <c r="B2305">
        <v>768</v>
      </c>
      <c r="C2305" t="s">
        <v>605</v>
      </c>
      <c r="D2305">
        <v>315.44</v>
      </c>
      <c r="E2305" t="s">
        <v>606</v>
      </c>
    </row>
    <row r="2306" spans="1:5" x14ac:dyDescent="0.3">
      <c r="A2306">
        <v>2305</v>
      </c>
      <c r="B2306">
        <v>769</v>
      </c>
      <c r="C2306" t="s">
        <v>607</v>
      </c>
      <c r="D2306">
        <v>140.97999999999999</v>
      </c>
      <c r="E2306" t="s">
        <v>608</v>
      </c>
    </row>
    <row r="2307" spans="1:5" x14ac:dyDescent="0.3">
      <c r="A2307">
        <v>2306</v>
      </c>
      <c r="B2307">
        <v>769</v>
      </c>
      <c r="C2307" t="s">
        <v>605</v>
      </c>
      <c r="D2307">
        <v>234.82</v>
      </c>
      <c r="E2307" t="s">
        <v>606</v>
      </c>
    </row>
    <row r="2308" spans="1:5" x14ac:dyDescent="0.3">
      <c r="A2308">
        <v>2307</v>
      </c>
      <c r="B2308">
        <v>769</v>
      </c>
      <c r="C2308" t="s">
        <v>609</v>
      </c>
      <c r="D2308">
        <v>11.28</v>
      </c>
      <c r="E2308" t="s">
        <v>610</v>
      </c>
    </row>
    <row r="2309" spans="1:5" x14ac:dyDescent="0.3">
      <c r="A2309">
        <v>2308</v>
      </c>
      <c r="B2309">
        <v>770</v>
      </c>
      <c r="C2309" t="s">
        <v>613</v>
      </c>
      <c r="D2309">
        <v>4.75</v>
      </c>
      <c r="E2309" t="s">
        <v>614</v>
      </c>
    </row>
    <row r="2310" spans="1:5" x14ac:dyDescent="0.3">
      <c r="A2310">
        <v>2309</v>
      </c>
      <c r="B2310">
        <v>770</v>
      </c>
      <c r="C2310" t="s">
        <v>619</v>
      </c>
      <c r="D2310">
        <v>3.17</v>
      </c>
      <c r="E2310" t="s">
        <v>620</v>
      </c>
    </row>
    <row r="2311" spans="1:5" x14ac:dyDescent="0.3">
      <c r="A2311">
        <v>2310</v>
      </c>
      <c r="B2311">
        <v>770</v>
      </c>
      <c r="C2311" t="s">
        <v>615</v>
      </c>
      <c r="D2311">
        <v>191.25</v>
      </c>
      <c r="E2311" t="s">
        <v>616</v>
      </c>
    </row>
    <row r="2312" spans="1:5" x14ac:dyDescent="0.3">
      <c r="A2312">
        <v>2311</v>
      </c>
      <c r="B2312">
        <v>771</v>
      </c>
      <c r="C2312" t="s">
        <v>609</v>
      </c>
      <c r="D2312">
        <v>2.9</v>
      </c>
      <c r="E2312" t="s">
        <v>610</v>
      </c>
    </row>
    <row r="2313" spans="1:5" x14ac:dyDescent="0.3">
      <c r="A2313">
        <v>2312</v>
      </c>
      <c r="B2313">
        <v>771</v>
      </c>
      <c r="C2313" t="s">
        <v>617</v>
      </c>
      <c r="D2313">
        <v>13.01</v>
      </c>
      <c r="E2313" t="s">
        <v>618</v>
      </c>
    </row>
    <row r="2314" spans="1:5" x14ac:dyDescent="0.3">
      <c r="A2314">
        <v>2313</v>
      </c>
      <c r="B2314">
        <v>771</v>
      </c>
      <c r="C2314" t="s">
        <v>603</v>
      </c>
      <c r="D2314">
        <v>226.08</v>
      </c>
      <c r="E2314" t="s">
        <v>604</v>
      </c>
    </row>
    <row r="2315" spans="1:5" x14ac:dyDescent="0.3">
      <c r="A2315">
        <v>2314</v>
      </c>
      <c r="B2315">
        <v>772</v>
      </c>
      <c r="C2315" t="s">
        <v>615</v>
      </c>
      <c r="D2315">
        <v>361.55</v>
      </c>
      <c r="E2315" t="s">
        <v>616</v>
      </c>
    </row>
    <row r="2316" spans="1:5" x14ac:dyDescent="0.3">
      <c r="A2316">
        <v>2315</v>
      </c>
      <c r="B2316">
        <v>772</v>
      </c>
      <c r="C2316" t="s">
        <v>621</v>
      </c>
      <c r="D2316">
        <v>5.72</v>
      </c>
      <c r="E2316" t="s">
        <v>622</v>
      </c>
    </row>
    <row r="2317" spans="1:5" x14ac:dyDescent="0.3">
      <c r="A2317">
        <v>2316</v>
      </c>
      <c r="B2317">
        <v>772</v>
      </c>
      <c r="C2317" t="s">
        <v>613</v>
      </c>
      <c r="D2317">
        <v>3.89</v>
      </c>
      <c r="E2317" t="s">
        <v>614</v>
      </c>
    </row>
    <row r="2318" spans="1:5" x14ac:dyDescent="0.3">
      <c r="A2318">
        <v>2317</v>
      </c>
      <c r="B2318">
        <v>773</v>
      </c>
      <c r="C2318" t="s">
        <v>619</v>
      </c>
      <c r="D2318">
        <v>1.67</v>
      </c>
      <c r="E2318" t="s">
        <v>620</v>
      </c>
    </row>
    <row r="2319" spans="1:5" x14ac:dyDescent="0.3">
      <c r="A2319">
        <v>2318</v>
      </c>
      <c r="B2319">
        <v>773</v>
      </c>
      <c r="C2319" t="s">
        <v>613</v>
      </c>
      <c r="D2319">
        <v>5.0999999999999996</v>
      </c>
      <c r="E2319" t="s">
        <v>614</v>
      </c>
    </row>
    <row r="2320" spans="1:5" x14ac:dyDescent="0.3">
      <c r="A2320">
        <v>2319</v>
      </c>
      <c r="B2320">
        <v>773</v>
      </c>
      <c r="C2320" t="s">
        <v>615</v>
      </c>
      <c r="D2320">
        <v>346.42</v>
      </c>
      <c r="E2320" t="s">
        <v>616</v>
      </c>
    </row>
    <row r="2321" spans="1:5" x14ac:dyDescent="0.3">
      <c r="A2321">
        <v>2320</v>
      </c>
      <c r="B2321">
        <v>774</v>
      </c>
      <c r="C2321" t="s">
        <v>617</v>
      </c>
      <c r="D2321">
        <v>4.55</v>
      </c>
      <c r="E2321" t="s">
        <v>618</v>
      </c>
    </row>
    <row r="2322" spans="1:5" x14ac:dyDescent="0.3">
      <c r="A2322">
        <v>2321</v>
      </c>
      <c r="B2322">
        <v>774</v>
      </c>
      <c r="C2322" t="s">
        <v>603</v>
      </c>
      <c r="D2322">
        <v>140.99</v>
      </c>
      <c r="E2322" t="s">
        <v>604</v>
      </c>
    </row>
    <row r="2323" spans="1:5" x14ac:dyDescent="0.3">
      <c r="A2323">
        <v>2322</v>
      </c>
      <c r="B2323">
        <v>774</v>
      </c>
      <c r="C2323" t="s">
        <v>605</v>
      </c>
      <c r="D2323">
        <v>199.26</v>
      </c>
      <c r="E2323" t="s">
        <v>606</v>
      </c>
    </row>
    <row r="2324" spans="1:5" x14ac:dyDescent="0.3">
      <c r="A2324">
        <v>2323</v>
      </c>
      <c r="B2324">
        <v>775</v>
      </c>
      <c r="C2324" t="s">
        <v>613</v>
      </c>
      <c r="D2324">
        <v>5.9</v>
      </c>
      <c r="E2324" t="s">
        <v>614</v>
      </c>
    </row>
    <row r="2325" spans="1:5" x14ac:dyDescent="0.3">
      <c r="A2325">
        <v>2324</v>
      </c>
      <c r="B2325">
        <v>775</v>
      </c>
      <c r="C2325" t="s">
        <v>603</v>
      </c>
      <c r="D2325">
        <v>159.77000000000001</v>
      </c>
      <c r="E2325" t="s">
        <v>604</v>
      </c>
    </row>
    <row r="2326" spans="1:5" x14ac:dyDescent="0.3">
      <c r="A2326">
        <v>2325</v>
      </c>
      <c r="B2326">
        <v>775</v>
      </c>
      <c r="C2326" t="s">
        <v>609</v>
      </c>
      <c r="D2326">
        <v>0.42</v>
      </c>
      <c r="E2326" t="s">
        <v>610</v>
      </c>
    </row>
    <row r="2327" spans="1:5" x14ac:dyDescent="0.3">
      <c r="A2327">
        <v>2326</v>
      </c>
      <c r="B2327">
        <v>776</v>
      </c>
      <c r="C2327" t="s">
        <v>607</v>
      </c>
      <c r="D2327">
        <v>145.38</v>
      </c>
      <c r="E2327" t="s">
        <v>608</v>
      </c>
    </row>
    <row r="2328" spans="1:5" x14ac:dyDescent="0.3">
      <c r="A2328">
        <v>2327</v>
      </c>
      <c r="B2328">
        <v>776</v>
      </c>
      <c r="C2328" t="s">
        <v>603</v>
      </c>
      <c r="D2328">
        <v>156.02000000000001</v>
      </c>
      <c r="E2328" t="s">
        <v>604</v>
      </c>
    </row>
    <row r="2329" spans="1:5" x14ac:dyDescent="0.3">
      <c r="A2329">
        <v>2328</v>
      </c>
      <c r="B2329">
        <v>776</v>
      </c>
      <c r="C2329" t="s">
        <v>615</v>
      </c>
      <c r="D2329">
        <v>301.19</v>
      </c>
      <c r="E2329" t="s">
        <v>616</v>
      </c>
    </row>
    <row r="2330" spans="1:5" x14ac:dyDescent="0.3">
      <c r="A2330">
        <v>2329</v>
      </c>
      <c r="B2330">
        <v>777</v>
      </c>
      <c r="C2330" t="s">
        <v>611</v>
      </c>
      <c r="D2330">
        <v>17.23</v>
      </c>
      <c r="E2330" t="s">
        <v>612</v>
      </c>
    </row>
    <row r="2331" spans="1:5" x14ac:dyDescent="0.3">
      <c r="A2331">
        <v>2330</v>
      </c>
      <c r="B2331">
        <v>777</v>
      </c>
      <c r="C2331" t="s">
        <v>621</v>
      </c>
      <c r="D2331">
        <v>10.24</v>
      </c>
      <c r="E2331" t="s">
        <v>622</v>
      </c>
    </row>
    <row r="2332" spans="1:5" x14ac:dyDescent="0.3">
      <c r="A2332">
        <v>2331</v>
      </c>
      <c r="B2332">
        <v>777</v>
      </c>
      <c r="C2332" t="s">
        <v>609</v>
      </c>
      <c r="D2332">
        <v>10.68</v>
      </c>
      <c r="E2332" t="s">
        <v>610</v>
      </c>
    </row>
    <row r="2333" spans="1:5" x14ac:dyDescent="0.3">
      <c r="A2333">
        <v>2332</v>
      </c>
      <c r="B2333">
        <v>778</v>
      </c>
      <c r="C2333" t="s">
        <v>609</v>
      </c>
      <c r="D2333">
        <v>12.24</v>
      </c>
      <c r="E2333" t="s">
        <v>610</v>
      </c>
    </row>
    <row r="2334" spans="1:5" x14ac:dyDescent="0.3">
      <c r="A2334">
        <v>2333</v>
      </c>
      <c r="B2334">
        <v>778</v>
      </c>
      <c r="C2334" t="s">
        <v>611</v>
      </c>
      <c r="D2334">
        <v>17.43</v>
      </c>
      <c r="E2334" t="s">
        <v>612</v>
      </c>
    </row>
    <row r="2335" spans="1:5" x14ac:dyDescent="0.3">
      <c r="A2335">
        <v>2334</v>
      </c>
      <c r="B2335">
        <v>778</v>
      </c>
      <c r="C2335" t="s">
        <v>613</v>
      </c>
      <c r="D2335">
        <v>5.36</v>
      </c>
      <c r="E2335" t="s">
        <v>614</v>
      </c>
    </row>
    <row r="2336" spans="1:5" x14ac:dyDescent="0.3">
      <c r="A2336">
        <v>2335</v>
      </c>
      <c r="B2336">
        <v>779</v>
      </c>
      <c r="C2336" t="s">
        <v>607</v>
      </c>
      <c r="D2336">
        <v>137.93</v>
      </c>
      <c r="E2336" t="s">
        <v>608</v>
      </c>
    </row>
    <row r="2337" spans="1:5" x14ac:dyDescent="0.3">
      <c r="A2337">
        <v>2336</v>
      </c>
      <c r="B2337">
        <v>779</v>
      </c>
      <c r="C2337" t="s">
        <v>617</v>
      </c>
      <c r="D2337">
        <v>14.45</v>
      </c>
      <c r="E2337" t="s">
        <v>618</v>
      </c>
    </row>
    <row r="2338" spans="1:5" x14ac:dyDescent="0.3">
      <c r="A2338">
        <v>2337</v>
      </c>
      <c r="B2338">
        <v>779</v>
      </c>
      <c r="C2338" t="s">
        <v>613</v>
      </c>
      <c r="D2338">
        <v>5.31</v>
      </c>
      <c r="E2338" t="s">
        <v>614</v>
      </c>
    </row>
    <row r="2339" spans="1:5" x14ac:dyDescent="0.3">
      <c r="A2339">
        <v>2338</v>
      </c>
      <c r="B2339">
        <v>780</v>
      </c>
      <c r="C2339" t="s">
        <v>615</v>
      </c>
      <c r="D2339">
        <v>326.74</v>
      </c>
      <c r="E2339" t="s">
        <v>616</v>
      </c>
    </row>
    <row r="2340" spans="1:5" x14ac:dyDescent="0.3">
      <c r="A2340">
        <v>2339</v>
      </c>
      <c r="B2340">
        <v>780</v>
      </c>
      <c r="C2340" t="s">
        <v>611</v>
      </c>
      <c r="D2340">
        <v>10.57</v>
      </c>
      <c r="E2340" t="s">
        <v>612</v>
      </c>
    </row>
    <row r="2341" spans="1:5" x14ac:dyDescent="0.3">
      <c r="A2341">
        <v>2340</v>
      </c>
      <c r="B2341">
        <v>780</v>
      </c>
      <c r="C2341" t="s">
        <v>605</v>
      </c>
      <c r="D2341">
        <v>225.54</v>
      </c>
      <c r="E2341" t="s">
        <v>606</v>
      </c>
    </row>
    <row r="2342" spans="1:5" x14ac:dyDescent="0.3">
      <c r="A2342">
        <v>2341</v>
      </c>
      <c r="B2342">
        <v>781</v>
      </c>
      <c r="C2342" t="s">
        <v>607</v>
      </c>
      <c r="D2342">
        <v>140.63999999999999</v>
      </c>
      <c r="E2342" t="s">
        <v>608</v>
      </c>
    </row>
    <row r="2343" spans="1:5" x14ac:dyDescent="0.3">
      <c r="A2343">
        <v>2342</v>
      </c>
      <c r="B2343">
        <v>781</v>
      </c>
      <c r="C2343" t="s">
        <v>603</v>
      </c>
      <c r="D2343">
        <v>66.180000000000007</v>
      </c>
      <c r="E2343" t="s">
        <v>604</v>
      </c>
    </row>
    <row r="2344" spans="1:5" x14ac:dyDescent="0.3">
      <c r="A2344">
        <v>2343</v>
      </c>
      <c r="B2344">
        <v>781</v>
      </c>
      <c r="C2344" t="s">
        <v>621</v>
      </c>
      <c r="D2344">
        <v>10.63</v>
      </c>
      <c r="E2344" t="s">
        <v>622</v>
      </c>
    </row>
    <row r="2345" spans="1:5" x14ac:dyDescent="0.3">
      <c r="A2345">
        <v>2344</v>
      </c>
      <c r="B2345">
        <v>782</v>
      </c>
      <c r="C2345" t="s">
        <v>603</v>
      </c>
      <c r="D2345">
        <v>124.64</v>
      </c>
      <c r="E2345" t="s">
        <v>604</v>
      </c>
    </row>
    <row r="2346" spans="1:5" x14ac:dyDescent="0.3">
      <c r="A2346">
        <v>2345</v>
      </c>
      <c r="B2346">
        <v>782</v>
      </c>
      <c r="C2346" t="s">
        <v>621</v>
      </c>
      <c r="D2346">
        <v>5.2</v>
      </c>
      <c r="E2346" t="s">
        <v>622</v>
      </c>
    </row>
    <row r="2347" spans="1:5" x14ac:dyDescent="0.3">
      <c r="A2347">
        <v>2346</v>
      </c>
      <c r="B2347">
        <v>782</v>
      </c>
      <c r="C2347" t="s">
        <v>619</v>
      </c>
      <c r="D2347">
        <v>3.49</v>
      </c>
      <c r="E2347" t="s">
        <v>620</v>
      </c>
    </row>
    <row r="2348" spans="1:5" x14ac:dyDescent="0.3">
      <c r="A2348">
        <v>2347</v>
      </c>
      <c r="B2348">
        <v>783</v>
      </c>
      <c r="C2348" t="s">
        <v>621</v>
      </c>
      <c r="D2348">
        <v>9.23</v>
      </c>
      <c r="E2348" t="s">
        <v>622</v>
      </c>
    </row>
    <row r="2349" spans="1:5" x14ac:dyDescent="0.3">
      <c r="A2349">
        <v>2348</v>
      </c>
      <c r="B2349">
        <v>783</v>
      </c>
      <c r="C2349" t="s">
        <v>615</v>
      </c>
      <c r="D2349">
        <v>170.12</v>
      </c>
      <c r="E2349" t="s">
        <v>616</v>
      </c>
    </row>
    <row r="2350" spans="1:5" x14ac:dyDescent="0.3">
      <c r="A2350">
        <v>2349</v>
      </c>
      <c r="B2350">
        <v>783</v>
      </c>
      <c r="C2350" t="s">
        <v>613</v>
      </c>
      <c r="D2350">
        <v>5.59</v>
      </c>
      <c r="E2350" t="s">
        <v>614</v>
      </c>
    </row>
    <row r="2351" spans="1:5" x14ac:dyDescent="0.3">
      <c r="A2351">
        <v>2350</v>
      </c>
      <c r="B2351">
        <v>784</v>
      </c>
      <c r="C2351" t="s">
        <v>615</v>
      </c>
      <c r="D2351">
        <v>370.55</v>
      </c>
      <c r="E2351" t="s">
        <v>616</v>
      </c>
    </row>
    <row r="2352" spans="1:5" x14ac:dyDescent="0.3">
      <c r="A2352">
        <v>2351</v>
      </c>
      <c r="B2352">
        <v>784</v>
      </c>
      <c r="C2352" t="s">
        <v>605</v>
      </c>
      <c r="D2352">
        <v>161.22999999999999</v>
      </c>
      <c r="E2352" t="s">
        <v>606</v>
      </c>
    </row>
    <row r="2353" spans="1:5" x14ac:dyDescent="0.3">
      <c r="A2353">
        <v>2352</v>
      </c>
      <c r="B2353">
        <v>784</v>
      </c>
      <c r="C2353" t="s">
        <v>619</v>
      </c>
      <c r="D2353">
        <v>1.1399999999999999</v>
      </c>
      <c r="E2353" t="s">
        <v>620</v>
      </c>
    </row>
    <row r="2354" spans="1:5" x14ac:dyDescent="0.3">
      <c r="A2354">
        <v>2353</v>
      </c>
      <c r="B2354">
        <v>785</v>
      </c>
      <c r="C2354" t="s">
        <v>603</v>
      </c>
      <c r="D2354">
        <v>209.2</v>
      </c>
      <c r="E2354" t="s">
        <v>604</v>
      </c>
    </row>
    <row r="2355" spans="1:5" x14ac:dyDescent="0.3">
      <c r="A2355">
        <v>2354</v>
      </c>
      <c r="B2355">
        <v>785</v>
      </c>
      <c r="C2355" t="s">
        <v>609</v>
      </c>
      <c r="D2355">
        <v>10.85</v>
      </c>
      <c r="E2355" t="s">
        <v>610</v>
      </c>
    </row>
    <row r="2356" spans="1:5" x14ac:dyDescent="0.3">
      <c r="A2356">
        <v>2355</v>
      </c>
      <c r="B2356">
        <v>785</v>
      </c>
      <c r="C2356" t="s">
        <v>621</v>
      </c>
      <c r="D2356">
        <v>11.64</v>
      </c>
      <c r="E2356" t="s">
        <v>622</v>
      </c>
    </row>
    <row r="2357" spans="1:5" x14ac:dyDescent="0.3">
      <c r="A2357">
        <v>2356</v>
      </c>
      <c r="B2357">
        <v>786</v>
      </c>
      <c r="C2357" t="s">
        <v>615</v>
      </c>
      <c r="D2357">
        <v>330.36</v>
      </c>
      <c r="E2357" t="s">
        <v>616</v>
      </c>
    </row>
    <row r="2358" spans="1:5" x14ac:dyDescent="0.3">
      <c r="A2358">
        <v>2357</v>
      </c>
      <c r="B2358">
        <v>786</v>
      </c>
      <c r="C2358" t="s">
        <v>621</v>
      </c>
      <c r="D2358">
        <v>5.61</v>
      </c>
      <c r="E2358" t="s">
        <v>622</v>
      </c>
    </row>
    <row r="2359" spans="1:5" x14ac:dyDescent="0.3">
      <c r="A2359">
        <v>2358</v>
      </c>
      <c r="B2359">
        <v>786</v>
      </c>
      <c r="C2359" t="s">
        <v>619</v>
      </c>
      <c r="D2359">
        <v>1.07</v>
      </c>
      <c r="E2359" t="s">
        <v>620</v>
      </c>
    </row>
    <row r="2360" spans="1:5" x14ac:dyDescent="0.3">
      <c r="A2360">
        <v>2359</v>
      </c>
      <c r="B2360">
        <v>787</v>
      </c>
      <c r="C2360" t="s">
        <v>617</v>
      </c>
      <c r="D2360">
        <v>13.04</v>
      </c>
      <c r="E2360" t="s">
        <v>618</v>
      </c>
    </row>
    <row r="2361" spans="1:5" x14ac:dyDescent="0.3">
      <c r="A2361">
        <v>2360</v>
      </c>
      <c r="B2361">
        <v>787</v>
      </c>
      <c r="C2361" t="s">
        <v>619</v>
      </c>
      <c r="D2361">
        <v>0.6</v>
      </c>
      <c r="E2361" t="s">
        <v>620</v>
      </c>
    </row>
    <row r="2362" spans="1:5" x14ac:dyDescent="0.3">
      <c r="A2362">
        <v>2361</v>
      </c>
      <c r="B2362">
        <v>787</v>
      </c>
      <c r="C2362" t="s">
        <v>609</v>
      </c>
      <c r="D2362">
        <v>17.559999999999999</v>
      </c>
      <c r="E2362" t="s">
        <v>610</v>
      </c>
    </row>
    <row r="2363" spans="1:5" x14ac:dyDescent="0.3">
      <c r="A2363">
        <v>2362</v>
      </c>
      <c r="B2363">
        <v>788</v>
      </c>
      <c r="C2363" t="s">
        <v>613</v>
      </c>
      <c r="D2363">
        <v>2.89</v>
      </c>
      <c r="E2363" t="s">
        <v>614</v>
      </c>
    </row>
    <row r="2364" spans="1:5" x14ac:dyDescent="0.3">
      <c r="A2364">
        <v>2363</v>
      </c>
      <c r="B2364">
        <v>788</v>
      </c>
      <c r="C2364" t="s">
        <v>611</v>
      </c>
      <c r="D2364">
        <v>16.11</v>
      </c>
      <c r="E2364" t="s">
        <v>612</v>
      </c>
    </row>
    <row r="2365" spans="1:5" x14ac:dyDescent="0.3">
      <c r="A2365">
        <v>2364</v>
      </c>
      <c r="B2365">
        <v>788</v>
      </c>
      <c r="C2365" t="s">
        <v>607</v>
      </c>
      <c r="D2365">
        <v>146.79</v>
      </c>
      <c r="E2365" t="s">
        <v>608</v>
      </c>
    </row>
    <row r="2366" spans="1:5" x14ac:dyDescent="0.3">
      <c r="A2366">
        <v>2365</v>
      </c>
      <c r="B2366">
        <v>789</v>
      </c>
      <c r="C2366" t="s">
        <v>619</v>
      </c>
      <c r="D2366">
        <v>2.06</v>
      </c>
      <c r="E2366" t="s">
        <v>620</v>
      </c>
    </row>
    <row r="2367" spans="1:5" x14ac:dyDescent="0.3">
      <c r="A2367">
        <v>2366</v>
      </c>
      <c r="B2367">
        <v>789</v>
      </c>
      <c r="C2367" t="s">
        <v>607</v>
      </c>
      <c r="D2367">
        <v>136.78</v>
      </c>
      <c r="E2367" t="s">
        <v>608</v>
      </c>
    </row>
    <row r="2368" spans="1:5" x14ac:dyDescent="0.3">
      <c r="A2368">
        <v>2367</v>
      </c>
      <c r="B2368">
        <v>789</v>
      </c>
      <c r="C2368" t="s">
        <v>603</v>
      </c>
      <c r="D2368">
        <v>103.04</v>
      </c>
      <c r="E2368" t="s">
        <v>604</v>
      </c>
    </row>
    <row r="2369" spans="1:5" x14ac:dyDescent="0.3">
      <c r="A2369">
        <v>2368</v>
      </c>
      <c r="B2369">
        <v>790</v>
      </c>
      <c r="C2369" t="s">
        <v>607</v>
      </c>
      <c r="D2369">
        <v>149.32</v>
      </c>
      <c r="E2369" t="s">
        <v>608</v>
      </c>
    </row>
    <row r="2370" spans="1:5" x14ac:dyDescent="0.3">
      <c r="A2370">
        <v>2369</v>
      </c>
      <c r="B2370">
        <v>790</v>
      </c>
      <c r="C2370" t="s">
        <v>611</v>
      </c>
      <c r="D2370">
        <v>12.32</v>
      </c>
      <c r="E2370" t="s">
        <v>612</v>
      </c>
    </row>
    <row r="2371" spans="1:5" x14ac:dyDescent="0.3">
      <c r="A2371">
        <v>2370</v>
      </c>
      <c r="B2371">
        <v>790</v>
      </c>
      <c r="C2371" t="s">
        <v>609</v>
      </c>
      <c r="D2371">
        <v>11.61</v>
      </c>
      <c r="E2371" t="s">
        <v>610</v>
      </c>
    </row>
    <row r="2372" spans="1:5" x14ac:dyDescent="0.3">
      <c r="A2372">
        <v>2371</v>
      </c>
      <c r="B2372">
        <v>791</v>
      </c>
      <c r="C2372" t="s">
        <v>609</v>
      </c>
      <c r="D2372">
        <v>15.16</v>
      </c>
      <c r="E2372" t="s">
        <v>610</v>
      </c>
    </row>
    <row r="2373" spans="1:5" x14ac:dyDescent="0.3">
      <c r="A2373">
        <v>2372</v>
      </c>
      <c r="B2373">
        <v>791</v>
      </c>
      <c r="C2373" t="s">
        <v>611</v>
      </c>
      <c r="D2373">
        <v>8.26</v>
      </c>
      <c r="E2373" t="s">
        <v>612</v>
      </c>
    </row>
    <row r="2374" spans="1:5" x14ac:dyDescent="0.3">
      <c r="A2374">
        <v>2373</v>
      </c>
      <c r="B2374">
        <v>791</v>
      </c>
      <c r="C2374" t="s">
        <v>605</v>
      </c>
      <c r="D2374">
        <v>217.82</v>
      </c>
      <c r="E2374" t="s">
        <v>606</v>
      </c>
    </row>
    <row r="2375" spans="1:5" x14ac:dyDescent="0.3">
      <c r="A2375">
        <v>2374</v>
      </c>
      <c r="B2375">
        <v>792</v>
      </c>
      <c r="C2375" t="s">
        <v>621</v>
      </c>
      <c r="D2375">
        <v>7.32</v>
      </c>
      <c r="E2375" t="s">
        <v>622</v>
      </c>
    </row>
    <row r="2376" spans="1:5" x14ac:dyDescent="0.3">
      <c r="A2376">
        <v>2375</v>
      </c>
      <c r="B2376">
        <v>792</v>
      </c>
      <c r="C2376" t="s">
        <v>615</v>
      </c>
      <c r="D2376">
        <v>173.61</v>
      </c>
      <c r="E2376" t="s">
        <v>616</v>
      </c>
    </row>
    <row r="2377" spans="1:5" x14ac:dyDescent="0.3">
      <c r="A2377">
        <v>2376</v>
      </c>
      <c r="B2377">
        <v>792</v>
      </c>
      <c r="C2377" t="s">
        <v>609</v>
      </c>
      <c r="D2377">
        <v>1.91</v>
      </c>
      <c r="E2377" t="s">
        <v>610</v>
      </c>
    </row>
    <row r="2378" spans="1:5" x14ac:dyDescent="0.3">
      <c r="A2378">
        <v>2377</v>
      </c>
      <c r="B2378">
        <v>793</v>
      </c>
      <c r="C2378" t="s">
        <v>609</v>
      </c>
      <c r="D2378">
        <v>5.18</v>
      </c>
      <c r="E2378" t="s">
        <v>610</v>
      </c>
    </row>
    <row r="2379" spans="1:5" x14ac:dyDescent="0.3">
      <c r="A2379">
        <v>2378</v>
      </c>
      <c r="B2379">
        <v>793</v>
      </c>
      <c r="C2379" t="s">
        <v>615</v>
      </c>
      <c r="D2379">
        <v>139.19999999999999</v>
      </c>
      <c r="E2379" t="s">
        <v>616</v>
      </c>
    </row>
    <row r="2380" spans="1:5" x14ac:dyDescent="0.3">
      <c r="A2380">
        <v>2379</v>
      </c>
      <c r="B2380">
        <v>793</v>
      </c>
      <c r="C2380" t="s">
        <v>613</v>
      </c>
      <c r="D2380">
        <v>4.3499999999999996</v>
      </c>
      <c r="E2380" t="s">
        <v>614</v>
      </c>
    </row>
    <row r="2381" spans="1:5" x14ac:dyDescent="0.3">
      <c r="A2381">
        <v>2380</v>
      </c>
      <c r="B2381">
        <v>794</v>
      </c>
      <c r="C2381" t="s">
        <v>603</v>
      </c>
      <c r="D2381">
        <v>139.06</v>
      </c>
      <c r="E2381" t="s">
        <v>604</v>
      </c>
    </row>
    <row r="2382" spans="1:5" x14ac:dyDescent="0.3">
      <c r="A2382">
        <v>2381</v>
      </c>
      <c r="B2382">
        <v>794</v>
      </c>
      <c r="C2382" t="s">
        <v>607</v>
      </c>
      <c r="D2382">
        <v>146.86000000000001</v>
      </c>
      <c r="E2382" t="s">
        <v>608</v>
      </c>
    </row>
    <row r="2383" spans="1:5" x14ac:dyDescent="0.3">
      <c r="A2383">
        <v>2382</v>
      </c>
      <c r="B2383">
        <v>794</v>
      </c>
      <c r="C2383" t="s">
        <v>609</v>
      </c>
      <c r="D2383">
        <v>7.16</v>
      </c>
      <c r="E2383" t="s">
        <v>610</v>
      </c>
    </row>
    <row r="2384" spans="1:5" x14ac:dyDescent="0.3">
      <c r="A2384">
        <v>2383</v>
      </c>
      <c r="B2384">
        <v>795</v>
      </c>
      <c r="C2384" t="s">
        <v>617</v>
      </c>
      <c r="D2384">
        <v>15.3</v>
      </c>
      <c r="E2384" t="s">
        <v>618</v>
      </c>
    </row>
    <row r="2385" spans="1:5" x14ac:dyDescent="0.3">
      <c r="A2385">
        <v>2384</v>
      </c>
      <c r="B2385">
        <v>795</v>
      </c>
      <c r="C2385" t="s">
        <v>611</v>
      </c>
      <c r="D2385">
        <v>13.85</v>
      </c>
      <c r="E2385" t="s">
        <v>612</v>
      </c>
    </row>
    <row r="2386" spans="1:5" x14ac:dyDescent="0.3">
      <c r="A2386">
        <v>2385</v>
      </c>
      <c r="B2386">
        <v>795</v>
      </c>
      <c r="C2386" t="s">
        <v>607</v>
      </c>
      <c r="D2386">
        <v>133.05000000000001</v>
      </c>
      <c r="E2386" t="s">
        <v>608</v>
      </c>
    </row>
    <row r="2387" spans="1:5" x14ac:dyDescent="0.3">
      <c r="A2387">
        <v>2386</v>
      </c>
      <c r="B2387">
        <v>796</v>
      </c>
      <c r="C2387" t="s">
        <v>611</v>
      </c>
      <c r="D2387">
        <v>7.17</v>
      </c>
      <c r="E2387" t="s">
        <v>612</v>
      </c>
    </row>
    <row r="2388" spans="1:5" x14ac:dyDescent="0.3">
      <c r="A2388">
        <v>2387</v>
      </c>
      <c r="B2388">
        <v>796</v>
      </c>
      <c r="C2388" t="s">
        <v>607</v>
      </c>
      <c r="D2388">
        <v>149.21</v>
      </c>
      <c r="E2388" t="s">
        <v>608</v>
      </c>
    </row>
    <row r="2389" spans="1:5" x14ac:dyDescent="0.3">
      <c r="A2389">
        <v>2388</v>
      </c>
      <c r="B2389">
        <v>796</v>
      </c>
      <c r="C2389" t="s">
        <v>613</v>
      </c>
      <c r="D2389">
        <v>5.28</v>
      </c>
      <c r="E2389" t="s">
        <v>614</v>
      </c>
    </row>
    <row r="2390" spans="1:5" x14ac:dyDescent="0.3">
      <c r="A2390">
        <v>2389</v>
      </c>
      <c r="B2390">
        <v>797</v>
      </c>
      <c r="C2390" t="s">
        <v>615</v>
      </c>
      <c r="D2390">
        <v>396.6</v>
      </c>
      <c r="E2390" t="s">
        <v>616</v>
      </c>
    </row>
    <row r="2391" spans="1:5" x14ac:dyDescent="0.3">
      <c r="A2391">
        <v>2390</v>
      </c>
      <c r="B2391">
        <v>797</v>
      </c>
      <c r="C2391" t="s">
        <v>603</v>
      </c>
      <c r="D2391">
        <v>97.81</v>
      </c>
      <c r="E2391" t="s">
        <v>604</v>
      </c>
    </row>
    <row r="2392" spans="1:5" x14ac:dyDescent="0.3">
      <c r="A2392">
        <v>2391</v>
      </c>
      <c r="B2392">
        <v>797</v>
      </c>
      <c r="C2392" t="s">
        <v>605</v>
      </c>
      <c r="D2392">
        <v>121.85</v>
      </c>
      <c r="E2392" t="s">
        <v>606</v>
      </c>
    </row>
    <row r="2393" spans="1:5" x14ac:dyDescent="0.3">
      <c r="A2393">
        <v>2392</v>
      </c>
      <c r="B2393">
        <v>798</v>
      </c>
      <c r="C2393" t="s">
        <v>609</v>
      </c>
      <c r="D2393">
        <v>13.93</v>
      </c>
      <c r="E2393" t="s">
        <v>610</v>
      </c>
    </row>
    <row r="2394" spans="1:5" x14ac:dyDescent="0.3">
      <c r="A2394">
        <v>2393</v>
      </c>
      <c r="B2394">
        <v>798</v>
      </c>
      <c r="C2394" t="s">
        <v>605</v>
      </c>
      <c r="D2394">
        <v>272.45999999999998</v>
      </c>
      <c r="E2394" t="s">
        <v>606</v>
      </c>
    </row>
    <row r="2395" spans="1:5" x14ac:dyDescent="0.3">
      <c r="A2395">
        <v>2394</v>
      </c>
      <c r="B2395">
        <v>798</v>
      </c>
      <c r="C2395" t="s">
        <v>621</v>
      </c>
      <c r="D2395">
        <v>4.49</v>
      </c>
      <c r="E2395" t="s">
        <v>622</v>
      </c>
    </row>
    <row r="2396" spans="1:5" x14ac:dyDescent="0.3">
      <c r="A2396">
        <v>2395</v>
      </c>
      <c r="B2396">
        <v>799</v>
      </c>
      <c r="C2396" t="s">
        <v>619</v>
      </c>
      <c r="D2396">
        <v>2.66</v>
      </c>
      <c r="E2396" t="s">
        <v>620</v>
      </c>
    </row>
    <row r="2397" spans="1:5" x14ac:dyDescent="0.3">
      <c r="A2397">
        <v>2396</v>
      </c>
      <c r="B2397">
        <v>799</v>
      </c>
      <c r="C2397" t="s">
        <v>617</v>
      </c>
      <c r="D2397">
        <v>13.7</v>
      </c>
      <c r="E2397" t="s">
        <v>618</v>
      </c>
    </row>
    <row r="2398" spans="1:5" x14ac:dyDescent="0.3">
      <c r="A2398">
        <v>2397</v>
      </c>
      <c r="B2398">
        <v>799</v>
      </c>
      <c r="C2398" t="s">
        <v>615</v>
      </c>
      <c r="D2398">
        <v>246.73</v>
      </c>
      <c r="E2398" t="s">
        <v>616</v>
      </c>
    </row>
    <row r="2399" spans="1:5" x14ac:dyDescent="0.3">
      <c r="A2399">
        <v>2398</v>
      </c>
      <c r="B2399">
        <v>800</v>
      </c>
      <c r="C2399" t="s">
        <v>605</v>
      </c>
      <c r="D2399">
        <v>268.39</v>
      </c>
      <c r="E2399" t="s">
        <v>606</v>
      </c>
    </row>
    <row r="2400" spans="1:5" x14ac:dyDescent="0.3">
      <c r="A2400">
        <v>2399</v>
      </c>
      <c r="B2400">
        <v>800</v>
      </c>
      <c r="C2400" t="s">
        <v>609</v>
      </c>
      <c r="D2400">
        <v>16.23</v>
      </c>
      <c r="E2400" t="s">
        <v>610</v>
      </c>
    </row>
    <row r="2401" spans="1:5" x14ac:dyDescent="0.3">
      <c r="A2401">
        <v>2400</v>
      </c>
      <c r="B2401">
        <v>800</v>
      </c>
      <c r="C2401" t="s">
        <v>621</v>
      </c>
      <c r="D2401">
        <v>5.45</v>
      </c>
      <c r="E2401" t="s">
        <v>622</v>
      </c>
    </row>
    <row r="2402" spans="1:5" x14ac:dyDescent="0.3">
      <c r="A2402">
        <v>2401</v>
      </c>
      <c r="B2402">
        <v>801</v>
      </c>
      <c r="C2402" t="s">
        <v>611</v>
      </c>
      <c r="D2402">
        <v>12.22</v>
      </c>
      <c r="E2402" t="s">
        <v>612</v>
      </c>
    </row>
    <row r="2403" spans="1:5" x14ac:dyDescent="0.3">
      <c r="A2403">
        <v>2402</v>
      </c>
      <c r="B2403">
        <v>801</v>
      </c>
      <c r="C2403" t="s">
        <v>605</v>
      </c>
      <c r="D2403">
        <v>181.21</v>
      </c>
      <c r="E2403" t="s">
        <v>606</v>
      </c>
    </row>
    <row r="2404" spans="1:5" x14ac:dyDescent="0.3">
      <c r="A2404">
        <v>2403</v>
      </c>
      <c r="B2404">
        <v>801</v>
      </c>
      <c r="C2404" t="s">
        <v>603</v>
      </c>
      <c r="D2404">
        <v>180.68</v>
      </c>
      <c r="E2404" t="s">
        <v>604</v>
      </c>
    </row>
    <row r="2405" spans="1:5" x14ac:dyDescent="0.3">
      <c r="A2405">
        <v>2404</v>
      </c>
      <c r="B2405">
        <v>802</v>
      </c>
      <c r="C2405" t="s">
        <v>617</v>
      </c>
      <c r="D2405">
        <v>13.18</v>
      </c>
      <c r="E2405" t="s">
        <v>618</v>
      </c>
    </row>
    <row r="2406" spans="1:5" x14ac:dyDescent="0.3">
      <c r="A2406">
        <v>2405</v>
      </c>
      <c r="B2406">
        <v>802</v>
      </c>
      <c r="C2406" t="s">
        <v>615</v>
      </c>
      <c r="D2406">
        <v>216.05</v>
      </c>
      <c r="E2406" t="s">
        <v>616</v>
      </c>
    </row>
    <row r="2407" spans="1:5" x14ac:dyDescent="0.3">
      <c r="A2407">
        <v>2406</v>
      </c>
      <c r="B2407">
        <v>802</v>
      </c>
      <c r="C2407" t="s">
        <v>603</v>
      </c>
      <c r="D2407">
        <v>229.43</v>
      </c>
      <c r="E2407" t="s">
        <v>604</v>
      </c>
    </row>
    <row r="2408" spans="1:5" x14ac:dyDescent="0.3">
      <c r="A2408">
        <v>2407</v>
      </c>
      <c r="B2408">
        <v>803</v>
      </c>
      <c r="C2408" t="s">
        <v>603</v>
      </c>
      <c r="D2408">
        <v>73.599999999999994</v>
      </c>
      <c r="E2408" t="s">
        <v>604</v>
      </c>
    </row>
    <row r="2409" spans="1:5" x14ac:dyDescent="0.3">
      <c r="A2409">
        <v>2408</v>
      </c>
      <c r="B2409">
        <v>803</v>
      </c>
      <c r="C2409" t="s">
        <v>605</v>
      </c>
      <c r="D2409">
        <v>195.41</v>
      </c>
      <c r="E2409" t="s">
        <v>606</v>
      </c>
    </row>
    <row r="2410" spans="1:5" x14ac:dyDescent="0.3">
      <c r="A2410">
        <v>2409</v>
      </c>
      <c r="B2410">
        <v>803</v>
      </c>
      <c r="C2410" t="s">
        <v>607</v>
      </c>
      <c r="D2410">
        <v>141.16999999999999</v>
      </c>
      <c r="E2410" t="s">
        <v>608</v>
      </c>
    </row>
    <row r="2411" spans="1:5" x14ac:dyDescent="0.3">
      <c r="A2411">
        <v>2410</v>
      </c>
      <c r="B2411">
        <v>804</v>
      </c>
      <c r="C2411" t="s">
        <v>609</v>
      </c>
      <c r="D2411">
        <v>2.09</v>
      </c>
      <c r="E2411" t="s">
        <v>610</v>
      </c>
    </row>
    <row r="2412" spans="1:5" x14ac:dyDescent="0.3">
      <c r="A2412">
        <v>2411</v>
      </c>
      <c r="B2412">
        <v>804</v>
      </c>
      <c r="C2412" t="s">
        <v>605</v>
      </c>
      <c r="D2412">
        <v>189.73</v>
      </c>
      <c r="E2412" t="s">
        <v>606</v>
      </c>
    </row>
    <row r="2413" spans="1:5" x14ac:dyDescent="0.3">
      <c r="A2413">
        <v>2412</v>
      </c>
      <c r="B2413">
        <v>804</v>
      </c>
      <c r="C2413" t="s">
        <v>621</v>
      </c>
      <c r="D2413">
        <v>5.78</v>
      </c>
      <c r="E2413" t="s">
        <v>622</v>
      </c>
    </row>
    <row r="2414" spans="1:5" x14ac:dyDescent="0.3">
      <c r="A2414">
        <v>2413</v>
      </c>
      <c r="B2414">
        <v>805</v>
      </c>
      <c r="C2414" t="s">
        <v>607</v>
      </c>
      <c r="D2414">
        <v>149.31</v>
      </c>
      <c r="E2414" t="s">
        <v>608</v>
      </c>
    </row>
    <row r="2415" spans="1:5" x14ac:dyDescent="0.3">
      <c r="A2415">
        <v>2414</v>
      </c>
      <c r="B2415">
        <v>805</v>
      </c>
      <c r="C2415" t="s">
        <v>611</v>
      </c>
      <c r="D2415">
        <v>11.88</v>
      </c>
      <c r="E2415" t="s">
        <v>612</v>
      </c>
    </row>
    <row r="2416" spans="1:5" x14ac:dyDescent="0.3">
      <c r="A2416">
        <v>2415</v>
      </c>
      <c r="B2416">
        <v>805</v>
      </c>
      <c r="C2416" t="s">
        <v>609</v>
      </c>
      <c r="D2416">
        <v>8.36</v>
      </c>
      <c r="E2416" t="s">
        <v>610</v>
      </c>
    </row>
    <row r="2417" spans="1:5" x14ac:dyDescent="0.3">
      <c r="A2417">
        <v>2416</v>
      </c>
      <c r="B2417">
        <v>806</v>
      </c>
      <c r="C2417" t="s">
        <v>609</v>
      </c>
      <c r="D2417">
        <v>17.149999999999999</v>
      </c>
      <c r="E2417" t="s">
        <v>610</v>
      </c>
    </row>
    <row r="2418" spans="1:5" x14ac:dyDescent="0.3">
      <c r="A2418">
        <v>2417</v>
      </c>
      <c r="B2418">
        <v>806</v>
      </c>
      <c r="C2418" t="s">
        <v>613</v>
      </c>
      <c r="D2418">
        <v>5.55</v>
      </c>
      <c r="E2418" t="s">
        <v>614</v>
      </c>
    </row>
    <row r="2419" spans="1:5" x14ac:dyDescent="0.3">
      <c r="A2419">
        <v>2418</v>
      </c>
      <c r="B2419">
        <v>806</v>
      </c>
      <c r="C2419" t="s">
        <v>605</v>
      </c>
      <c r="D2419">
        <v>120.14</v>
      </c>
      <c r="E2419" t="s">
        <v>606</v>
      </c>
    </row>
    <row r="2420" spans="1:5" x14ac:dyDescent="0.3">
      <c r="A2420">
        <v>2419</v>
      </c>
      <c r="B2420">
        <v>807</v>
      </c>
      <c r="C2420" t="s">
        <v>613</v>
      </c>
      <c r="D2420">
        <v>3.24</v>
      </c>
      <c r="E2420" t="s">
        <v>614</v>
      </c>
    </row>
    <row r="2421" spans="1:5" x14ac:dyDescent="0.3">
      <c r="A2421">
        <v>2420</v>
      </c>
      <c r="B2421">
        <v>807</v>
      </c>
      <c r="C2421" t="s">
        <v>621</v>
      </c>
      <c r="D2421">
        <v>9.25</v>
      </c>
      <c r="E2421" t="s">
        <v>622</v>
      </c>
    </row>
    <row r="2422" spans="1:5" x14ac:dyDescent="0.3">
      <c r="A2422">
        <v>2421</v>
      </c>
      <c r="B2422">
        <v>807</v>
      </c>
      <c r="C2422" t="s">
        <v>617</v>
      </c>
      <c r="D2422">
        <v>7.75</v>
      </c>
      <c r="E2422" t="s">
        <v>618</v>
      </c>
    </row>
    <row r="2423" spans="1:5" x14ac:dyDescent="0.3">
      <c r="A2423">
        <v>2422</v>
      </c>
      <c r="B2423">
        <v>808</v>
      </c>
      <c r="C2423" t="s">
        <v>621</v>
      </c>
      <c r="D2423">
        <v>7.94</v>
      </c>
      <c r="E2423" t="s">
        <v>622</v>
      </c>
    </row>
    <row r="2424" spans="1:5" x14ac:dyDescent="0.3">
      <c r="A2424">
        <v>2423</v>
      </c>
      <c r="B2424">
        <v>808</v>
      </c>
      <c r="C2424" t="s">
        <v>611</v>
      </c>
      <c r="D2424">
        <v>15.73</v>
      </c>
      <c r="E2424" t="s">
        <v>612</v>
      </c>
    </row>
    <row r="2425" spans="1:5" x14ac:dyDescent="0.3">
      <c r="A2425">
        <v>2424</v>
      </c>
      <c r="B2425">
        <v>808</v>
      </c>
      <c r="C2425" t="s">
        <v>613</v>
      </c>
      <c r="D2425">
        <v>4.74</v>
      </c>
      <c r="E2425" t="s">
        <v>614</v>
      </c>
    </row>
    <row r="2426" spans="1:5" x14ac:dyDescent="0.3">
      <c r="A2426">
        <v>2425</v>
      </c>
      <c r="B2426">
        <v>809</v>
      </c>
      <c r="C2426" t="s">
        <v>605</v>
      </c>
      <c r="D2426">
        <v>281.08999999999997</v>
      </c>
      <c r="E2426" t="s">
        <v>606</v>
      </c>
    </row>
    <row r="2427" spans="1:5" x14ac:dyDescent="0.3">
      <c r="A2427">
        <v>2426</v>
      </c>
      <c r="B2427">
        <v>809</v>
      </c>
      <c r="C2427" t="s">
        <v>619</v>
      </c>
      <c r="D2427">
        <v>1</v>
      </c>
      <c r="E2427" t="s">
        <v>620</v>
      </c>
    </row>
    <row r="2428" spans="1:5" x14ac:dyDescent="0.3">
      <c r="A2428">
        <v>2427</v>
      </c>
      <c r="B2428">
        <v>809</v>
      </c>
      <c r="C2428" t="s">
        <v>621</v>
      </c>
      <c r="D2428">
        <v>9.27</v>
      </c>
      <c r="E2428" t="s">
        <v>622</v>
      </c>
    </row>
    <row r="2429" spans="1:5" x14ac:dyDescent="0.3">
      <c r="A2429">
        <v>2428</v>
      </c>
      <c r="B2429">
        <v>810</v>
      </c>
      <c r="C2429" t="s">
        <v>611</v>
      </c>
      <c r="D2429">
        <v>16.309999999999999</v>
      </c>
      <c r="E2429" t="s">
        <v>612</v>
      </c>
    </row>
    <row r="2430" spans="1:5" x14ac:dyDescent="0.3">
      <c r="A2430">
        <v>2429</v>
      </c>
      <c r="B2430">
        <v>810</v>
      </c>
      <c r="C2430" t="s">
        <v>607</v>
      </c>
      <c r="D2430">
        <v>130.32</v>
      </c>
      <c r="E2430" t="s">
        <v>608</v>
      </c>
    </row>
    <row r="2431" spans="1:5" x14ac:dyDescent="0.3">
      <c r="A2431">
        <v>2430</v>
      </c>
      <c r="B2431">
        <v>810</v>
      </c>
      <c r="C2431" t="s">
        <v>617</v>
      </c>
      <c r="D2431">
        <v>5.94</v>
      </c>
      <c r="E2431" t="s">
        <v>618</v>
      </c>
    </row>
    <row r="2432" spans="1:5" x14ac:dyDescent="0.3">
      <c r="A2432">
        <v>2431</v>
      </c>
      <c r="B2432">
        <v>811</v>
      </c>
      <c r="C2432" t="s">
        <v>605</v>
      </c>
      <c r="D2432">
        <v>262.08999999999997</v>
      </c>
      <c r="E2432" t="s">
        <v>606</v>
      </c>
    </row>
    <row r="2433" spans="1:5" x14ac:dyDescent="0.3">
      <c r="A2433">
        <v>2432</v>
      </c>
      <c r="B2433">
        <v>811</v>
      </c>
      <c r="C2433" t="s">
        <v>617</v>
      </c>
      <c r="D2433">
        <v>9.01</v>
      </c>
      <c r="E2433" t="s">
        <v>618</v>
      </c>
    </row>
    <row r="2434" spans="1:5" x14ac:dyDescent="0.3">
      <c r="A2434">
        <v>2433</v>
      </c>
      <c r="B2434">
        <v>811</v>
      </c>
      <c r="C2434" t="s">
        <v>615</v>
      </c>
      <c r="D2434">
        <v>306.77</v>
      </c>
      <c r="E2434" t="s">
        <v>616</v>
      </c>
    </row>
    <row r="2435" spans="1:5" x14ac:dyDescent="0.3">
      <c r="A2435">
        <v>2434</v>
      </c>
      <c r="B2435">
        <v>812</v>
      </c>
      <c r="C2435" t="s">
        <v>609</v>
      </c>
      <c r="D2435">
        <v>6.63</v>
      </c>
      <c r="E2435" t="s">
        <v>610</v>
      </c>
    </row>
    <row r="2436" spans="1:5" x14ac:dyDescent="0.3">
      <c r="A2436">
        <v>2435</v>
      </c>
      <c r="B2436">
        <v>812</v>
      </c>
      <c r="C2436" t="s">
        <v>617</v>
      </c>
      <c r="D2436">
        <v>7.87</v>
      </c>
      <c r="E2436" t="s">
        <v>618</v>
      </c>
    </row>
    <row r="2437" spans="1:5" x14ac:dyDescent="0.3">
      <c r="A2437">
        <v>2436</v>
      </c>
      <c r="B2437">
        <v>812</v>
      </c>
      <c r="C2437" t="s">
        <v>605</v>
      </c>
      <c r="D2437">
        <v>149.04</v>
      </c>
      <c r="E2437" t="s">
        <v>606</v>
      </c>
    </row>
    <row r="2438" spans="1:5" x14ac:dyDescent="0.3">
      <c r="A2438">
        <v>2437</v>
      </c>
      <c r="B2438">
        <v>813</v>
      </c>
      <c r="C2438" t="s">
        <v>603</v>
      </c>
      <c r="D2438">
        <v>211.93</v>
      </c>
      <c r="E2438" t="s">
        <v>604</v>
      </c>
    </row>
    <row r="2439" spans="1:5" x14ac:dyDescent="0.3">
      <c r="A2439">
        <v>2438</v>
      </c>
      <c r="B2439">
        <v>813</v>
      </c>
      <c r="C2439" t="s">
        <v>607</v>
      </c>
      <c r="D2439">
        <v>149.55000000000001</v>
      </c>
      <c r="E2439" t="s">
        <v>608</v>
      </c>
    </row>
    <row r="2440" spans="1:5" x14ac:dyDescent="0.3">
      <c r="A2440">
        <v>2439</v>
      </c>
      <c r="B2440">
        <v>813</v>
      </c>
      <c r="C2440" t="s">
        <v>621</v>
      </c>
      <c r="D2440">
        <v>4.1100000000000003</v>
      </c>
      <c r="E2440" t="s">
        <v>622</v>
      </c>
    </row>
    <row r="2441" spans="1:5" x14ac:dyDescent="0.3">
      <c r="A2441">
        <v>2440</v>
      </c>
      <c r="B2441">
        <v>814</v>
      </c>
      <c r="C2441" t="s">
        <v>603</v>
      </c>
      <c r="D2441">
        <v>138.4</v>
      </c>
      <c r="E2441" t="s">
        <v>604</v>
      </c>
    </row>
    <row r="2442" spans="1:5" x14ac:dyDescent="0.3">
      <c r="A2442">
        <v>2441</v>
      </c>
      <c r="B2442">
        <v>814</v>
      </c>
      <c r="C2442" t="s">
        <v>619</v>
      </c>
      <c r="D2442">
        <v>0.54</v>
      </c>
      <c r="E2442" t="s">
        <v>620</v>
      </c>
    </row>
    <row r="2443" spans="1:5" x14ac:dyDescent="0.3">
      <c r="A2443">
        <v>2442</v>
      </c>
      <c r="B2443">
        <v>814</v>
      </c>
      <c r="C2443" t="s">
        <v>605</v>
      </c>
      <c r="D2443">
        <v>216.16</v>
      </c>
      <c r="E2443" t="s">
        <v>606</v>
      </c>
    </row>
    <row r="2444" spans="1:5" x14ac:dyDescent="0.3">
      <c r="A2444">
        <v>2443</v>
      </c>
      <c r="B2444">
        <v>815</v>
      </c>
      <c r="C2444" t="s">
        <v>615</v>
      </c>
      <c r="D2444">
        <v>258.24</v>
      </c>
      <c r="E2444" t="s">
        <v>616</v>
      </c>
    </row>
    <row r="2445" spans="1:5" x14ac:dyDescent="0.3">
      <c r="A2445">
        <v>2444</v>
      </c>
      <c r="B2445">
        <v>815</v>
      </c>
      <c r="C2445" t="s">
        <v>619</v>
      </c>
      <c r="D2445">
        <v>1.25</v>
      </c>
      <c r="E2445" t="s">
        <v>620</v>
      </c>
    </row>
    <row r="2446" spans="1:5" x14ac:dyDescent="0.3">
      <c r="A2446">
        <v>2445</v>
      </c>
      <c r="B2446">
        <v>815</v>
      </c>
      <c r="C2446" t="s">
        <v>607</v>
      </c>
      <c r="D2446">
        <v>141.66999999999999</v>
      </c>
      <c r="E2446" t="s">
        <v>608</v>
      </c>
    </row>
    <row r="2447" spans="1:5" x14ac:dyDescent="0.3">
      <c r="A2447">
        <v>2446</v>
      </c>
      <c r="B2447">
        <v>816</v>
      </c>
      <c r="C2447" t="s">
        <v>609</v>
      </c>
      <c r="D2447">
        <v>14.92</v>
      </c>
      <c r="E2447" t="s">
        <v>610</v>
      </c>
    </row>
    <row r="2448" spans="1:5" x14ac:dyDescent="0.3">
      <c r="A2448">
        <v>2447</v>
      </c>
      <c r="B2448">
        <v>816</v>
      </c>
      <c r="C2448" t="s">
        <v>613</v>
      </c>
      <c r="D2448">
        <v>5.03</v>
      </c>
      <c r="E2448" t="s">
        <v>614</v>
      </c>
    </row>
    <row r="2449" spans="1:5" x14ac:dyDescent="0.3">
      <c r="A2449">
        <v>2448</v>
      </c>
      <c r="B2449">
        <v>816</v>
      </c>
      <c r="C2449" t="s">
        <v>611</v>
      </c>
      <c r="D2449">
        <v>12.4</v>
      </c>
      <c r="E2449" t="s">
        <v>612</v>
      </c>
    </row>
    <row r="2450" spans="1:5" x14ac:dyDescent="0.3">
      <c r="A2450">
        <v>2449</v>
      </c>
      <c r="B2450">
        <v>817</v>
      </c>
      <c r="C2450" t="s">
        <v>615</v>
      </c>
      <c r="D2450">
        <v>189.35</v>
      </c>
      <c r="E2450" t="s">
        <v>616</v>
      </c>
    </row>
    <row r="2451" spans="1:5" x14ac:dyDescent="0.3">
      <c r="A2451">
        <v>2450</v>
      </c>
      <c r="B2451">
        <v>817</v>
      </c>
      <c r="C2451" t="s">
        <v>621</v>
      </c>
      <c r="D2451">
        <v>10.46</v>
      </c>
      <c r="E2451" t="s">
        <v>622</v>
      </c>
    </row>
    <row r="2452" spans="1:5" x14ac:dyDescent="0.3">
      <c r="A2452">
        <v>2451</v>
      </c>
      <c r="B2452">
        <v>817</v>
      </c>
      <c r="C2452" t="s">
        <v>605</v>
      </c>
      <c r="D2452">
        <v>217.47</v>
      </c>
      <c r="E2452" t="s">
        <v>606</v>
      </c>
    </row>
    <row r="2453" spans="1:5" x14ac:dyDescent="0.3">
      <c r="A2453">
        <v>2452</v>
      </c>
      <c r="B2453">
        <v>818</v>
      </c>
      <c r="C2453" t="s">
        <v>609</v>
      </c>
      <c r="D2453">
        <v>13.39</v>
      </c>
      <c r="E2453" t="s">
        <v>610</v>
      </c>
    </row>
    <row r="2454" spans="1:5" x14ac:dyDescent="0.3">
      <c r="A2454">
        <v>2453</v>
      </c>
      <c r="B2454">
        <v>818</v>
      </c>
      <c r="C2454" t="s">
        <v>613</v>
      </c>
      <c r="D2454">
        <v>3.96</v>
      </c>
      <c r="E2454" t="s">
        <v>614</v>
      </c>
    </row>
    <row r="2455" spans="1:5" x14ac:dyDescent="0.3">
      <c r="A2455">
        <v>2454</v>
      </c>
      <c r="B2455">
        <v>818</v>
      </c>
      <c r="C2455" t="s">
        <v>611</v>
      </c>
      <c r="D2455">
        <v>12.45</v>
      </c>
      <c r="E2455" t="s">
        <v>612</v>
      </c>
    </row>
    <row r="2456" spans="1:5" x14ac:dyDescent="0.3">
      <c r="A2456">
        <v>2455</v>
      </c>
      <c r="B2456">
        <v>819</v>
      </c>
      <c r="C2456" t="s">
        <v>611</v>
      </c>
      <c r="D2456">
        <v>13.74</v>
      </c>
      <c r="E2456" t="s">
        <v>612</v>
      </c>
    </row>
    <row r="2457" spans="1:5" x14ac:dyDescent="0.3">
      <c r="A2457">
        <v>2456</v>
      </c>
      <c r="B2457">
        <v>819</v>
      </c>
      <c r="C2457" t="s">
        <v>615</v>
      </c>
      <c r="D2457">
        <v>437.66</v>
      </c>
      <c r="E2457" t="s">
        <v>616</v>
      </c>
    </row>
    <row r="2458" spans="1:5" x14ac:dyDescent="0.3">
      <c r="A2458">
        <v>2457</v>
      </c>
      <c r="B2458">
        <v>819</v>
      </c>
      <c r="C2458" t="s">
        <v>607</v>
      </c>
      <c r="D2458">
        <v>130.78</v>
      </c>
      <c r="E2458" t="s">
        <v>608</v>
      </c>
    </row>
    <row r="2459" spans="1:5" x14ac:dyDescent="0.3">
      <c r="A2459">
        <v>2458</v>
      </c>
      <c r="B2459">
        <v>820</v>
      </c>
      <c r="C2459" t="s">
        <v>619</v>
      </c>
      <c r="D2459">
        <v>0.92</v>
      </c>
      <c r="E2459" t="s">
        <v>620</v>
      </c>
    </row>
    <row r="2460" spans="1:5" x14ac:dyDescent="0.3">
      <c r="A2460">
        <v>2459</v>
      </c>
      <c r="B2460">
        <v>820</v>
      </c>
      <c r="C2460" t="s">
        <v>613</v>
      </c>
      <c r="D2460">
        <v>5.22</v>
      </c>
      <c r="E2460" t="s">
        <v>614</v>
      </c>
    </row>
    <row r="2461" spans="1:5" x14ac:dyDescent="0.3">
      <c r="A2461">
        <v>2460</v>
      </c>
      <c r="B2461">
        <v>820</v>
      </c>
      <c r="C2461" t="s">
        <v>611</v>
      </c>
      <c r="D2461">
        <v>8.33</v>
      </c>
      <c r="E2461" t="s">
        <v>612</v>
      </c>
    </row>
    <row r="2462" spans="1:5" x14ac:dyDescent="0.3">
      <c r="A2462">
        <v>2461</v>
      </c>
      <c r="B2462">
        <v>821</v>
      </c>
      <c r="C2462" t="s">
        <v>615</v>
      </c>
      <c r="D2462">
        <v>252.66</v>
      </c>
      <c r="E2462" t="s">
        <v>616</v>
      </c>
    </row>
    <row r="2463" spans="1:5" x14ac:dyDescent="0.3">
      <c r="A2463">
        <v>2462</v>
      </c>
      <c r="B2463">
        <v>821</v>
      </c>
      <c r="C2463" t="s">
        <v>617</v>
      </c>
      <c r="D2463">
        <v>15.8</v>
      </c>
      <c r="E2463" t="s">
        <v>618</v>
      </c>
    </row>
    <row r="2464" spans="1:5" x14ac:dyDescent="0.3">
      <c r="A2464">
        <v>2463</v>
      </c>
      <c r="B2464">
        <v>821</v>
      </c>
      <c r="C2464" t="s">
        <v>613</v>
      </c>
      <c r="D2464">
        <v>3.08</v>
      </c>
      <c r="E2464" t="s">
        <v>614</v>
      </c>
    </row>
    <row r="2465" spans="1:5" x14ac:dyDescent="0.3">
      <c r="A2465">
        <v>2464</v>
      </c>
      <c r="B2465">
        <v>822</v>
      </c>
      <c r="C2465" t="s">
        <v>609</v>
      </c>
      <c r="D2465">
        <v>16.420000000000002</v>
      </c>
      <c r="E2465" t="s">
        <v>610</v>
      </c>
    </row>
    <row r="2466" spans="1:5" x14ac:dyDescent="0.3">
      <c r="A2466">
        <v>2465</v>
      </c>
      <c r="B2466">
        <v>822</v>
      </c>
      <c r="C2466" t="s">
        <v>605</v>
      </c>
      <c r="D2466">
        <v>297.12</v>
      </c>
      <c r="E2466" t="s">
        <v>606</v>
      </c>
    </row>
    <row r="2467" spans="1:5" x14ac:dyDescent="0.3">
      <c r="A2467">
        <v>2466</v>
      </c>
      <c r="B2467">
        <v>822</v>
      </c>
      <c r="C2467" t="s">
        <v>607</v>
      </c>
      <c r="D2467">
        <v>139.24</v>
      </c>
      <c r="E2467" t="s">
        <v>608</v>
      </c>
    </row>
    <row r="2468" spans="1:5" x14ac:dyDescent="0.3">
      <c r="A2468">
        <v>2467</v>
      </c>
      <c r="B2468">
        <v>823</v>
      </c>
      <c r="C2468" t="s">
        <v>605</v>
      </c>
      <c r="D2468">
        <v>159.74</v>
      </c>
      <c r="E2468" t="s">
        <v>606</v>
      </c>
    </row>
    <row r="2469" spans="1:5" x14ac:dyDescent="0.3">
      <c r="A2469">
        <v>2468</v>
      </c>
      <c r="B2469">
        <v>823</v>
      </c>
      <c r="C2469" t="s">
        <v>619</v>
      </c>
      <c r="D2469">
        <v>3.11</v>
      </c>
      <c r="E2469" t="s">
        <v>620</v>
      </c>
    </row>
    <row r="2470" spans="1:5" x14ac:dyDescent="0.3">
      <c r="A2470">
        <v>2469</v>
      </c>
      <c r="B2470">
        <v>823</v>
      </c>
      <c r="C2470" t="s">
        <v>603</v>
      </c>
      <c r="D2470">
        <v>162.22999999999999</v>
      </c>
      <c r="E2470" t="s">
        <v>604</v>
      </c>
    </row>
    <row r="2471" spans="1:5" x14ac:dyDescent="0.3">
      <c r="A2471">
        <v>2470</v>
      </c>
      <c r="B2471">
        <v>824</v>
      </c>
      <c r="C2471" t="s">
        <v>605</v>
      </c>
      <c r="D2471">
        <v>280.05</v>
      </c>
      <c r="E2471" t="s">
        <v>606</v>
      </c>
    </row>
    <row r="2472" spans="1:5" x14ac:dyDescent="0.3">
      <c r="A2472">
        <v>2471</v>
      </c>
      <c r="B2472">
        <v>824</v>
      </c>
      <c r="C2472" t="s">
        <v>609</v>
      </c>
      <c r="D2472">
        <v>7.32</v>
      </c>
      <c r="E2472" t="s">
        <v>610</v>
      </c>
    </row>
    <row r="2473" spans="1:5" x14ac:dyDescent="0.3">
      <c r="A2473">
        <v>2472</v>
      </c>
      <c r="B2473">
        <v>824</v>
      </c>
      <c r="C2473" t="s">
        <v>603</v>
      </c>
      <c r="D2473">
        <v>107.63</v>
      </c>
      <c r="E2473" t="s">
        <v>604</v>
      </c>
    </row>
    <row r="2474" spans="1:5" x14ac:dyDescent="0.3">
      <c r="A2474">
        <v>2473</v>
      </c>
      <c r="B2474">
        <v>825</v>
      </c>
      <c r="C2474" t="s">
        <v>609</v>
      </c>
      <c r="D2474">
        <v>3.26</v>
      </c>
      <c r="E2474" t="s">
        <v>610</v>
      </c>
    </row>
    <row r="2475" spans="1:5" x14ac:dyDescent="0.3">
      <c r="A2475">
        <v>2474</v>
      </c>
      <c r="B2475">
        <v>825</v>
      </c>
      <c r="C2475" t="s">
        <v>605</v>
      </c>
      <c r="D2475">
        <v>256.08</v>
      </c>
      <c r="E2475" t="s">
        <v>606</v>
      </c>
    </row>
    <row r="2476" spans="1:5" x14ac:dyDescent="0.3">
      <c r="A2476">
        <v>2475</v>
      </c>
      <c r="B2476">
        <v>825</v>
      </c>
      <c r="C2476" t="s">
        <v>615</v>
      </c>
      <c r="D2476">
        <v>322.22000000000003</v>
      </c>
      <c r="E2476" t="s">
        <v>616</v>
      </c>
    </row>
    <row r="2477" spans="1:5" x14ac:dyDescent="0.3">
      <c r="A2477">
        <v>2476</v>
      </c>
      <c r="B2477">
        <v>826</v>
      </c>
      <c r="C2477" t="s">
        <v>621</v>
      </c>
      <c r="D2477">
        <v>8.33</v>
      </c>
      <c r="E2477" t="s">
        <v>622</v>
      </c>
    </row>
    <row r="2478" spans="1:5" x14ac:dyDescent="0.3">
      <c r="A2478">
        <v>2477</v>
      </c>
      <c r="B2478">
        <v>826</v>
      </c>
      <c r="C2478" t="s">
        <v>619</v>
      </c>
      <c r="D2478">
        <v>3.84</v>
      </c>
      <c r="E2478" t="s">
        <v>620</v>
      </c>
    </row>
    <row r="2479" spans="1:5" x14ac:dyDescent="0.3">
      <c r="A2479">
        <v>2478</v>
      </c>
      <c r="B2479">
        <v>826</v>
      </c>
      <c r="C2479" t="s">
        <v>605</v>
      </c>
      <c r="D2479">
        <v>204.8</v>
      </c>
      <c r="E2479" t="s">
        <v>606</v>
      </c>
    </row>
    <row r="2480" spans="1:5" x14ac:dyDescent="0.3">
      <c r="A2480">
        <v>2479</v>
      </c>
      <c r="B2480">
        <v>827</v>
      </c>
      <c r="C2480" t="s">
        <v>619</v>
      </c>
      <c r="D2480">
        <v>3.86</v>
      </c>
      <c r="E2480" t="s">
        <v>620</v>
      </c>
    </row>
    <row r="2481" spans="1:5" x14ac:dyDescent="0.3">
      <c r="A2481">
        <v>2480</v>
      </c>
      <c r="B2481">
        <v>827</v>
      </c>
      <c r="C2481" t="s">
        <v>617</v>
      </c>
      <c r="D2481">
        <v>15.34</v>
      </c>
      <c r="E2481" t="s">
        <v>618</v>
      </c>
    </row>
    <row r="2482" spans="1:5" x14ac:dyDescent="0.3">
      <c r="A2482">
        <v>2481</v>
      </c>
      <c r="B2482">
        <v>827</v>
      </c>
      <c r="C2482" t="s">
        <v>603</v>
      </c>
      <c r="D2482">
        <v>119.85</v>
      </c>
      <c r="E2482" t="s">
        <v>604</v>
      </c>
    </row>
    <row r="2483" spans="1:5" x14ac:dyDescent="0.3">
      <c r="A2483">
        <v>2482</v>
      </c>
      <c r="B2483">
        <v>828</v>
      </c>
      <c r="C2483" t="s">
        <v>609</v>
      </c>
      <c r="D2483">
        <v>9.41</v>
      </c>
      <c r="E2483" t="s">
        <v>610</v>
      </c>
    </row>
    <row r="2484" spans="1:5" x14ac:dyDescent="0.3">
      <c r="A2484">
        <v>2483</v>
      </c>
      <c r="B2484">
        <v>828</v>
      </c>
      <c r="C2484" t="s">
        <v>607</v>
      </c>
      <c r="D2484">
        <v>130.99</v>
      </c>
      <c r="E2484" t="s">
        <v>608</v>
      </c>
    </row>
    <row r="2485" spans="1:5" x14ac:dyDescent="0.3">
      <c r="A2485">
        <v>2484</v>
      </c>
      <c r="B2485">
        <v>828</v>
      </c>
      <c r="C2485" t="s">
        <v>613</v>
      </c>
      <c r="D2485">
        <v>5.99</v>
      </c>
      <c r="E2485" t="s">
        <v>614</v>
      </c>
    </row>
    <row r="2486" spans="1:5" x14ac:dyDescent="0.3">
      <c r="A2486">
        <v>2485</v>
      </c>
      <c r="B2486">
        <v>829</v>
      </c>
      <c r="C2486" t="s">
        <v>603</v>
      </c>
      <c r="D2486">
        <v>196.04</v>
      </c>
      <c r="E2486" t="s">
        <v>604</v>
      </c>
    </row>
    <row r="2487" spans="1:5" x14ac:dyDescent="0.3">
      <c r="A2487">
        <v>2486</v>
      </c>
      <c r="B2487">
        <v>829</v>
      </c>
      <c r="C2487" t="s">
        <v>611</v>
      </c>
      <c r="D2487">
        <v>14.02</v>
      </c>
      <c r="E2487" t="s">
        <v>612</v>
      </c>
    </row>
    <row r="2488" spans="1:5" x14ac:dyDescent="0.3">
      <c r="A2488">
        <v>2487</v>
      </c>
      <c r="B2488">
        <v>829</v>
      </c>
      <c r="C2488" t="s">
        <v>617</v>
      </c>
      <c r="D2488">
        <v>5.71</v>
      </c>
      <c r="E2488" t="s">
        <v>618</v>
      </c>
    </row>
    <row r="2489" spans="1:5" x14ac:dyDescent="0.3">
      <c r="A2489">
        <v>2488</v>
      </c>
      <c r="B2489">
        <v>830</v>
      </c>
      <c r="C2489" t="s">
        <v>621</v>
      </c>
      <c r="D2489">
        <v>10.039999999999999</v>
      </c>
      <c r="E2489" t="s">
        <v>622</v>
      </c>
    </row>
    <row r="2490" spans="1:5" x14ac:dyDescent="0.3">
      <c r="A2490">
        <v>2489</v>
      </c>
      <c r="B2490">
        <v>830</v>
      </c>
      <c r="C2490" t="s">
        <v>611</v>
      </c>
      <c r="D2490">
        <v>8.4700000000000006</v>
      </c>
      <c r="E2490" t="s">
        <v>612</v>
      </c>
    </row>
    <row r="2491" spans="1:5" x14ac:dyDescent="0.3">
      <c r="A2491">
        <v>2490</v>
      </c>
      <c r="B2491">
        <v>830</v>
      </c>
      <c r="C2491" t="s">
        <v>603</v>
      </c>
      <c r="D2491">
        <v>153.97</v>
      </c>
      <c r="E2491" t="s">
        <v>604</v>
      </c>
    </row>
    <row r="2492" spans="1:5" x14ac:dyDescent="0.3">
      <c r="A2492">
        <v>2491</v>
      </c>
      <c r="B2492">
        <v>831</v>
      </c>
      <c r="C2492" t="s">
        <v>605</v>
      </c>
      <c r="D2492">
        <v>277.26</v>
      </c>
      <c r="E2492" t="s">
        <v>606</v>
      </c>
    </row>
    <row r="2493" spans="1:5" x14ac:dyDescent="0.3">
      <c r="A2493">
        <v>2492</v>
      </c>
      <c r="B2493">
        <v>831</v>
      </c>
      <c r="C2493" t="s">
        <v>619</v>
      </c>
      <c r="D2493">
        <v>2.76</v>
      </c>
      <c r="E2493" t="s">
        <v>620</v>
      </c>
    </row>
    <row r="2494" spans="1:5" x14ac:dyDescent="0.3">
      <c r="A2494">
        <v>2493</v>
      </c>
      <c r="B2494">
        <v>831</v>
      </c>
      <c r="C2494" t="s">
        <v>607</v>
      </c>
      <c r="D2494">
        <v>136.6</v>
      </c>
      <c r="E2494" t="s">
        <v>608</v>
      </c>
    </row>
    <row r="2495" spans="1:5" x14ac:dyDescent="0.3">
      <c r="A2495">
        <v>2494</v>
      </c>
      <c r="B2495">
        <v>832</v>
      </c>
      <c r="C2495" t="s">
        <v>619</v>
      </c>
      <c r="D2495">
        <v>0.75</v>
      </c>
      <c r="E2495" t="s">
        <v>620</v>
      </c>
    </row>
    <row r="2496" spans="1:5" x14ac:dyDescent="0.3">
      <c r="A2496">
        <v>2495</v>
      </c>
      <c r="B2496">
        <v>832</v>
      </c>
      <c r="C2496" t="s">
        <v>621</v>
      </c>
      <c r="D2496">
        <v>11.71</v>
      </c>
      <c r="E2496" t="s">
        <v>622</v>
      </c>
    </row>
    <row r="2497" spans="1:5" x14ac:dyDescent="0.3">
      <c r="A2497">
        <v>2496</v>
      </c>
      <c r="B2497">
        <v>832</v>
      </c>
      <c r="C2497" t="s">
        <v>615</v>
      </c>
      <c r="D2497">
        <v>196.68</v>
      </c>
      <c r="E2497" t="s">
        <v>616</v>
      </c>
    </row>
    <row r="2498" spans="1:5" x14ac:dyDescent="0.3">
      <c r="A2498">
        <v>2497</v>
      </c>
      <c r="B2498">
        <v>833</v>
      </c>
      <c r="C2498" t="s">
        <v>607</v>
      </c>
      <c r="D2498">
        <v>132.53</v>
      </c>
      <c r="E2498" t="s">
        <v>608</v>
      </c>
    </row>
    <row r="2499" spans="1:5" x14ac:dyDescent="0.3">
      <c r="A2499">
        <v>2498</v>
      </c>
      <c r="B2499">
        <v>833</v>
      </c>
      <c r="C2499" t="s">
        <v>611</v>
      </c>
      <c r="D2499">
        <v>8.5</v>
      </c>
      <c r="E2499" t="s">
        <v>612</v>
      </c>
    </row>
    <row r="2500" spans="1:5" x14ac:dyDescent="0.3">
      <c r="A2500">
        <v>2499</v>
      </c>
      <c r="B2500">
        <v>833</v>
      </c>
      <c r="C2500" t="s">
        <v>605</v>
      </c>
      <c r="D2500">
        <v>175.09</v>
      </c>
      <c r="E2500" t="s">
        <v>606</v>
      </c>
    </row>
    <row r="2501" spans="1:5" x14ac:dyDescent="0.3">
      <c r="A2501">
        <v>2500</v>
      </c>
      <c r="B2501">
        <v>834</v>
      </c>
      <c r="C2501" t="s">
        <v>615</v>
      </c>
      <c r="D2501">
        <v>282.22000000000003</v>
      </c>
      <c r="E2501" t="s">
        <v>616</v>
      </c>
    </row>
    <row r="2502" spans="1:5" x14ac:dyDescent="0.3">
      <c r="A2502">
        <v>2501</v>
      </c>
      <c r="B2502">
        <v>834</v>
      </c>
      <c r="C2502" t="s">
        <v>603</v>
      </c>
      <c r="D2502">
        <v>161.97999999999999</v>
      </c>
      <c r="E2502" t="s">
        <v>604</v>
      </c>
    </row>
    <row r="2503" spans="1:5" x14ac:dyDescent="0.3">
      <c r="A2503">
        <v>2502</v>
      </c>
      <c r="B2503">
        <v>834</v>
      </c>
      <c r="C2503" t="s">
        <v>611</v>
      </c>
      <c r="D2503">
        <v>15.1</v>
      </c>
      <c r="E2503" t="s">
        <v>612</v>
      </c>
    </row>
    <row r="2504" spans="1:5" x14ac:dyDescent="0.3">
      <c r="A2504">
        <v>2503</v>
      </c>
      <c r="B2504">
        <v>835</v>
      </c>
      <c r="C2504" t="s">
        <v>621</v>
      </c>
      <c r="D2504">
        <v>9.2799999999999994</v>
      </c>
      <c r="E2504" t="s">
        <v>622</v>
      </c>
    </row>
    <row r="2505" spans="1:5" x14ac:dyDescent="0.3">
      <c r="A2505">
        <v>2504</v>
      </c>
      <c r="B2505">
        <v>835</v>
      </c>
      <c r="C2505" t="s">
        <v>613</v>
      </c>
      <c r="D2505">
        <v>3.82</v>
      </c>
      <c r="E2505" t="s">
        <v>614</v>
      </c>
    </row>
    <row r="2506" spans="1:5" x14ac:dyDescent="0.3">
      <c r="A2506">
        <v>2505</v>
      </c>
      <c r="B2506">
        <v>835</v>
      </c>
      <c r="C2506" t="s">
        <v>619</v>
      </c>
      <c r="D2506">
        <v>0.94</v>
      </c>
      <c r="E2506" t="s">
        <v>620</v>
      </c>
    </row>
    <row r="2507" spans="1:5" x14ac:dyDescent="0.3">
      <c r="A2507">
        <v>2506</v>
      </c>
      <c r="B2507">
        <v>836</v>
      </c>
      <c r="C2507" t="s">
        <v>621</v>
      </c>
      <c r="D2507">
        <v>4.5599999999999996</v>
      </c>
      <c r="E2507" t="s">
        <v>622</v>
      </c>
    </row>
    <row r="2508" spans="1:5" x14ac:dyDescent="0.3">
      <c r="A2508">
        <v>2507</v>
      </c>
      <c r="B2508">
        <v>836</v>
      </c>
      <c r="C2508" t="s">
        <v>613</v>
      </c>
      <c r="D2508">
        <v>6.13</v>
      </c>
      <c r="E2508" t="s">
        <v>614</v>
      </c>
    </row>
    <row r="2509" spans="1:5" x14ac:dyDescent="0.3">
      <c r="A2509">
        <v>2508</v>
      </c>
      <c r="B2509">
        <v>836</v>
      </c>
      <c r="C2509" t="s">
        <v>605</v>
      </c>
      <c r="D2509">
        <v>302.10000000000002</v>
      </c>
      <c r="E2509" t="s">
        <v>606</v>
      </c>
    </row>
    <row r="2510" spans="1:5" x14ac:dyDescent="0.3">
      <c r="A2510">
        <v>2509</v>
      </c>
      <c r="B2510">
        <v>837</v>
      </c>
      <c r="C2510" t="s">
        <v>615</v>
      </c>
      <c r="D2510">
        <v>233.53</v>
      </c>
      <c r="E2510" t="s">
        <v>616</v>
      </c>
    </row>
    <row r="2511" spans="1:5" x14ac:dyDescent="0.3">
      <c r="A2511">
        <v>2510</v>
      </c>
      <c r="B2511">
        <v>837</v>
      </c>
      <c r="C2511" t="s">
        <v>617</v>
      </c>
      <c r="D2511">
        <v>14.58</v>
      </c>
      <c r="E2511" t="s">
        <v>618</v>
      </c>
    </row>
    <row r="2512" spans="1:5" x14ac:dyDescent="0.3">
      <c r="A2512">
        <v>2511</v>
      </c>
      <c r="B2512">
        <v>837</v>
      </c>
      <c r="C2512" t="s">
        <v>603</v>
      </c>
      <c r="D2512">
        <v>85.87</v>
      </c>
      <c r="E2512" t="s">
        <v>604</v>
      </c>
    </row>
    <row r="2513" spans="1:5" x14ac:dyDescent="0.3">
      <c r="A2513">
        <v>2512</v>
      </c>
      <c r="B2513">
        <v>838</v>
      </c>
      <c r="C2513" t="s">
        <v>613</v>
      </c>
      <c r="D2513">
        <v>5.78</v>
      </c>
      <c r="E2513" t="s">
        <v>614</v>
      </c>
    </row>
    <row r="2514" spans="1:5" x14ac:dyDescent="0.3">
      <c r="A2514">
        <v>2513</v>
      </c>
      <c r="B2514">
        <v>838</v>
      </c>
      <c r="C2514" t="s">
        <v>607</v>
      </c>
      <c r="D2514">
        <v>143.21</v>
      </c>
      <c r="E2514" t="s">
        <v>608</v>
      </c>
    </row>
    <row r="2515" spans="1:5" x14ac:dyDescent="0.3">
      <c r="A2515">
        <v>2514</v>
      </c>
      <c r="B2515">
        <v>838</v>
      </c>
      <c r="C2515" t="s">
        <v>605</v>
      </c>
      <c r="D2515">
        <v>278.89</v>
      </c>
      <c r="E2515" t="s">
        <v>606</v>
      </c>
    </row>
    <row r="2516" spans="1:5" x14ac:dyDescent="0.3">
      <c r="A2516">
        <v>2515</v>
      </c>
      <c r="B2516">
        <v>839</v>
      </c>
      <c r="C2516" t="s">
        <v>617</v>
      </c>
      <c r="D2516">
        <v>4.1500000000000004</v>
      </c>
      <c r="E2516" t="s">
        <v>618</v>
      </c>
    </row>
    <row r="2517" spans="1:5" x14ac:dyDescent="0.3">
      <c r="A2517">
        <v>2516</v>
      </c>
      <c r="B2517">
        <v>839</v>
      </c>
      <c r="C2517" t="s">
        <v>619</v>
      </c>
      <c r="D2517">
        <v>3.06</v>
      </c>
      <c r="E2517" t="s">
        <v>620</v>
      </c>
    </row>
    <row r="2518" spans="1:5" x14ac:dyDescent="0.3">
      <c r="A2518">
        <v>2517</v>
      </c>
      <c r="B2518">
        <v>839</v>
      </c>
      <c r="C2518" t="s">
        <v>611</v>
      </c>
      <c r="D2518">
        <v>17.079999999999998</v>
      </c>
      <c r="E2518" t="s">
        <v>612</v>
      </c>
    </row>
    <row r="2519" spans="1:5" x14ac:dyDescent="0.3">
      <c r="A2519">
        <v>2518</v>
      </c>
      <c r="B2519">
        <v>840</v>
      </c>
      <c r="C2519" t="s">
        <v>615</v>
      </c>
      <c r="D2519">
        <v>392.85</v>
      </c>
      <c r="E2519" t="s">
        <v>616</v>
      </c>
    </row>
    <row r="2520" spans="1:5" x14ac:dyDescent="0.3">
      <c r="A2520">
        <v>2519</v>
      </c>
      <c r="B2520">
        <v>840</v>
      </c>
      <c r="C2520" t="s">
        <v>619</v>
      </c>
      <c r="D2520">
        <v>3.87</v>
      </c>
      <c r="E2520" t="s">
        <v>620</v>
      </c>
    </row>
    <row r="2521" spans="1:5" x14ac:dyDescent="0.3">
      <c r="A2521">
        <v>2520</v>
      </c>
      <c r="B2521">
        <v>840</v>
      </c>
      <c r="C2521" t="s">
        <v>613</v>
      </c>
      <c r="D2521">
        <v>4.2300000000000004</v>
      </c>
      <c r="E2521" t="s">
        <v>614</v>
      </c>
    </row>
    <row r="2522" spans="1:5" x14ac:dyDescent="0.3">
      <c r="A2522">
        <v>2521</v>
      </c>
      <c r="B2522">
        <v>841</v>
      </c>
      <c r="C2522" t="s">
        <v>611</v>
      </c>
      <c r="D2522">
        <v>16.5</v>
      </c>
      <c r="E2522" t="s">
        <v>612</v>
      </c>
    </row>
    <row r="2523" spans="1:5" x14ac:dyDescent="0.3">
      <c r="A2523">
        <v>2522</v>
      </c>
      <c r="B2523">
        <v>841</v>
      </c>
      <c r="C2523" t="s">
        <v>617</v>
      </c>
      <c r="D2523">
        <v>11.32</v>
      </c>
      <c r="E2523" t="s">
        <v>618</v>
      </c>
    </row>
    <row r="2524" spans="1:5" x14ac:dyDescent="0.3">
      <c r="A2524">
        <v>2523</v>
      </c>
      <c r="B2524">
        <v>841</v>
      </c>
      <c r="C2524" t="s">
        <v>609</v>
      </c>
      <c r="D2524">
        <v>6.64</v>
      </c>
      <c r="E2524" t="s">
        <v>610</v>
      </c>
    </row>
    <row r="2525" spans="1:5" x14ac:dyDescent="0.3">
      <c r="A2525">
        <v>2524</v>
      </c>
      <c r="B2525">
        <v>842</v>
      </c>
      <c r="C2525" t="s">
        <v>617</v>
      </c>
      <c r="D2525">
        <v>3.17</v>
      </c>
      <c r="E2525" t="s">
        <v>618</v>
      </c>
    </row>
    <row r="2526" spans="1:5" x14ac:dyDescent="0.3">
      <c r="A2526">
        <v>2525</v>
      </c>
      <c r="B2526">
        <v>842</v>
      </c>
      <c r="C2526" t="s">
        <v>615</v>
      </c>
      <c r="D2526">
        <v>349.58</v>
      </c>
      <c r="E2526" t="s">
        <v>616</v>
      </c>
    </row>
    <row r="2527" spans="1:5" x14ac:dyDescent="0.3">
      <c r="A2527">
        <v>2526</v>
      </c>
      <c r="B2527">
        <v>842</v>
      </c>
      <c r="C2527" t="s">
        <v>611</v>
      </c>
      <c r="D2527">
        <v>12.1</v>
      </c>
      <c r="E2527" t="s">
        <v>612</v>
      </c>
    </row>
    <row r="2528" spans="1:5" x14ac:dyDescent="0.3">
      <c r="A2528">
        <v>2527</v>
      </c>
      <c r="B2528">
        <v>843</v>
      </c>
      <c r="C2528" t="s">
        <v>621</v>
      </c>
      <c r="D2528">
        <v>8.73</v>
      </c>
      <c r="E2528" t="s">
        <v>622</v>
      </c>
    </row>
    <row r="2529" spans="1:5" x14ac:dyDescent="0.3">
      <c r="A2529">
        <v>2528</v>
      </c>
      <c r="B2529">
        <v>843</v>
      </c>
      <c r="C2529" t="s">
        <v>613</v>
      </c>
      <c r="D2529">
        <v>5.0599999999999996</v>
      </c>
      <c r="E2529" t="s">
        <v>614</v>
      </c>
    </row>
    <row r="2530" spans="1:5" x14ac:dyDescent="0.3">
      <c r="A2530">
        <v>2529</v>
      </c>
      <c r="B2530">
        <v>843</v>
      </c>
      <c r="C2530" t="s">
        <v>619</v>
      </c>
      <c r="D2530">
        <v>0.86</v>
      </c>
      <c r="E2530" t="s">
        <v>620</v>
      </c>
    </row>
    <row r="2531" spans="1:5" x14ac:dyDescent="0.3">
      <c r="A2531">
        <v>2530</v>
      </c>
      <c r="B2531">
        <v>844</v>
      </c>
      <c r="C2531" t="s">
        <v>613</v>
      </c>
      <c r="D2531">
        <v>4.8600000000000003</v>
      </c>
      <c r="E2531" t="s">
        <v>614</v>
      </c>
    </row>
    <row r="2532" spans="1:5" x14ac:dyDescent="0.3">
      <c r="A2532">
        <v>2531</v>
      </c>
      <c r="B2532">
        <v>844</v>
      </c>
      <c r="C2532" t="s">
        <v>609</v>
      </c>
      <c r="D2532">
        <v>17.420000000000002</v>
      </c>
      <c r="E2532" t="s">
        <v>610</v>
      </c>
    </row>
    <row r="2533" spans="1:5" x14ac:dyDescent="0.3">
      <c r="A2533">
        <v>2532</v>
      </c>
      <c r="B2533">
        <v>844</v>
      </c>
      <c r="C2533" t="s">
        <v>607</v>
      </c>
      <c r="D2533">
        <v>142.69</v>
      </c>
      <c r="E2533" t="s">
        <v>608</v>
      </c>
    </row>
    <row r="2534" spans="1:5" x14ac:dyDescent="0.3">
      <c r="A2534">
        <v>2533</v>
      </c>
      <c r="B2534">
        <v>845</v>
      </c>
      <c r="C2534" t="s">
        <v>603</v>
      </c>
      <c r="D2534">
        <v>171.49</v>
      </c>
      <c r="E2534" t="s">
        <v>604</v>
      </c>
    </row>
    <row r="2535" spans="1:5" x14ac:dyDescent="0.3">
      <c r="A2535">
        <v>2534</v>
      </c>
      <c r="B2535">
        <v>845</v>
      </c>
      <c r="C2535" t="s">
        <v>611</v>
      </c>
      <c r="D2535">
        <v>8.23</v>
      </c>
      <c r="E2535" t="s">
        <v>612</v>
      </c>
    </row>
    <row r="2536" spans="1:5" x14ac:dyDescent="0.3">
      <c r="A2536">
        <v>2535</v>
      </c>
      <c r="B2536">
        <v>845</v>
      </c>
      <c r="C2536" t="s">
        <v>609</v>
      </c>
      <c r="D2536">
        <v>15.3</v>
      </c>
      <c r="E2536" t="s">
        <v>610</v>
      </c>
    </row>
    <row r="2537" spans="1:5" x14ac:dyDescent="0.3">
      <c r="A2537">
        <v>2536</v>
      </c>
      <c r="B2537">
        <v>846</v>
      </c>
      <c r="C2537" t="s">
        <v>615</v>
      </c>
      <c r="D2537">
        <v>351.4</v>
      </c>
      <c r="E2537" t="s">
        <v>616</v>
      </c>
    </row>
    <row r="2538" spans="1:5" x14ac:dyDescent="0.3">
      <c r="A2538">
        <v>2537</v>
      </c>
      <c r="B2538">
        <v>846</v>
      </c>
      <c r="C2538" t="s">
        <v>607</v>
      </c>
      <c r="D2538">
        <v>128.88</v>
      </c>
      <c r="E2538" t="s">
        <v>608</v>
      </c>
    </row>
    <row r="2539" spans="1:5" x14ac:dyDescent="0.3">
      <c r="A2539">
        <v>2538</v>
      </c>
      <c r="B2539">
        <v>846</v>
      </c>
      <c r="C2539" t="s">
        <v>609</v>
      </c>
      <c r="D2539">
        <v>12.98</v>
      </c>
      <c r="E2539" t="s">
        <v>610</v>
      </c>
    </row>
    <row r="2540" spans="1:5" x14ac:dyDescent="0.3">
      <c r="A2540">
        <v>2539</v>
      </c>
      <c r="B2540">
        <v>847</v>
      </c>
      <c r="C2540" t="s">
        <v>613</v>
      </c>
      <c r="D2540">
        <v>6</v>
      </c>
      <c r="E2540" t="s">
        <v>614</v>
      </c>
    </row>
    <row r="2541" spans="1:5" x14ac:dyDescent="0.3">
      <c r="A2541">
        <v>2540</v>
      </c>
      <c r="B2541">
        <v>847</v>
      </c>
      <c r="C2541" t="s">
        <v>621</v>
      </c>
      <c r="D2541">
        <v>10.51</v>
      </c>
      <c r="E2541" t="s">
        <v>622</v>
      </c>
    </row>
    <row r="2542" spans="1:5" x14ac:dyDescent="0.3">
      <c r="A2542">
        <v>2541</v>
      </c>
      <c r="B2542">
        <v>847</v>
      </c>
      <c r="C2542" t="s">
        <v>603</v>
      </c>
      <c r="D2542">
        <v>181.2</v>
      </c>
      <c r="E2542" t="s">
        <v>604</v>
      </c>
    </row>
    <row r="2543" spans="1:5" x14ac:dyDescent="0.3">
      <c r="A2543">
        <v>2542</v>
      </c>
      <c r="B2543">
        <v>848</v>
      </c>
      <c r="C2543" t="s">
        <v>607</v>
      </c>
      <c r="D2543">
        <v>140.47</v>
      </c>
      <c r="E2543" t="s">
        <v>608</v>
      </c>
    </row>
    <row r="2544" spans="1:5" x14ac:dyDescent="0.3">
      <c r="A2544">
        <v>2543</v>
      </c>
      <c r="B2544">
        <v>848</v>
      </c>
      <c r="C2544" t="s">
        <v>603</v>
      </c>
      <c r="D2544">
        <v>69.47</v>
      </c>
      <c r="E2544" t="s">
        <v>604</v>
      </c>
    </row>
    <row r="2545" spans="1:5" x14ac:dyDescent="0.3">
      <c r="A2545">
        <v>2544</v>
      </c>
      <c r="B2545">
        <v>848</v>
      </c>
      <c r="C2545" t="s">
        <v>619</v>
      </c>
      <c r="D2545">
        <v>3.81</v>
      </c>
      <c r="E2545" t="s">
        <v>620</v>
      </c>
    </row>
    <row r="2546" spans="1:5" x14ac:dyDescent="0.3">
      <c r="A2546">
        <v>2545</v>
      </c>
      <c r="B2546">
        <v>849</v>
      </c>
      <c r="C2546" t="s">
        <v>611</v>
      </c>
      <c r="D2546">
        <v>15.42</v>
      </c>
      <c r="E2546" t="s">
        <v>612</v>
      </c>
    </row>
    <row r="2547" spans="1:5" x14ac:dyDescent="0.3">
      <c r="A2547">
        <v>2546</v>
      </c>
      <c r="B2547">
        <v>849</v>
      </c>
      <c r="C2547" t="s">
        <v>617</v>
      </c>
      <c r="D2547">
        <v>12.48</v>
      </c>
      <c r="E2547" t="s">
        <v>618</v>
      </c>
    </row>
    <row r="2548" spans="1:5" x14ac:dyDescent="0.3">
      <c r="A2548">
        <v>2547</v>
      </c>
      <c r="B2548">
        <v>849</v>
      </c>
      <c r="C2548" t="s">
        <v>607</v>
      </c>
      <c r="D2548">
        <v>146.69</v>
      </c>
      <c r="E2548" t="s">
        <v>608</v>
      </c>
    </row>
    <row r="2549" spans="1:5" x14ac:dyDescent="0.3">
      <c r="A2549">
        <v>2548</v>
      </c>
      <c r="B2549">
        <v>850</v>
      </c>
      <c r="C2549" t="s">
        <v>617</v>
      </c>
      <c r="D2549">
        <v>7.58</v>
      </c>
      <c r="E2549" t="s">
        <v>618</v>
      </c>
    </row>
    <row r="2550" spans="1:5" x14ac:dyDescent="0.3">
      <c r="A2550">
        <v>2549</v>
      </c>
      <c r="B2550">
        <v>850</v>
      </c>
      <c r="C2550" t="s">
        <v>615</v>
      </c>
      <c r="D2550">
        <v>437.96</v>
      </c>
      <c r="E2550" t="s">
        <v>616</v>
      </c>
    </row>
    <row r="2551" spans="1:5" x14ac:dyDescent="0.3">
      <c r="A2551">
        <v>2550</v>
      </c>
      <c r="B2551">
        <v>850</v>
      </c>
      <c r="C2551" t="s">
        <v>609</v>
      </c>
      <c r="D2551">
        <v>5.6</v>
      </c>
      <c r="E2551" t="s">
        <v>610</v>
      </c>
    </row>
    <row r="2552" spans="1:5" x14ac:dyDescent="0.3">
      <c r="A2552">
        <v>2551</v>
      </c>
      <c r="B2552">
        <v>851</v>
      </c>
      <c r="C2552" t="s">
        <v>603</v>
      </c>
      <c r="D2552">
        <v>194.33</v>
      </c>
      <c r="E2552" t="s">
        <v>604</v>
      </c>
    </row>
    <row r="2553" spans="1:5" x14ac:dyDescent="0.3">
      <c r="A2553">
        <v>2552</v>
      </c>
      <c r="B2553">
        <v>851</v>
      </c>
      <c r="C2553" t="s">
        <v>615</v>
      </c>
      <c r="D2553">
        <v>322.18</v>
      </c>
      <c r="E2553" t="s">
        <v>616</v>
      </c>
    </row>
    <row r="2554" spans="1:5" x14ac:dyDescent="0.3">
      <c r="A2554">
        <v>2553</v>
      </c>
      <c r="B2554">
        <v>851</v>
      </c>
      <c r="C2554" t="s">
        <v>613</v>
      </c>
      <c r="D2554">
        <v>5.41</v>
      </c>
      <c r="E2554" t="s">
        <v>614</v>
      </c>
    </row>
    <row r="2555" spans="1:5" x14ac:dyDescent="0.3">
      <c r="A2555">
        <v>2554</v>
      </c>
      <c r="B2555">
        <v>852</v>
      </c>
      <c r="C2555" t="s">
        <v>605</v>
      </c>
      <c r="D2555">
        <v>268.14</v>
      </c>
      <c r="E2555" t="s">
        <v>606</v>
      </c>
    </row>
    <row r="2556" spans="1:5" x14ac:dyDescent="0.3">
      <c r="A2556">
        <v>2555</v>
      </c>
      <c r="B2556">
        <v>852</v>
      </c>
      <c r="C2556" t="s">
        <v>619</v>
      </c>
      <c r="D2556">
        <v>3.14</v>
      </c>
      <c r="E2556" t="s">
        <v>620</v>
      </c>
    </row>
    <row r="2557" spans="1:5" x14ac:dyDescent="0.3">
      <c r="A2557">
        <v>2556</v>
      </c>
      <c r="B2557">
        <v>852</v>
      </c>
      <c r="C2557" t="s">
        <v>615</v>
      </c>
      <c r="D2557">
        <v>373.34</v>
      </c>
      <c r="E2557" t="s">
        <v>616</v>
      </c>
    </row>
    <row r="2558" spans="1:5" x14ac:dyDescent="0.3">
      <c r="A2558">
        <v>2557</v>
      </c>
      <c r="B2558">
        <v>853</v>
      </c>
      <c r="C2558" t="s">
        <v>605</v>
      </c>
      <c r="D2558">
        <v>186.75</v>
      </c>
      <c r="E2558" t="s">
        <v>606</v>
      </c>
    </row>
    <row r="2559" spans="1:5" x14ac:dyDescent="0.3">
      <c r="A2559">
        <v>2558</v>
      </c>
      <c r="B2559">
        <v>853</v>
      </c>
      <c r="C2559" t="s">
        <v>613</v>
      </c>
      <c r="D2559">
        <v>4.9000000000000004</v>
      </c>
      <c r="E2559" t="s">
        <v>614</v>
      </c>
    </row>
    <row r="2560" spans="1:5" x14ac:dyDescent="0.3">
      <c r="A2560">
        <v>2559</v>
      </c>
      <c r="B2560">
        <v>853</v>
      </c>
      <c r="C2560" t="s">
        <v>611</v>
      </c>
      <c r="D2560">
        <v>14.77</v>
      </c>
      <c r="E2560" t="s">
        <v>612</v>
      </c>
    </row>
    <row r="2561" spans="1:5" x14ac:dyDescent="0.3">
      <c r="A2561">
        <v>2560</v>
      </c>
      <c r="B2561">
        <v>854</v>
      </c>
      <c r="C2561" t="s">
        <v>619</v>
      </c>
      <c r="D2561">
        <v>0.85</v>
      </c>
      <c r="E2561" t="s">
        <v>620</v>
      </c>
    </row>
    <row r="2562" spans="1:5" x14ac:dyDescent="0.3">
      <c r="A2562">
        <v>2561</v>
      </c>
      <c r="B2562">
        <v>854</v>
      </c>
      <c r="C2562" t="s">
        <v>615</v>
      </c>
      <c r="D2562">
        <v>352.68</v>
      </c>
      <c r="E2562" t="s">
        <v>616</v>
      </c>
    </row>
    <row r="2563" spans="1:5" x14ac:dyDescent="0.3">
      <c r="A2563">
        <v>2562</v>
      </c>
      <c r="B2563">
        <v>854</v>
      </c>
      <c r="C2563" t="s">
        <v>617</v>
      </c>
      <c r="D2563">
        <v>11.31</v>
      </c>
      <c r="E2563" t="s">
        <v>618</v>
      </c>
    </row>
    <row r="2564" spans="1:5" x14ac:dyDescent="0.3">
      <c r="A2564">
        <v>2563</v>
      </c>
      <c r="B2564">
        <v>855</v>
      </c>
      <c r="C2564" t="s">
        <v>615</v>
      </c>
      <c r="D2564">
        <v>364.8</v>
      </c>
      <c r="E2564" t="s">
        <v>616</v>
      </c>
    </row>
    <row r="2565" spans="1:5" x14ac:dyDescent="0.3">
      <c r="A2565">
        <v>2564</v>
      </c>
      <c r="B2565">
        <v>855</v>
      </c>
      <c r="C2565" t="s">
        <v>613</v>
      </c>
      <c r="D2565">
        <v>3.49</v>
      </c>
      <c r="E2565" t="s">
        <v>614</v>
      </c>
    </row>
    <row r="2566" spans="1:5" x14ac:dyDescent="0.3">
      <c r="A2566">
        <v>2565</v>
      </c>
      <c r="B2566">
        <v>855</v>
      </c>
      <c r="C2566" t="s">
        <v>605</v>
      </c>
      <c r="D2566">
        <v>291.2</v>
      </c>
      <c r="E2566" t="s">
        <v>606</v>
      </c>
    </row>
    <row r="2567" spans="1:5" x14ac:dyDescent="0.3">
      <c r="A2567">
        <v>2566</v>
      </c>
      <c r="B2567">
        <v>856</v>
      </c>
      <c r="C2567" t="s">
        <v>613</v>
      </c>
      <c r="D2567">
        <v>5.54</v>
      </c>
      <c r="E2567" t="s">
        <v>614</v>
      </c>
    </row>
    <row r="2568" spans="1:5" x14ac:dyDescent="0.3">
      <c r="A2568">
        <v>2567</v>
      </c>
      <c r="B2568">
        <v>856</v>
      </c>
      <c r="C2568" t="s">
        <v>615</v>
      </c>
      <c r="D2568">
        <v>413.52</v>
      </c>
      <c r="E2568" t="s">
        <v>616</v>
      </c>
    </row>
    <row r="2569" spans="1:5" x14ac:dyDescent="0.3">
      <c r="A2569">
        <v>2568</v>
      </c>
      <c r="B2569">
        <v>856</v>
      </c>
      <c r="C2569" t="s">
        <v>609</v>
      </c>
      <c r="D2569">
        <v>15.12</v>
      </c>
      <c r="E2569" t="s">
        <v>610</v>
      </c>
    </row>
    <row r="2570" spans="1:5" x14ac:dyDescent="0.3">
      <c r="A2570">
        <v>2569</v>
      </c>
      <c r="B2570">
        <v>857</v>
      </c>
      <c r="C2570" t="s">
        <v>605</v>
      </c>
      <c r="D2570">
        <v>142.30000000000001</v>
      </c>
      <c r="E2570" t="s">
        <v>606</v>
      </c>
    </row>
    <row r="2571" spans="1:5" x14ac:dyDescent="0.3">
      <c r="A2571">
        <v>2570</v>
      </c>
      <c r="B2571">
        <v>857</v>
      </c>
      <c r="C2571" t="s">
        <v>615</v>
      </c>
      <c r="D2571">
        <v>303.64999999999998</v>
      </c>
      <c r="E2571" t="s">
        <v>616</v>
      </c>
    </row>
    <row r="2572" spans="1:5" x14ac:dyDescent="0.3">
      <c r="A2572">
        <v>2571</v>
      </c>
      <c r="B2572">
        <v>857</v>
      </c>
      <c r="C2572" t="s">
        <v>603</v>
      </c>
      <c r="D2572">
        <v>233.13</v>
      </c>
      <c r="E2572" t="s">
        <v>604</v>
      </c>
    </row>
    <row r="2573" spans="1:5" x14ac:dyDescent="0.3">
      <c r="A2573">
        <v>2572</v>
      </c>
      <c r="B2573">
        <v>858</v>
      </c>
      <c r="C2573" t="s">
        <v>609</v>
      </c>
      <c r="D2573">
        <v>8.02</v>
      </c>
      <c r="E2573" t="s">
        <v>610</v>
      </c>
    </row>
    <row r="2574" spans="1:5" x14ac:dyDescent="0.3">
      <c r="A2574">
        <v>2573</v>
      </c>
      <c r="B2574">
        <v>858</v>
      </c>
      <c r="C2574" t="s">
        <v>617</v>
      </c>
      <c r="D2574">
        <v>12.04</v>
      </c>
      <c r="E2574" t="s">
        <v>618</v>
      </c>
    </row>
    <row r="2575" spans="1:5" x14ac:dyDescent="0.3">
      <c r="A2575">
        <v>2574</v>
      </c>
      <c r="B2575">
        <v>858</v>
      </c>
      <c r="C2575" t="s">
        <v>605</v>
      </c>
      <c r="D2575">
        <v>159.72</v>
      </c>
      <c r="E2575" t="s">
        <v>606</v>
      </c>
    </row>
    <row r="2576" spans="1:5" x14ac:dyDescent="0.3">
      <c r="A2576">
        <v>2575</v>
      </c>
      <c r="B2576">
        <v>859</v>
      </c>
      <c r="C2576" t="s">
        <v>611</v>
      </c>
      <c r="D2576">
        <v>8.5299999999999994</v>
      </c>
      <c r="E2576" t="s">
        <v>612</v>
      </c>
    </row>
    <row r="2577" spans="1:5" x14ac:dyDescent="0.3">
      <c r="A2577">
        <v>2576</v>
      </c>
      <c r="B2577">
        <v>859</v>
      </c>
      <c r="C2577" t="s">
        <v>607</v>
      </c>
      <c r="D2577">
        <v>135.47999999999999</v>
      </c>
      <c r="E2577" t="s">
        <v>608</v>
      </c>
    </row>
    <row r="2578" spans="1:5" x14ac:dyDescent="0.3">
      <c r="A2578">
        <v>2577</v>
      </c>
      <c r="B2578">
        <v>859</v>
      </c>
      <c r="C2578" t="s">
        <v>617</v>
      </c>
      <c r="D2578">
        <v>7.6</v>
      </c>
      <c r="E2578" t="s">
        <v>618</v>
      </c>
    </row>
    <row r="2579" spans="1:5" x14ac:dyDescent="0.3">
      <c r="A2579">
        <v>2578</v>
      </c>
      <c r="B2579">
        <v>860</v>
      </c>
      <c r="C2579" t="s">
        <v>605</v>
      </c>
      <c r="D2579">
        <v>289</v>
      </c>
      <c r="E2579" t="s">
        <v>606</v>
      </c>
    </row>
    <row r="2580" spans="1:5" x14ac:dyDescent="0.3">
      <c r="A2580">
        <v>2579</v>
      </c>
      <c r="B2580">
        <v>860</v>
      </c>
      <c r="C2580" t="s">
        <v>607</v>
      </c>
      <c r="D2580">
        <v>144.19999999999999</v>
      </c>
      <c r="E2580" t="s">
        <v>608</v>
      </c>
    </row>
    <row r="2581" spans="1:5" x14ac:dyDescent="0.3">
      <c r="A2581">
        <v>2580</v>
      </c>
      <c r="B2581">
        <v>860</v>
      </c>
      <c r="C2581" t="s">
        <v>611</v>
      </c>
      <c r="D2581">
        <v>16.2</v>
      </c>
      <c r="E2581" t="s">
        <v>612</v>
      </c>
    </row>
    <row r="2582" spans="1:5" x14ac:dyDescent="0.3">
      <c r="A2582">
        <v>2581</v>
      </c>
      <c r="B2582">
        <v>861</v>
      </c>
      <c r="C2582" t="s">
        <v>617</v>
      </c>
      <c r="D2582">
        <v>15.99</v>
      </c>
      <c r="E2582" t="s">
        <v>618</v>
      </c>
    </row>
    <row r="2583" spans="1:5" x14ac:dyDescent="0.3">
      <c r="A2583">
        <v>2582</v>
      </c>
      <c r="B2583">
        <v>861</v>
      </c>
      <c r="C2583" t="s">
        <v>611</v>
      </c>
      <c r="D2583">
        <v>11.65</v>
      </c>
      <c r="E2583" t="s">
        <v>612</v>
      </c>
    </row>
    <row r="2584" spans="1:5" x14ac:dyDescent="0.3">
      <c r="A2584">
        <v>2583</v>
      </c>
      <c r="B2584">
        <v>861</v>
      </c>
      <c r="C2584" t="s">
        <v>615</v>
      </c>
      <c r="D2584">
        <v>114.27</v>
      </c>
      <c r="E2584" t="s">
        <v>616</v>
      </c>
    </row>
    <row r="2585" spans="1:5" x14ac:dyDescent="0.3">
      <c r="A2585">
        <v>2584</v>
      </c>
      <c r="B2585">
        <v>862</v>
      </c>
      <c r="C2585" t="s">
        <v>609</v>
      </c>
      <c r="D2585">
        <v>0.62</v>
      </c>
      <c r="E2585" t="s">
        <v>610</v>
      </c>
    </row>
    <row r="2586" spans="1:5" x14ac:dyDescent="0.3">
      <c r="A2586">
        <v>2585</v>
      </c>
      <c r="B2586">
        <v>862</v>
      </c>
      <c r="C2586" t="s">
        <v>605</v>
      </c>
      <c r="D2586">
        <v>164.89</v>
      </c>
      <c r="E2586" t="s">
        <v>606</v>
      </c>
    </row>
    <row r="2587" spans="1:5" x14ac:dyDescent="0.3">
      <c r="A2587">
        <v>2586</v>
      </c>
      <c r="B2587">
        <v>862</v>
      </c>
      <c r="C2587" t="s">
        <v>617</v>
      </c>
      <c r="D2587">
        <v>12.04</v>
      </c>
      <c r="E2587" t="s">
        <v>618</v>
      </c>
    </row>
    <row r="2588" spans="1:5" x14ac:dyDescent="0.3">
      <c r="A2588">
        <v>2587</v>
      </c>
      <c r="B2588">
        <v>863</v>
      </c>
      <c r="C2588" t="s">
        <v>619</v>
      </c>
      <c r="D2588">
        <v>2.04</v>
      </c>
      <c r="E2588" t="s">
        <v>620</v>
      </c>
    </row>
    <row r="2589" spans="1:5" x14ac:dyDescent="0.3">
      <c r="A2589">
        <v>2588</v>
      </c>
      <c r="B2589">
        <v>863</v>
      </c>
      <c r="C2589" t="s">
        <v>621</v>
      </c>
      <c r="D2589">
        <v>10.49</v>
      </c>
      <c r="E2589" t="s">
        <v>622</v>
      </c>
    </row>
    <row r="2590" spans="1:5" x14ac:dyDescent="0.3">
      <c r="A2590">
        <v>2589</v>
      </c>
      <c r="B2590">
        <v>863</v>
      </c>
      <c r="C2590" t="s">
        <v>609</v>
      </c>
      <c r="D2590">
        <v>2.99</v>
      </c>
      <c r="E2590" t="s">
        <v>610</v>
      </c>
    </row>
    <row r="2591" spans="1:5" x14ac:dyDescent="0.3">
      <c r="A2591">
        <v>2590</v>
      </c>
      <c r="B2591">
        <v>864</v>
      </c>
      <c r="C2591" t="s">
        <v>617</v>
      </c>
      <c r="D2591">
        <v>14.15</v>
      </c>
      <c r="E2591" t="s">
        <v>618</v>
      </c>
    </row>
    <row r="2592" spans="1:5" x14ac:dyDescent="0.3">
      <c r="A2592">
        <v>2591</v>
      </c>
      <c r="B2592">
        <v>864</v>
      </c>
      <c r="C2592" t="s">
        <v>619</v>
      </c>
      <c r="D2592">
        <v>2.19</v>
      </c>
      <c r="E2592" t="s">
        <v>620</v>
      </c>
    </row>
    <row r="2593" spans="1:5" x14ac:dyDescent="0.3">
      <c r="A2593">
        <v>2592</v>
      </c>
      <c r="B2593">
        <v>864</v>
      </c>
      <c r="C2593" t="s">
        <v>603</v>
      </c>
      <c r="D2593">
        <v>146.21</v>
      </c>
      <c r="E2593" t="s">
        <v>604</v>
      </c>
    </row>
    <row r="2594" spans="1:5" x14ac:dyDescent="0.3">
      <c r="A2594">
        <v>2593</v>
      </c>
      <c r="B2594">
        <v>865</v>
      </c>
      <c r="C2594" t="s">
        <v>609</v>
      </c>
      <c r="D2594">
        <v>8.31</v>
      </c>
      <c r="E2594" t="s">
        <v>610</v>
      </c>
    </row>
    <row r="2595" spans="1:5" x14ac:dyDescent="0.3">
      <c r="A2595">
        <v>2594</v>
      </c>
      <c r="B2595">
        <v>865</v>
      </c>
      <c r="C2595" t="s">
        <v>621</v>
      </c>
      <c r="D2595">
        <v>10.78</v>
      </c>
      <c r="E2595" t="s">
        <v>622</v>
      </c>
    </row>
    <row r="2596" spans="1:5" x14ac:dyDescent="0.3">
      <c r="A2596">
        <v>2595</v>
      </c>
      <c r="B2596">
        <v>865</v>
      </c>
      <c r="C2596" t="s">
        <v>619</v>
      </c>
      <c r="D2596">
        <v>2.5299999999999998</v>
      </c>
      <c r="E2596" t="s">
        <v>620</v>
      </c>
    </row>
    <row r="2597" spans="1:5" x14ac:dyDescent="0.3">
      <c r="A2597">
        <v>2596</v>
      </c>
      <c r="B2597">
        <v>866</v>
      </c>
      <c r="C2597" t="s">
        <v>621</v>
      </c>
      <c r="D2597">
        <v>9.65</v>
      </c>
      <c r="E2597" t="s">
        <v>622</v>
      </c>
    </row>
    <row r="2598" spans="1:5" x14ac:dyDescent="0.3">
      <c r="A2598">
        <v>2597</v>
      </c>
      <c r="B2598">
        <v>866</v>
      </c>
      <c r="C2598" t="s">
        <v>607</v>
      </c>
      <c r="D2598">
        <v>149.6</v>
      </c>
      <c r="E2598" t="s">
        <v>608</v>
      </c>
    </row>
    <row r="2599" spans="1:5" x14ac:dyDescent="0.3">
      <c r="A2599">
        <v>2598</v>
      </c>
      <c r="B2599">
        <v>866</v>
      </c>
      <c r="C2599" t="s">
        <v>617</v>
      </c>
      <c r="D2599">
        <v>13.44</v>
      </c>
      <c r="E2599" t="s">
        <v>618</v>
      </c>
    </row>
    <row r="2600" spans="1:5" x14ac:dyDescent="0.3">
      <c r="A2600">
        <v>2599</v>
      </c>
      <c r="B2600">
        <v>867</v>
      </c>
      <c r="C2600" t="s">
        <v>617</v>
      </c>
      <c r="D2600">
        <v>7.74</v>
      </c>
      <c r="E2600" t="s">
        <v>618</v>
      </c>
    </row>
    <row r="2601" spans="1:5" x14ac:dyDescent="0.3">
      <c r="A2601">
        <v>2600</v>
      </c>
      <c r="B2601">
        <v>867</v>
      </c>
      <c r="C2601" t="s">
        <v>607</v>
      </c>
      <c r="D2601">
        <v>148.36000000000001</v>
      </c>
      <c r="E2601" t="s">
        <v>608</v>
      </c>
    </row>
    <row r="2602" spans="1:5" x14ac:dyDescent="0.3">
      <c r="A2602">
        <v>2601</v>
      </c>
      <c r="B2602">
        <v>867</v>
      </c>
      <c r="C2602" t="s">
        <v>615</v>
      </c>
      <c r="D2602">
        <v>182.15</v>
      </c>
      <c r="E2602" t="s">
        <v>616</v>
      </c>
    </row>
    <row r="2603" spans="1:5" x14ac:dyDescent="0.3">
      <c r="A2603">
        <v>2602</v>
      </c>
      <c r="B2603">
        <v>868</v>
      </c>
      <c r="C2603" t="s">
        <v>609</v>
      </c>
      <c r="D2603">
        <v>19.170000000000002</v>
      </c>
      <c r="E2603" t="s">
        <v>610</v>
      </c>
    </row>
    <row r="2604" spans="1:5" x14ac:dyDescent="0.3">
      <c r="A2604">
        <v>2603</v>
      </c>
      <c r="B2604">
        <v>868</v>
      </c>
      <c r="C2604" t="s">
        <v>615</v>
      </c>
      <c r="D2604">
        <v>147.07</v>
      </c>
      <c r="E2604" t="s">
        <v>616</v>
      </c>
    </row>
    <row r="2605" spans="1:5" x14ac:dyDescent="0.3">
      <c r="A2605">
        <v>2604</v>
      </c>
      <c r="B2605">
        <v>868</v>
      </c>
      <c r="C2605" t="s">
        <v>611</v>
      </c>
      <c r="D2605">
        <v>16.03</v>
      </c>
      <c r="E2605" t="s">
        <v>612</v>
      </c>
    </row>
    <row r="2606" spans="1:5" x14ac:dyDescent="0.3">
      <c r="A2606">
        <v>2605</v>
      </c>
      <c r="B2606">
        <v>869</v>
      </c>
      <c r="C2606" t="s">
        <v>619</v>
      </c>
      <c r="D2606">
        <v>0.84</v>
      </c>
      <c r="E2606" t="s">
        <v>620</v>
      </c>
    </row>
    <row r="2607" spans="1:5" x14ac:dyDescent="0.3">
      <c r="A2607">
        <v>2606</v>
      </c>
      <c r="B2607">
        <v>869</v>
      </c>
      <c r="C2607" t="s">
        <v>609</v>
      </c>
      <c r="D2607">
        <v>18.36</v>
      </c>
      <c r="E2607" t="s">
        <v>610</v>
      </c>
    </row>
    <row r="2608" spans="1:5" x14ac:dyDescent="0.3">
      <c r="A2608">
        <v>2607</v>
      </c>
      <c r="B2608">
        <v>869</v>
      </c>
      <c r="C2608" t="s">
        <v>605</v>
      </c>
      <c r="D2608">
        <v>317.10000000000002</v>
      </c>
      <c r="E2608" t="s">
        <v>606</v>
      </c>
    </row>
    <row r="2609" spans="1:5" x14ac:dyDescent="0.3">
      <c r="A2609">
        <v>2608</v>
      </c>
      <c r="B2609">
        <v>870</v>
      </c>
      <c r="C2609" t="s">
        <v>613</v>
      </c>
      <c r="D2609">
        <v>3.16</v>
      </c>
      <c r="E2609" t="s">
        <v>614</v>
      </c>
    </row>
    <row r="2610" spans="1:5" x14ac:dyDescent="0.3">
      <c r="A2610">
        <v>2609</v>
      </c>
      <c r="B2610">
        <v>870</v>
      </c>
      <c r="C2610" t="s">
        <v>609</v>
      </c>
      <c r="D2610">
        <v>16.54</v>
      </c>
      <c r="E2610" t="s">
        <v>610</v>
      </c>
    </row>
    <row r="2611" spans="1:5" x14ac:dyDescent="0.3">
      <c r="A2611">
        <v>2610</v>
      </c>
      <c r="B2611">
        <v>870</v>
      </c>
      <c r="C2611" t="s">
        <v>615</v>
      </c>
      <c r="D2611">
        <v>179.74</v>
      </c>
      <c r="E2611" t="s">
        <v>616</v>
      </c>
    </row>
    <row r="2612" spans="1:5" x14ac:dyDescent="0.3">
      <c r="A2612">
        <v>2611</v>
      </c>
      <c r="B2612">
        <v>871</v>
      </c>
      <c r="C2612" t="s">
        <v>615</v>
      </c>
      <c r="D2612">
        <v>262.85000000000002</v>
      </c>
      <c r="E2612" t="s">
        <v>616</v>
      </c>
    </row>
    <row r="2613" spans="1:5" x14ac:dyDescent="0.3">
      <c r="A2613">
        <v>2612</v>
      </c>
      <c r="B2613">
        <v>871</v>
      </c>
      <c r="C2613" t="s">
        <v>609</v>
      </c>
      <c r="D2613">
        <v>11.53</v>
      </c>
      <c r="E2613" t="s">
        <v>610</v>
      </c>
    </row>
    <row r="2614" spans="1:5" x14ac:dyDescent="0.3">
      <c r="A2614">
        <v>2613</v>
      </c>
      <c r="B2614">
        <v>871</v>
      </c>
      <c r="C2614" t="s">
        <v>619</v>
      </c>
      <c r="D2614">
        <v>0.69</v>
      </c>
      <c r="E2614" t="s">
        <v>620</v>
      </c>
    </row>
    <row r="2615" spans="1:5" x14ac:dyDescent="0.3">
      <c r="A2615">
        <v>2614</v>
      </c>
      <c r="B2615">
        <v>872</v>
      </c>
      <c r="C2615" t="s">
        <v>621</v>
      </c>
      <c r="D2615">
        <v>8.73</v>
      </c>
      <c r="E2615" t="s">
        <v>622</v>
      </c>
    </row>
    <row r="2616" spans="1:5" x14ac:dyDescent="0.3">
      <c r="A2616">
        <v>2615</v>
      </c>
      <c r="B2616">
        <v>872</v>
      </c>
      <c r="C2616" t="s">
        <v>613</v>
      </c>
      <c r="D2616">
        <v>3.02</v>
      </c>
      <c r="E2616" t="s">
        <v>614</v>
      </c>
    </row>
    <row r="2617" spans="1:5" x14ac:dyDescent="0.3">
      <c r="A2617">
        <v>2616</v>
      </c>
      <c r="B2617">
        <v>872</v>
      </c>
      <c r="C2617" t="s">
        <v>609</v>
      </c>
      <c r="D2617">
        <v>19.920000000000002</v>
      </c>
      <c r="E2617" t="s">
        <v>610</v>
      </c>
    </row>
    <row r="2618" spans="1:5" x14ac:dyDescent="0.3">
      <c r="A2618">
        <v>2617</v>
      </c>
      <c r="B2618">
        <v>873</v>
      </c>
      <c r="C2618" t="s">
        <v>603</v>
      </c>
      <c r="D2618">
        <v>168.41</v>
      </c>
      <c r="E2618" t="s">
        <v>604</v>
      </c>
    </row>
    <row r="2619" spans="1:5" x14ac:dyDescent="0.3">
      <c r="A2619">
        <v>2618</v>
      </c>
      <c r="B2619">
        <v>873</v>
      </c>
      <c r="C2619" t="s">
        <v>609</v>
      </c>
      <c r="D2619">
        <v>1.25</v>
      </c>
      <c r="E2619" t="s">
        <v>610</v>
      </c>
    </row>
    <row r="2620" spans="1:5" x14ac:dyDescent="0.3">
      <c r="A2620">
        <v>2619</v>
      </c>
      <c r="B2620">
        <v>873</v>
      </c>
      <c r="C2620" t="s">
        <v>613</v>
      </c>
      <c r="D2620">
        <v>3.98</v>
      </c>
      <c r="E2620" t="s">
        <v>614</v>
      </c>
    </row>
    <row r="2621" spans="1:5" x14ac:dyDescent="0.3">
      <c r="A2621">
        <v>2620</v>
      </c>
      <c r="B2621">
        <v>874</v>
      </c>
      <c r="C2621" t="s">
        <v>605</v>
      </c>
      <c r="D2621">
        <v>133.08000000000001</v>
      </c>
      <c r="E2621" t="s">
        <v>606</v>
      </c>
    </row>
    <row r="2622" spans="1:5" x14ac:dyDescent="0.3">
      <c r="A2622">
        <v>2621</v>
      </c>
      <c r="B2622">
        <v>874</v>
      </c>
      <c r="C2622" t="s">
        <v>611</v>
      </c>
      <c r="D2622">
        <v>14.55</v>
      </c>
      <c r="E2622" t="s">
        <v>612</v>
      </c>
    </row>
    <row r="2623" spans="1:5" x14ac:dyDescent="0.3">
      <c r="A2623">
        <v>2622</v>
      </c>
      <c r="B2623">
        <v>874</v>
      </c>
      <c r="C2623" t="s">
        <v>615</v>
      </c>
      <c r="D2623">
        <v>299.41000000000003</v>
      </c>
      <c r="E2623" t="s">
        <v>616</v>
      </c>
    </row>
    <row r="2624" spans="1:5" x14ac:dyDescent="0.3">
      <c r="A2624">
        <v>2623</v>
      </c>
      <c r="B2624">
        <v>875</v>
      </c>
      <c r="C2624" t="s">
        <v>603</v>
      </c>
      <c r="D2624">
        <v>195.28</v>
      </c>
      <c r="E2624" t="s">
        <v>604</v>
      </c>
    </row>
    <row r="2625" spans="1:5" x14ac:dyDescent="0.3">
      <c r="A2625">
        <v>2624</v>
      </c>
      <c r="B2625">
        <v>875</v>
      </c>
      <c r="C2625" t="s">
        <v>613</v>
      </c>
      <c r="D2625">
        <v>6.01</v>
      </c>
      <c r="E2625" t="s">
        <v>614</v>
      </c>
    </row>
    <row r="2626" spans="1:5" x14ac:dyDescent="0.3">
      <c r="A2626">
        <v>2625</v>
      </c>
      <c r="B2626">
        <v>875</v>
      </c>
      <c r="C2626" t="s">
        <v>607</v>
      </c>
      <c r="D2626">
        <v>149.69999999999999</v>
      </c>
      <c r="E2626" t="s">
        <v>608</v>
      </c>
    </row>
    <row r="2627" spans="1:5" x14ac:dyDescent="0.3">
      <c r="A2627">
        <v>2626</v>
      </c>
      <c r="B2627">
        <v>876</v>
      </c>
      <c r="C2627" t="s">
        <v>619</v>
      </c>
      <c r="D2627">
        <v>2.38</v>
      </c>
      <c r="E2627" t="s">
        <v>620</v>
      </c>
    </row>
    <row r="2628" spans="1:5" x14ac:dyDescent="0.3">
      <c r="A2628">
        <v>2627</v>
      </c>
      <c r="B2628">
        <v>876</v>
      </c>
      <c r="C2628" t="s">
        <v>613</v>
      </c>
      <c r="D2628">
        <v>5.09</v>
      </c>
      <c r="E2628" t="s">
        <v>614</v>
      </c>
    </row>
    <row r="2629" spans="1:5" x14ac:dyDescent="0.3">
      <c r="A2629">
        <v>2628</v>
      </c>
      <c r="B2629">
        <v>876</v>
      </c>
      <c r="C2629" t="s">
        <v>617</v>
      </c>
      <c r="D2629">
        <v>7.3</v>
      </c>
      <c r="E2629" t="s">
        <v>618</v>
      </c>
    </row>
    <row r="2630" spans="1:5" x14ac:dyDescent="0.3">
      <c r="A2630">
        <v>2629</v>
      </c>
      <c r="B2630">
        <v>877</v>
      </c>
      <c r="C2630" t="s">
        <v>621</v>
      </c>
      <c r="D2630">
        <v>5.15</v>
      </c>
      <c r="E2630" t="s">
        <v>622</v>
      </c>
    </row>
    <row r="2631" spans="1:5" x14ac:dyDescent="0.3">
      <c r="A2631">
        <v>2630</v>
      </c>
      <c r="B2631">
        <v>877</v>
      </c>
      <c r="C2631" t="s">
        <v>609</v>
      </c>
      <c r="D2631">
        <v>10.84</v>
      </c>
      <c r="E2631" t="s">
        <v>610</v>
      </c>
    </row>
    <row r="2632" spans="1:5" x14ac:dyDescent="0.3">
      <c r="A2632">
        <v>2631</v>
      </c>
      <c r="B2632">
        <v>877</v>
      </c>
      <c r="C2632" t="s">
        <v>607</v>
      </c>
      <c r="D2632">
        <v>142.99</v>
      </c>
      <c r="E2632" t="s">
        <v>608</v>
      </c>
    </row>
    <row r="2633" spans="1:5" x14ac:dyDescent="0.3">
      <c r="A2633">
        <v>2632</v>
      </c>
      <c r="B2633">
        <v>878</v>
      </c>
      <c r="C2633" t="s">
        <v>615</v>
      </c>
      <c r="D2633">
        <v>349.24</v>
      </c>
      <c r="E2633" t="s">
        <v>616</v>
      </c>
    </row>
    <row r="2634" spans="1:5" x14ac:dyDescent="0.3">
      <c r="A2634">
        <v>2633</v>
      </c>
      <c r="B2634">
        <v>878</v>
      </c>
      <c r="C2634" t="s">
        <v>603</v>
      </c>
      <c r="D2634">
        <v>131.29</v>
      </c>
      <c r="E2634" t="s">
        <v>604</v>
      </c>
    </row>
    <row r="2635" spans="1:5" x14ac:dyDescent="0.3">
      <c r="A2635">
        <v>2634</v>
      </c>
      <c r="B2635">
        <v>878</v>
      </c>
      <c r="C2635" t="s">
        <v>609</v>
      </c>
      <c r="D2635">
        <v>2.48</v>
      </c>
      <c r="E2635" t="s">
        <v>610</v>
      </c>
    </row>
    <row r="2636" spans="1:5" x14ac:dyDescent="0.3">
      <c r="A2636">
        <v>2635</v>
      </c>
      <c r="B2636">
        <v>879</v>
      </c>
      <c r="C2636" t="s">
        <v>611</v>
      </c>
      <c r="D2636">
        <v>14.67</v>
      </c>
      <c r="E2636" t="s">
        <v>612</v>
      </c>
    </row>
    <row r="2637" spans="1:5" x14ac:dyDescent="0.3">
      <c r="A2637">
        <v>2636</v>
      </c>
      <c r="B2637">
        <v>879</v>
      </c>
      <c r="C2637" t="s">
        <v>621</v>
      </c>
      <c r="D2637">
        <v>9.86</v>
      </c>
      <c r="E2637" t="s">
        <v>622</v>
      </c>
    </row>
    <row r="2638" spans="1:5" x14ac:dyDescent="0.3">
      <c r="A2638">
        <v>2637</v>
      </c>
      <c r="B2638">
        <v>879</v>
      </c>
      <c r="C2638" t="s">
        <v>607</v>
      </c>
      <c r="D2638">
        <v>133.47</v>
      </c>
      <c r="E2638" t="s">
        <v>608</v>
      </c>
    </row>
    <row r="2639" spans="1:5" x14ac:dyDescent="0.3">
      <c r="A2639">
        <v>2638</v>
      </c>
      <c r="B2639">
        <v>880</v>
      </c>
      <c r="C2639" t="s">
        <v>621</v>
      </c>
      <c r="D2639">
        <v>4.24</v>
      </c>
      <c r="E2639" t="s">
        <v>622</v>
      </c>
    </row>
    <row r="2640" spans="1:5" x14ac:dyDescent="0.3">
      <c r="A2640">
        <v>2639</v>
      </c>
      <c r="B2640">
        <v>880</v>
      </c>
      <c r="C2640" t="s">
        <v>605</v>
      </c>
      <c r="D2640">
        <v>305.77</v>
      </c>
      <c r="E2640" t="s">
        <v>606</v>
      </c>
    </row>
    <row r="2641" spans="1:5" x14ac:dyDescent="0.3">
      <c r="A2641">
        <v>2640</v>
      </c>
      <c r="B2641">
        <v>880</v>
      </c>
      <c r="C2641" t="s">
        <v>609</v>
      </c>
      <c r="D2641">
        <v>14.6</v>
      </c>
      <c r="E2641" t="s">
        <v>610</v>
      </c>
    </row>
    <row r="2642" spans="1:5" x14ac:dyDescent="0.3">
      <c r="A2642">
        <v>2641</v>
      </c>
      <c r="B2642">
        <v>881</v>
      </c>
      <c r="C2642" t="s">
        <v>615</v>
      </c>
      <c r="D2642">
        <v>431.15</v>
      </c>
      <c r="E2642" t="s">
        <v>616</v>
      </c>
    </row>
    <row r="2643" spans="1:5" x14ac:dyDescent="0.3">
      <c r="A2643">
        <v>2642</v>
      </c>
      <c r="B2643">
        <v>881</v>
      </c>
      <c r="C2643" t="s">
        <v>611</v>
      </c>
      <c r="D2643">
        <v>13.03</v>
      </c>
      <c r="E2643" t="s">
        <v>612</v>
      </c>
    </row>
    <row r="2644" spans="1:5" x14ac:dyDescent="0.3">
      <c r="A2644">
        <v>2643</v>
      </c>
      <c r="B2644">
        <v>881</v>
      </c>
      <c r="C2644" t="s">
        <v>609</v>
      </c>
      <c r="D2644">
        <v>18.989999999999998</v>
      </c>
      <c r="E2644" t="s">
        <v>610</v>
      </c>
    </row>
    <row r="2645" spans="1:5" x14ac:dyDescent="0.3">
      <c r="A2645">
        <v>2644</v>
      </c>
      <c r="B2645">
        <v>882</v>
      </c>
      <c r="C2645" t="s">
        <v>607</v>
      </c>
      <c r="D2645">
        <v>143.32</v>
      </c>
      <c r="E2645" t="s">
        <v>608</v>
      </c>
    </row>
    <row r="2646" spans="1:5" x14ac:dyDescent="0.3">
      <c r="A2646">
        <v>2645</v>
      </c>
      <c r="B2646">
        <v>882</v>
      </c>
      <c r="C2646" t="s">
        <v>621</v>
      </c>
      <c r="D2646">
        <v>5.1100000000000003</v>
      </c>
      <c r="E2646" t="s">
        <v>622</v>
      </c>
    </row>
    <row r="2647" spans="1:5" x14ac:dyDescent="0.3">
      <c r="A2647">
        <v>2646</v>
      </c>
      <c r="B2647">
        <v>882</v>
      </c>
      <c r="C2647" t="s">
        <v>609</v>
      </c>
      <c r="D2647">
        <v>6.93</v>
      </c>
      <c r="E2647" t="s">
        <v>610</v>
      </c>
    </row>
    <row r="2648" spans="1:5" x14ac:dyDescent="0.3">
      <c r="A2648">
        <v>2647</v>
      </c>
      <c r="B2648">
        <v>883</v>
      </c>
      <c r="C2648" t="s">
        <v>611</v>
      </c>
      <c r="D2648">
        <v>8.86</v>
      </c>
      <c r="E2648" t="s">
        <v>612</v>
      </c>
    </row>
    <row r="2649" spans="1:5" x14ac:dyDescent="0.3">
      <c r="A2649">
        <v>2648</v>
      </c>
      <c r="B2649">
        <v>883</v>
      </c>
      <c r="C2649" t="s">
        <v>617</v>
      </c>
      <c r="D2649">
        <v>8.59</v>
      </c>
      <c r="E2649" t="s">
        <v>618</v>
      </c>
    </row>
    <row r="2650" spans="1:5" x14ac:dyDescent="0.3">
      <c r="A2650">
        <v>2649</v>
      </c>
      <c r="B2650">
        <v>883</v>
      </c>
      <c r="C2650" t="s">
        <v>615</v>
      </c>
      <c r="D2650">
        <v>188.2</v>
      </c>
      <c r="E2650" t="s">
        <v>616</v>
      </c>
    </row>
    <row r="2651" spans="1:5" x14ac:dyDescent="0.3">
      <c r="A2651">
        <v>2650</v>
      </c>
      <c r="B2651">
        <v>884</v>
      </c>
      <c r="C2651" t="s">
        <v>611</v>
      </c>
      <c r="D2651">
        <v>11.21</v>
      </c>
      <c r="E2651" t="s">
        <v>612</v>
      </c>
    </row>
    <row r="2652" spans="1:5" x14ac:dyDescent="0.3">
      <c r="A2652">
        <v>2651</v>
      </c>
      <c r="B2652">
        <v>884</v>
      </c>
      <c r="C2652" t="s">
        <v>605</v>
      </c>
      <c r="D2652">
        <v>165.33</v>
      </c>
      <c r="E2652" t="s">
        <v>606</v>
      </c>
    </row>
    <row r="2653" spans="1:5" x14ac:dyDescent="0.3">
      <c r="A2653">
        <v>2652</v>
      </c>
      <c r="B2653">
        <v>884</v>
      </c>
      <c r="C2653" t="s">
        <v>617</v>
      </c>
      <c r="D2653">
        <v>15.81</v>
      </c>
      <c r="E2653" t="s">
        <v>618</v>
      </c>
    </row>
    <row r="2654" spans="1:5" x14ac:dyDescent="0.3">
      <c r="A2654">
        <v>2653</v>
      </c>
      <c r="B2654">
        <v>885</v>
      </c>
      <c r="C2654" t="s">
        <v>611</v>
      </c>
      <c r="D2654">
        <v>14.89</v>
      </c>
      <c r="E2654" t="s">
        <v>612</v>
      </c>
    </row>
    <row r="2655" spans="1:5" x14ac:dyDescent="0.3">
      <c r="A2655">
        <v>2654</v>
      </c>
      <c r="B2655">
        <v>885</v>
      </c>
      <c r="C2655" t="s">
        <v>615</v>
      </c>
      <c r="D2655">
        <v>283.35000000000002</v>
      </c>
      <c r="E2655" t="s">
        <v>616</v>
      </c>
    </row>
    <row r="2656" spans="1:5" x14ac:dyDescent="0.3">
      <c r="A2656">
        <v>2655</v>
      </c>
      <c r="B2656">
        <v>885</v>
      </c>
      <c r="C2656" t="s">
        <v>613</v>
      </c>
      <c r="D2656">
        <v>2.87</v>
      </c>
      <c r="E2656" t="s">
        <v>614</v>
      </c>
    </row>
    <row r="2657" spans="1:5" x14ac:dyDescent="0.3">
      <c r="A2657">
        <v>2656</v>
      </c>
      <c r="B2657">
        <v>886</v>
      </c>
      <c r="C2657" t="s">
        <v>621</v>
      </c>
      <c r="D2657">
        <v>9.4600000000000009</v>
      </c>
      <c r="E2657" t="s">
        <v>622</v>
      </c>
    </row>
    <row r="2658" spans="1:5" x14ac:dyDescent="0.3">
      <c r="A2658">
        <v>2657</v>
      </c>
      <c r="B2658">
        <v>886</v>
      </c>
      <c r="C2658" t="s">
        <v>603</v>
      </c>
      <c r="D2658">
        <v>82.67</v>
      </c>
      <c r="E2658" t="s">
        <v>604</v>
      </c>
    </row>
    <row r="2659" spans="1:5" x14ac:dyDescent="0.3">
      <c r="A2659">
        <v>2658</v>
      </c>
      <c r="B2659">
        <v>886</v>
      </c>
      <c r="C2659" t="s">
        <v>609</v>
      </c>
      <c r="D2659">
        <v>0.13</v>
      </c>
      <c r="E2659" t="s">
        <v>610</v>
      </c>
    </row>
    <row r="2660" spans="1:5" x14ac:dyDescent="0.3">
      <c r="A2660">
        <v>2659</v>
      </c>
      <c r="B2660">
        <v>887</v>
      </c>
      <c r="C2660" t="s">
        <v>609</v>
      </c>
      <c r="D2660">
        <v>6.6</v>
      </c>
      <c r="E2660" t="s">
        <v>610</v>
      </c>
    </row>
    <row r="2661" spans="1:5" x14ac:dyDescent="0.3">
      <c r="A2661">
        <v>2660</v>
      </c>
      <c r="B2661">
        <v>887</v>
      </c>
      <c r="C2661" t="s">
        <v>603</v>
      </c>
      <c r="D2661">
        <v>121.66</v>
      </c>
      <c r="E2661" t="s">
        <v>604</v>
      </c>
    </row>
    <row r="2662" spans="1:5" x14ac:dyDescent="0.3">
      <c r="A2662">
        <v>2661</v>
      </c>
      <c r="B2662">
        <v>887</v>
      </c>
      <c r="C2662" t="s">
        <v>621</v>
      </c>
      <c r="D2662">
        <v>10.4</v>
      </c>
      <c r="E2662" t="s">
        <v>622</v>
      </c>
    </row>
    <row r="2663" spans="1:5" x14ac:dyDescent="0.3">
      <c r="A2663">
        <v>2662</v>
      </c>
      <c r="B2663">
        <v>888</v>
      </c>
      <c r="C2663" t="s">
        <v>621</v>
      </c>
      <c r="D2663">
        <v>11.65</v>
      </c>
      <c r="E2663" t="s">
        <v>622</v>
      </c>
    </row>
    <row r="2664" spans="1:5" x14ac:dyDescent="0.3">
      <c r="A2664">
        <v>2663</v>
      </c>
      <c r="B2664">
        <v>888</v>
      </c>
      <c r="C2664" t="s">
        <v>615</v>
      </c>
      <c r="D2664">
        <v>165.97</v>
      </c>
      <c r="E2664" t="s">
        <v>616</v>
      </c>
    </row>
    <row r="2665" spans="1:5" x14ac:dyDescent="0.3">
      <c r="A2665">
        <v>2664</v>
      </c>
      <c r="B2665">
        <v>888</v>
      </c>
      <c r="C2665" t="s">
        <v>611</v>
      </c>
      <c r="D2665">
        <v>13.52</v>
      </c>
      <c r="E2665" t="s">
        <v>612</v>
      </c>
    </row>
    <row r="2666" spans="1:5" x14ac:dyDescent="0.3">
      <c r="A2666">
        <v>2665</v>
      </c>
      <c r="B2666">
        <v>889</v>
      </c>
      <c r="C2666" t="s">
        <v>605</v>
      </c>
      <c r="D2666">
        <v>315.14999999999998</v>
      </c>
      <c r="E2666" t="s">
        <v>606</v>
      </c>
    </row>
    <row r="2667" spans="1:5" x14ac:dyDescent="0.3">
      <c r="A2667">
        <v>2666</v>
      </c>
      <c r="B2667">
        <v>889</v>
      </c>
      <c r="C2667" t="s">
        <v>609</v>
      </c>
      <c r="D2667">
        <v>2.0299999999999998</v>
      </c>
      <c r="E2667" t="s">
        <v>610</v>
      </c>
    </row>
    <row r="2668" spans="1:5" x14ac:dyDescent="0.3">
      <c r="A2668">
        <v>2667</v>
      </c>
      <c r="B2668">
        <v>889</v>
      </c>
      <c r="C2668" t="s">
        <v>619</v>
      </c>
      <c r="D2668">
        <v>2.89</v>
      </c>
      <c r="E2668" t="s">
        <v>620</v>
      </c>
    </row>
    <row r="2669" spans="1:5" x14ac:dyDescent="0.3">
      <c r="A2669">
        <v>2668</v>
      </c>
      <c r="B2669">
        <v>890</v>
      </c>
      <c r="C2669" t="s">
        <v>605</v>
      </c>
      <c r="D2669">
        <v>298.29000000000002</v>
      </c>
      <c r="E2669" t="s">
        <v>606</v>
      </c>
    </row>
    <row r="2670" spans="1:5" x14ac:dyDescent="0.3">
      <c r="A2670">
        <v>2669</v>
      </c>
      <c r="B2670">
        <v>890</v>
      </c>
      <c r="C2670" t="s">
        <v>615</v>
      </c>
      <c r="D2670">
        <v>347.23</v>
      </c>
      <c r="E2670" t="s">
        <v>616</v>
      </c>
    </row>
    <row r="2671" spans="1:5" x14ac:dyDescent="0.3">
      <c r="A2671">
        <v>2670</v>
      </c>
      <c r="B2671">
        <v>890</v>
      </c>
      <c r="C2671" t="s">
        <v>621</v>
      </c>
      <c r="D2671">
        <v>11.04</v>
      </c>
      <c r="E2671" t="s">
        <v>622</v>
      </c>
    </row>
    <row r="2672" spans="1:5" x14ac:dyDescent="0.3">
      <c r="A2672">
        <v>2671</v>
      </c>
      <c r="B2672">
        <v>891</v>
      </c>
      <c r="C2672" t="s">
        <v>605</v>
      </c>
      <c r="D2672">
        <v>282.87</v>
      </c>
      <c r="E2672" t="s">
        <v>606</v>
      </c>
    </row>
    <row r="2673" spans="1:5" x14ac:dyDescent="0.3">
      <c r="A2673">
        <v>2672</v>
      </c>
      <c r="B2673">
        <v>891</v>
      </c>
      <c r="C2673" t="s">
        <v>609</v>
      </c>
      <c r="D2673">
        <v>8.9600000000000009</v>
      </c>
      <c r="E2673" t="s">
        <v>610</v>
      </c>
    </row>
    <row r="2674" spans="1:5" x14ac:dyDescent="0.3">
      <c r="A2674">
        <v>2673</v>
      </c>
      <c r="B2674">
        <v>891</v>
      </c>
      <c r="C2674" t="s">
        <v>621</v>
      </c>
      <c r="D2674">
        <v>8.98</v>
      </c>
      <c r="E2674" t="s">
        <v>622</v>
      </c>
    </row>
    <row r="2675" spans="1:5" x14ac:dyDescent="0.3">
      <c r="A2675">
        <v>2674</v>
      </c>
      <c r="B2675">
        <v>892</v>
      </c>
      <c r="C2675" t="s">
        <v>609</v>
      </c>
      <c r="D2675">
        <v>18.71</v>
      </c>
      <c r="E2675" t="s">
        <v>610</v>
      </c>
    </row>
    <row r="2676" spans="1:5" x14ac:dyDescent="0.3">
      <c r="A2676">
        <v>2675</v>
      </c>
      <c r="B2676">
        <v>892</v>
      </c>
      <c r="C2676" t="s">
        <v>611</v>
      </c>
      <c r="D2676">
        <v>8.1300000000000008</v>
      </c>
      <c r="E2676" t="s">
        <v>612</v>
      </c>
    </row>
    <row r="2677" spans="1:5" x14ac:dyDescent="0.3">
      <c r="A2677">
        <v>2676</v>
      </c>
      <c r="B2677">
        <v>892</v>
      </c>
      <c r="C2677" t="s">
        <v>617</v>
      </c>
      <c r="D2677">
        <v>11.88</v>
      </c>
      <c r="E2677" t="s">
        <v>618</v>
      </c>
    </row>
    <row r="2678" spans="1:5" x14ac:dyDescent="0.3">
      <c r="A2678">
        <v>2677</v>
      </c>
      <c r="B2678">
        <v>893</v>
      </c>
      <c r="C2678" t="s">
        <v>621</v>
      </c>
      <c r="D2678">
        <v>11.2</v>
      </c>
      <c r="E2678" t="s">
        <v>622</v>
      </c>
    </row>
    <row r="2679" spans="1:5" x14ac:dyDescent="0.3">
      <c r="A2679">
        <v>2678</v>
      </c>
      <c r="B2679">
        <v>893</v>
      </c>
      <c r="C2679" t="s">
        <v>609</v>
      </c>
      <c r="D2679">
        <v>10</v>
      </c>
      <c r="E2679" t="s">
        <v>610</v>
      </c>
    </row>
    <row r="2680" spans="1:5" x14ac:dyDescent="0.3">
      <c r="A2680">
        <v>2679</v>
      </c>
      <c r="B2680">
        <v>893</v>
      </c>
      <c r="C2680" t="s">
        <v>605</v>
      </c>
      <c r="D2680">
        <v>240.7</v>
      </c>
      <c r="E2680" t="s">
        <v>606</v>
      </c>
    </row>
    <row r="2681" spans="1:5" x14ac:dyDescent="0.3">
      <c r="A2681">
        <v>2680</v>
      </c>
      <c r="B2681">
        <v>894</v>
      </c>
      <c r="C2681" t="s">
        <v>621</v>
      </c>
      <c r="D2681">
        <v>11.43</v>
      </c>
      <c r="E2681" t="s">
        <v>622</v>
      </c>
    </row>
    <row r="2682" spans="1:5" x14ac:dyDescent="0.3">
      <c r="A2682">
        <v>2681</v>
      </c>
      <c r="B2682">
        <v>894</v>
      </c>
      <c r="C2682" t="s">
        <v>615</v>
      </c>
      <c r="D2682">
        <v>291.79000000000002</v>
      </c>
      <c r="E2682" t="s">
        <v>616</v>
      </c>
    </row>
    <row r="2683" spans="1:5" x14ac:dyDescent="0.3">
      <c r="A2683">
        <v>2682</v>
      </c>
      <c r="B2683">
        <v>894</v>
      </c>
      <c r="C2683" t="s">
        <v>613</v>
      </c>
      <c r="D2683">
        <v>4.12</v>
      </c>
      <c r="E2683" t="s">
        <v>614</v>
      </c>
    </row>
    <row r="2684" spans="1:5" x14ac:dyDescent="0.3">
      <c r="A2684">
        <v>2683</v>
      </c>
      <c r="B2684">
        <v>895</v>
      </c>
      <c r="C2684" t="s">
        <v>613</v>
      </c>
      <c r="D2684">
        <v>3.95</v>
      </c>
      <c r="E2684" t="s">
        <v>614</v>
      </c>
    </row>
    <row r="2685" spans="1:5" x14ac:dyDescent="0.3">
      <c r="A2685">
        <v>2684</v>
      </c>
      <c r="B2685">
        <v>895</v>
      </c>
      <c r="C2685" t="s">
        <v>611</v>
      </c>
      <c r="D2685">
        <v>10.84</v>
      </c>
      <c r="E2685" t="s">
        <v>612</v>
      </c>
    </row>
    <row r="2686" spans="1:5" x14ac:dyDescent="0.3">
      <c r="A2686">
        <v>2685</v>
      </c>
      <c r="B2686">
        <v>895</v>
      </c>
      <c r="C2686" t="s">
        <v>609</v>
      </c>
      <c r="D2686">
        <v>4.87</v>
      </c>
      <c r="E2686" t="s">
        <v>610</v>
      </c>
    </row>
    <row r="2687" spans="1:5" x14ac:dyDescent="0.3">
      <c r="A2687">
        <v>2686</v>
      </c>
      <c r="B2687">
        <v>896</v>
      </c>
      <c r="C2687" t="s">
        <v>613</v>
      </c>
      <c r="D2687">
        <v>2.94</v>
      </c>
      <c r="E2687" t="s">
        <v>614</v>
      </c>
    </row>
    <row r="2688" spans="1:5" x14ac:dyDescent="0.3">
      <c r="A2688">
        <v>2687</v>
      </c>
      <c r="B2688">
        <v>896</v>
      </c>
      <c r="C2688" t="s">
        <v>619</v>
      </c>
      <c r="D2688">
        <v>0.71</v>
      </c>
      <c r="E2688" t="s">
        <v>620</v>
      </c>
    </row>
    <row r="2689" spans="1:5" x14ac:dyDescent="0.3">
      <c r="A2689">
        <v>2688</v>
      </c>
      <c r="B2689">
        <v>896</v>
      </c>
      <c r="C2689" t="s">
        <v>607</v>
      </c>
      <c r="D2689">
        <v>149.61000000000001</v>
      </c>
      <c r="E2689" t="s">
        <v>608</v>
      </c>
    </row>
    <row r="2690" spans="1:5" x14ac:dyDescent="0.3">
      <c r="A2690">
        <v>2689</v>
      </c>
      <c r="B2690">
        <v>897</v>
      </c>
      <c r="C2690" t="s">
        <v>613</v>
      </c>
      <c r="D2690">
        <v>5.0599999999999996</v>
      </c>
      <c r="E2690" t="s">
        <v>614</v>
      </c>
    </row>
    <row r="2691" spans="1:5" x14ac:dyDescent="0.3">
      <c r="A2691">
        <v>2690</v>
      </c>
      <c r="B2691">
        <v>897</v>
      </c>
      <c r="C2691" t="s">
        <v>611</v>
      </c>
      <c r="D2691">
        <v>10.37</v>
      </c>
      <c r="E2691" t="s">
        <v>612</v>
      </c>
    </row>
    <row r="2692" spans="1:5" x14ac:dyDescent="0.3">
      <c r="A2692">
        <v>2691</v>
      </c>
      <c r="B2692">
        <v>897</v>
      </c>
      <c r="C2692" t="s">
        <v>609</v>
      </c>
      <c r="D2692">
        <v>10.59</v>
      </c>
      <c r="E2692" t="s">
        <v>610</v>
      </c>
    </row>
    <row r="2693" spans="1:5" x14ac:dyDescent="0.3">
      <c r="A2693">
        <v>2692</v>
      </c>
      <c r="B2693">
        <v>898</v>
      </c>
      <c r="C2693" t="s">
        <v>621</v>
      </c>
      <c r="D2693">
        <v>10.06</v>
      </c>
      <c r="E2693" t="s">
        <v>622</v>
      </c>
    </row>
    <row r="2694" spans="1:5" x14ac:dyDescent="0.3">
      <c r="A2694">
        <v>2693</v>
      </c>
      <c r="B2694">
        <v>898</v>
      </c>
      <c r="C2694" t="s">
        <v>609</v>
      </c>
      <c r="D2694">
        <v>12.9</v>
      </c>
      <c r="E2694" t="s">
        <v>610</v>
      </c>
    </row>
    <row r="2695" spans="1:5" x14ac:dyDescent="0.3">
      <c r="A2695">
        <v>2694</v>
      </c>
      <c r="B2695">
        <v>898</v>
      </c>
      <c r="C2695" t="s">
        <v>607</v>
      </c>
      <c r="D2695">
        <v>134.22</v>
      </c>
      <c r="E2695" t="s">
        <v>608</v>
      </c>
    </row>
    <row r="2696" spans="1:5" x14ac:dyDescent="0.3">
      <c r="A2696">
        <v>2695</v>
      </c>
      <c r="B2696">
        <v>899</v>
      </c>
      <c r="C2696" t="s">
        <v>605</v>
      </c>
      <c r="D2696">
        <v>178.59</v>
      </c>
      <c r="E2696" t="s">
        <v>606</v>
      </c>
    </row>
    <row r="2697" spans="1:5" x14ac:dyDescent="0.3">
      <c r="A2697">
        <v>2696</v>
      </c>
      <c r="B2697">
        <v>899</v>
      </c>
      <c r="C2697" t="s">
        <v>613</v>
      </c>
      <c r="D2697">
        <v>4.93</v>
      </c>
      <c r="E2697" t="s">
        <v>614</v>
      </c>
    </row>
    <row r="2698" spans="1:5" x14ac:dyDescent="0.3">
      <c r="A2698">
        <v>2697</v>
      </c>
      <c r="B2698">
        <v>899</v>
      </c>
      <c r="C2698" t="s">
        <v>619</v>
      </c>
      <c r="D2698">
        <v>1.91</v>
      </c>
      <c r="E2698" t="s">
        <v>620</v>
      </c>
    </row>
    <row r="2699" spans="1:5" x14ac:dyDescent="0.3">
      <c r="A2699">
        <v>2698</v>
      </c>
      <c r="B2699">
        <v>900</v>
      </c>
      <c r="C2699" t="s">
        <v>607</v>
      </c>
      <c r="D2699">
        <v>128.52000000000001</v>
      </c>
      <c r="E2699" t="s">
        <v>608</v>
      </c>
    </row>
    <row r="2700" spans="1:5" x14ac:dyDescent="0.3">
      <c r="A2700">
        <v>2699</v>
      </c>
      <c r="B2700">
        <v>900</v>
      </c>
      <c r="C2700" t="s">
        <v>611</v>
      </c>
      <c r="D2700">
        <v>8.1</v>
      </c>
      <c r="E2700" t="s">
        <v>612</v>
      </c>
    </row>
    <row r="2701" spans="1:5" x14ac:dyDescent="0.3">
      <c r="A2701">
        <v>2700</v>
      </c>
      <c r="B2701">
        <v>900</v>
      </c>
      <c r="C2701" t="s">
        <v>613</v>
      </c>
      <c r="D2701">
        <v>4.71</v>
      </c>
      <c r="E2701" t="s">
        <v>614</v>
      </c>
    </row>
    <row r="2702" spans="1:5" x14ac:dyDescent="0.3">
      <c r="A2702">
        <v>2701</v>
      </c>
      <c r="B2702">
        <v>901</v>
      </c>
      <c r="C2702" t="s">
        <v>621</v>
      </c>
      <c r="D2702">
        <v>7.98</v>
      </c>
      <c r="E2702" t="s">
        <v>622</v>
      </c>
    </row>
    <row r="2703" spans="1:5" x14ac:dyDescent="0.3">
      <c r="A2703">
        <v>2702</v>
      </c>
      <c r="B2703">
        <v>901</v>
      </c>
      <c r="C2703" t="s">
        <v>607</v>
      </c>
      <c r="D2703">
        <v>145.30000000000001</v>
      </c>
      <c r="E2703" t="s">
        <v>608</v>
      </c>
    </row>
    <row r="2704" spans="1:5" x14ac:dyDescent="0.3">
      <c r="A2704">
        <v>2703</v>
      </c>
      <c r="B2704">
        <v>901</v>
      </c>
      <c r="C2704" t="s">
        <v>617</v>
      </c>
      <c r="D2704">
        <v>6.73</v>
      </c>
      <c r="E2704" t="s">
        <v>618</v>
      </c>
    </row>
    <row r="2705" spans="1:5" x14ac:dyDescent="0.3">
      <c r="A2705">
        <v>2704</v>
      </c>
      <c r="B2705">
        <v>902</v>
      </c>
      <c r="C2705" t="s">
        <v>603</v>
      </c>
      <c r="D2705">
        <v>99.79</v>
      </c>
      <c r="E2705" t="s">
        <v>604</v>
      </c>
    </row>
    <row r="2706" spans="1:5" x14ac:dyDescent="0.3">
      <c r="A2706">
        <v>2705</v>
      </c>
      <c r="B2706">
        <v>902</v>
      </c>
      <c r="C2706" t="s">
        <v>609</v>
      </c>
      <c r="D2706">
        <v>1.87</v>
      </c>
      <c r="E2706" t="s">
        <v>610</v>
      </c>
    </row>
    <row r="2707" spans="1:5" x14ac:dyDescent="0.3">
      <c r="A2707">
        <v>2706</v>
      </c>
      <c r="B2707">
        <v>902</v>
      </c>
      <c r="C2707" t="s">
        <v>621</v>
      </c>
      <c r="D2707">
        <v>11.14</v>
      </c>
      <c r="E2707" t="s">
        <v>622</v>
      </c>
    </row>
    <row r="2708" spans="1:5" x14ac:dyDescent="0.3">
      <c r="A2708">
        <v>2707</v>
      </c>
      <c r="B2708">
        <v>903</v>
      </c>
      <c r="C2708" t="s">
        <v>621</v>
      </c>
      <c r="D2708">
        <v>9.1300000000000008</v>
      </c>
      <c r="E2708" t="s">
        <v>622</v>
      </c>
    </row>
    <row r="2709" spans="1:5" x14ac:dyDescent="0.3">
      <c r="A2709">
        <v>2708</v>
      </c>
      <c r="B2709">
        <v>903</v>
      </c>
      <c r="C2709" t="s">
        <v>609</v>
      </c>
      <c r="D2709">
        <v>14.81</v>
      </c>
      <c r="E2709" t="s">
        <v>610</v>
      </c>
    </row>
    <row r="2710" spans="1:5" x14ac:dyDescent="0.3">
      <c r="A2710">
        <v>2709</v>
      </c>
      <c r="B2710">
        <v>903</v>
      </c>
      <c r="C2710" t="s">
        <v>605</v>
      </c>
      <c r="D2710">
        <v>226.86</v>
      </c>
      <c r="E2710" t="s">
        <v>606</v>
      </c>
    </row>
    <row r="2711" spans="1:5" x14ac:dyDescent="0.3">
      <c r="A2711">
        <v>2710</v>
      </c>
      <c r="B2711">
        <v>904</v>
      </c>
      <c r="C2711" t="s">
        <v>603</v>
      </c>
      <c r="D2711">
        <v>99.82</v>
      </c>
      <c r="E2711" t="s">
        <v>604</v>
      </c>
    </row>
    <row r="2712" spans="1:5" x14ac:dyDescent="0.3">
      <c r="A2712">
        <v>2711</v>
      </c>
      <c r="B2712">
        <v>904</v>
      </c>
      <c r="C2712" t="s">
        <v>617</v>
      </c>
      <c r="D2712">
        <v>15.53</v>
      </c>
      <c r="E2712" t="s">
        <v>618</v>
      </c>
    </row>
    <row r="2713" spans="1:5" x14ac:dyDescent="0.3">
      <c r="A2713">
        <v>2712</v>
      </c>
      <c r="B2713">
        <v>904</v>
      </c>
      <c r="C2713" t="s">
        <v>607</v>
      </c>
      <c r="D2713">
        <v>129.15</v>
      </c>
      <c r="E2713" t="s">
        <v>608</v>
      </c>
    </row>
    <row r="2714" spans="1:5" x14ac:dyDescent="0.3">
      <c r="A2714">
        <v>2713</v>
      </c>
      <c r="B2714">
        <v>905</v>
      </c>
      <c r="C2714" t="s">
        <v>607</v>
      </c>
      <c r="D2714">
        <v>139.19</v>
      </c>
      <c r="E2714" t="s">
        <v>608</v>
      </c>
    </row>
    <row r="2715" spans="1:5" x14ac:dyDescent="0.3">
      <c r="A2715">
        <v>2714</v>
      </c>
      <c r="B2715">
        <v>905</v>
      </c>
      <c r="C2715" t="s">
        <v>609</v>
      </c>
      <c r="D2715">
        <v>13.65</v>
      </c>
      <c r="E2715" t="s">
        <v>610</v>
      </c>
    </row>
    <row r="2716" spans="1:5" x14ac:dyDescent="0.3">
      <c r="A2716">
        <v>2715</v>
      </c>
      <c r="B2716">
        <v>905</v>
      </c>
      <c r="C2716" t="s">
        <v>605</v>
      </c>
      <c r="D2716">
        <v>128.94</v>
      </c>
      <c r="E2716" t="s">
        <v>606</v>
      </c>
    </row>
    <row r="2717" spans="1:5" x14ac:dyDescent="0.3">
      <c r="A2717">
        <v>2716</v>
      </c>
      <c r="B2717">
        <v>906</v>
      </c>
      <c r="C2717" t="s">
        <v>619</v>
      </c>
      <c r="D2717">
        <v>3.82</v>
      </c>
      <c r="E2717" t="s">
        <v>620</v>
      </c>
    </row>
    <row r="2718" spans="1:5" x14ac:dyDescent="0.3">
      <c r="A2718">
        <v>2717</v>
      </c>
      <c r="B2718">
        <v>906</v>
      </c>
      <c r="C2718" t="s">
        <v>611</v>
      </c>
      <c r="D2718">
        <v>16.37</v>
      </c>
      <c r="E2718" t="s">
        <v>612</v>
      </c>
    </row>
    <row r="2719" spans="1:5" x14ac:dyDescent="0.3">
      <c r="A2719">
        <v>2718</v>
      </c>
      <c r="B2719">
        <v>906</v>
      </c>
      <c r="C2719" t="s">
        <v>613</v>
      </c>
      <c r="D2719">
        <v>5.22</v>
      </c>
      <c r="E2719" t="s">
        <v>614</v>
      </c>
    </row>
    <row r="2720" spans="1:5" x14ac:dyDescent="0.3">
      <c r="A2720">
        <v>2719</v>
      </c>
      <c r="B2720">
        <v>907</v>
      </c>
      <c r="C2720" t="s">
        <v>611</v>
      </c>
      <c r="D2720">
        <v>9.17</v>
      </c>
      <c r="E2720" t="s">
        <v>612</v>
      </c>
    </row>
    <row r="2721" spans="1:5" x14ac:dyDescent="0.3">
      <c r="A2721">
        <v>2720</v>
      </c>
      <c r="B2721">
        <v>907</v>
      </c>
      <c r="C2721" t="s">
        <v>619</v>
      </c>
      <c r="D2721">
        <v>2.74</v>
      </c>
      <c r="E2721" t="s">
        <v>620</v>
      </c>
    </row>
    <row r="2722" spans="1:5" x14ac:dyDescent="0.3">
      <c r="A2722">
        <v>2721</v>
      </c>
      <c r="B2722">
        <v>907</v>
      </c>
      <c r="C2722" t="s">
        <v>613</v>
      </c>
      <c r="D2722">
        <v>2.85</v>
      </c>
      <c r="E2722" t="s">
        <v>614</v>
      </c>
    </row>
    <row r="2723" spans="1:5" x14ac:dyDescent="0.3">
      <c r="A2723">
        <v>2722</v>
      </c>
      <c r="B2723">
        <v>908</v>
      </c>
      <c r="C2723" t="s">
        <v>607</v>
      </c>
      <c r="D2723">
        <v>148.33000000000001</v>
      </c>
      <c r="E2723" t="s">
        <v>608</v>
      </c>
    </row>
    <row r="2724" spans="1:5" x14ac:dyDescent="0.3">
      <c r="A2724">
        <v>2723</v>
      </c>
      <c r="B2724">
        <v>908</v>
      </c>
      <c r="C2724" t="s">
        <v>619</v>
      </c>
      <c r="D2724">
        <v>0.52</v>
      </c>
      <c r="E2724" t="s">
        <v>620</v>
      </c>
    </row>
    <row r="2725" spans="1:5" x14ac:dyDescent="0.3">
      <c r="A2725">
        <v>2724</v>
      </c>
      <c r="B2725">
        <v>908</v>
      </c>
      <c r="C2725" t="s">
        <v>611</v>
      </c>
      <c r="D2725">
        <v>9.52</v>
      </c>
      <c r="E2725" t="s">
        <v>612</v>
      </c>
    </row>
    <row r="2726" spans="1:5" x14ac:dyDescent="0.3">
      <c r="A2726">
        <v>2725</v>
      </c>
      <c r="B2726">
        <v>909</v>
      </c>
      <c r="C2726" t="s">
        <v>615</v>
      </c>
      <c r="D2726">
        <v>389.3</v>
      </c>
      <c r="E2726" t="s">
        <v>616</v>
      </c>
    </row>
    <row r="2727" spans="1:5" x14ac:dyDescent="0.3">
      <c r="A2727">
        <v>2726</v>
      </c>
      <c r="B2727">
        <v>909</v>
      </c>
      <c r="C2727" t="s">
        <v>605</v>
      </c>
      <c r="D2727">
        <v>194.36</v>
      </c>
      <c r="E2727" t="s">
        <v>606</v>
      </c>
    </row>
    <row r="2728" spans="1:5" x14ac:dyDescent="0.3">
      <c r="A2728">
        <v>2727</v>
      </c>
      <c r="B2728">
        <v>909</v>
      </c>
      <c r="C2728" t="s">
        <v>607</v>
      </c>
      <c r="D2728">
        <v>146.43</v>
      </c>
      <c r="E2728" t="s">
        <v>608</v>
      </c>
    </row>
    <row r="2729" spans="1:5" x14ac:dyDescent="0.3">
      <c r="A2729">
        <v>2728</v>
      </c>
      <c r="B2729">
        <v>910</v>
      </c>
      <c r="C2729" t="s">
        <v>603</v>
      </c>
      <c r="D2729">
        <v>175.77</v>
      </c>
      <c r="E2729" t="s">
        <v>604</v>
      </c>
    </row>
    <row r="2730" spans="1:5" x14ac:dyDescent="0.3">
      <c r="A2730">
        <v>2729</v>
      </c>
      <c r="B2730">
        <v>910</v>
      </c>
      <c r="C2730" t="s">
        <v>605</v>
      </c>
      <c r="D2730">
        <v>244.35</v>
      </c>
      <c r="E2730" t="s">
        <v>606</v>
      </c>
    </row>
    <row r="2731" spans="1:5" x14ac:dyDescent="0.3">
      <c r="A2731">
        <v>2730</v>
      </c>
      <c r="B2731">
        <v>910</v>
      </c>
      <c r="C2731" t="s">
        <v>609</v>
      </c>
      <c r="D2731">
        <v>5.24</v>
      </c>
      <c r="E2731" t="s">
        <v>610</v>
      </c>
    </row>
    <row r="2732" spans="1:5" x14ac:dyDescent="0.3">
      <c r="A2732">
        <v>2731</v>
      </c>
      <c r="B2732">
        <v>911</v>
      </c>
      <c r="C2732" t="s">
        <v>607</v>
      </c>
      <c r="D2732">
        <v>148.69</v>
      </c>
      <c r="E2732" t="s">
        <v>608</v>
      </c>
    </row>
    <row r="2733" spans="1:5" x14ac:dyDescent="0.3">
      <c r="A2733">
        <v>2732</v>
      </c>
      <c r="B2733">
        <v>911</v>
      </c>
      <c r="C2733" t="s">
        <v>617</v>
      </c>
      <c r="D2733">
        <v>11.49</v>
      </c>
      <c r="E2733" t="s">
        <v>618</v>
      </c>
    </row>
    <row r="2734" spans="1:5" x14ac:dyDescent="0.3">
      <c r="A2734">
        <v>2733</v>
      </c>
      <c r="B2734">
        <v>911</v>
      </c>
      <c r="C2734" t="s">
        <v>619</v>
      </c>
      <c r="D2734">
        <v>3.7</v>
      </c>
      <c r="E2734" t="s">
        <v>620</v>
      </c>
    </row>
    <row r="2735" spans="1:5" x14ac:dyDescent="0.3">
      <c r="A2735">
        <v>2734</v>
      </c>
      <c r="B2735">
        <v>912</v>
      </c>
      <c r="C2735" t="s">
        <v>607</v>
      </c>
      <c r="D2735">
        <v>146.12</v>
      </c>
      <c r="E2735" t="s">
        <v>608</v>
      </c>
    </row>
    <row r="2736" spans="1:5" x14ac:dyDescent="0.3">
      <c r="A2736">
        <v>2735</v>
      </c>
      <c r="B2736">
        <v>912</v>
      </c>
      <c r="C2736" t="s">
        <v>603</v>
      </c>
      <c r="D2736">
        <v>134.77000000000001</v>
      </c>
      <c r="E2736" t="s">
        <v>604</v>
      </c>
    </row>
    <row r="2737" spans="1:5" x14ac:dyDescent="0.3">
      <c r="A2737">
        <v>2736</v>
      </c>
      <c r="B2737">
        <v>912</v>
      </c>
      <c r="C2737" t="s">
        <v>621</v>
      </c>
      <c r="D2737">
        <v>10.74</v>
      </c>
      <c r="E2737" t="s">
        <v>622</v>
      </c>
    </row>
    <row r="2738" spans="1:5" x14ac:dyDescent="0.3">
      <c r="A2738">
        <v>2737</v>
      </c>
      <c r="B2738">
        <v>913</v>
      </c>
      <c r="C2738" t="s">
        <v>619</v>
      </c>
      <c r="D2738">
        <v>2.6</v>
      </c>
      <c r="E2738" t="s">
        <v>620</v>
      </c>
    </row>
    <row r="2739" spans="1:5" x14ac:dyDescent="0.3">
      <c r="A2739">
        <v>2738</v>
      </c>
      <c r="B2739">
        <v>913</v>
      </c>
      <c r="C2739" t="s">
        <v>613</v>
      </c>
      <c r="D2739">
        <v>4.93</v>
      </c>
      <c r="E2739" t="s">
        <v>614</v>
      </c>
    </row>
    <row r="2740" spans="1:5" x14ac:dyDescent="0.3">
      <c r="A2740">
        <v>2739</v>
      </c>
      <c r="B2740">
        <v>913</v>
      </c>
      <c r="C2740" t="s">
        <v>617</v>
      </c>
      <c r="D2740">
        <v>8.14</v>
      </c>
      <c r="E2740" t="s">
        <v>618</v>
      </c>
    </row>
    <row r="2741" spans="1:5" x14ac:dyDescent="0.3">
      <c r="A2741">
        <v>2740</v>
      </c>
      <c r="B2741">
        <v>914</v>
      </c>
      <c r="C2741" t="s">
        <v>613</v>
      </c>
      <c r="D2741">
        <v>3.04</v>
      </c>
      <c r="E2741" t="s">
        <v>614</v>
      </c>
    </row>
    <row r="2742" spans="1:5" x14ac:dyDescent="0.3">
      <c r="A2742">
        <v>2741</v>
      </c>
      <c r="B2742">
        <v>914</v>
      </c>
      <c r="C2742" t="s">
        <v>605</v>
      </c>
      <c r="D2742">
        <v>142.88</v>
      </c>
      <c r="E2742" t="s">
        <v>606</v>
      </c>
    </row>
    <row r="2743" spans="1:5" x14ac:dyDescent="0.3">
      <c r="A2743">
        <v>2742</v>
      </c>
      <c r="B2743">
        <v>914</v>
      </c>
      <c r="C2743" t="s">
        <v>619</v>
      </c>
      <c r="D2743">
        <v>1.06</v>
      </c>
      <c r="E2743" t="s">
        <v>620</v>
      </c>
    </row>
    <row r="2744" spans="1:5" x14ac:dyDescent="0.3">
      <c r="A2744">
        <v>2743</v>
      </c>
      <c r="B2744">
        <v>915</v>
      </c>
      <c r="C2744" t="s">
        <v>613</v>
      </c>
      <c r="D2744">
        <v>4.63</v>
      </c>
      <c r="E2744" t="s">
        <v>614</v>
      </c>
    </row>
    <row r="2745" spans="1:5" x14ac:dyDescent="0.3">
      <c r="A2745">
        <v>2744</v>
      </c>
      <c r="B2745">
        <v>915</v>
      </c>
      <c r="C2745" t="s">
        <v>611</v>
      </c>
      <c r="D2745">
        <v>8.76</v>
      </c>
      <c r="E2745" t="s">
        <v>612</v>
      </c>
    </row>
    <row r="2746" spans="1:5" x14ac:dyDescent="0.3">
      <c r="A2746">
        <v>2745</v>
      </c>
      <c r="B2746">
        <v>915</v>
      </c>
      <c r="C2746" t="s">
        <v>605</v>
      </c>
      <c r="D2746">
        <v>268.02</v>
      </c>
      <c r="E2746" t="s">
        <v>606</v>
      </c>
    </row>
    <row r="2747" spans="1:5" x14ac:dyDescent="0.3">
      <c r="A2747">
        <v>2746</v>
      </c>
      <c r="B2747">
        <v>916</v>
      </c>
      <c r="C2747" t="s">
        <v>607</v>
      </c>
      <c r="D2747">
        <v>134.26</v>
      </c>
      <c r="E2747" t="s">
        <v>608</v>
      </c>
    </row>
    <row r="2748" spans="1:5" x14ac:dyDescent="0.3">
      <c r="A2748">
        <v>2747</v>
      </c>
      <c r="B2748">
        <v>916</v>
      </c>
      <c r="C2748" t="s">
        <v>617</v>
      </c>
      <c r="D2748">
        <v>10.41</v>
      </c>
      <c r="E2748" t="s">
        <v>618</v>
      </c>
    </row>
    <row r="2749" spans="1:5" x14ac:dyDescent="0.3">
      <c r="A2749">
        <v>2748</v>
      </c>
      <c r="B2749">
        <v>916</v>
      </c>
      <c r="C2749" t="s">
        <v>609</v>
      </c>
      <c r="D2749">
        <v>2.2599999999999998</v>
      </c>
      <c r="E2749" t="s">
        <v>610</v>
      </c>
    </row>
    <row r="2750" spans="1:5" x14ac:dyDescent="0.3">
      <c r="A2750">
        <v>2749</v>
      </c>
      <c r="B2750">
        <v>917</v>
      </c>
      <c r="C2750" t="s">
        <v>611</v>
      </c>
      <c r="D2750">
        <v>16.98</v>
      </c>
      <c r="E2750" t="s">
        <v>612</v>
      </c>
    </row>
    <row r="2751" spans="1:5" x14ac:dyDescent="0.3">
      <c r="A2751">
        <v>2750</v>
      </c>
      <c r="B2751">
        <v>917</v>
      </c>
      <c r="C2751" t="s">
        <v>607</v>
      </c>
      <c r="D2751">
        <v>140.19999999999999</v>
      </c>
      <c r="E2751" t="s">
        <v>608</v>
      </c>
    </row>
    <row r="2752" spans="1:5" x14ac:dyDescent="0.3">
      <c r="A2752">
        <v>2751</v>
      </c>
      <c r="B2752">
        <v>917</v>
      </c>
      <c r="C2752" t="s">
        <v>619</v>
      </c>
      <c r="D2752">
        <v>2.2400000000000002</v>
      </c>
      <c r="E2752" t="s">
        <v>620</v>
      </c>
    </row>
    <row r="2753" spans="1:5" x14ac:dyDescent="0.3">
      <c r="A2753">
        <v>2752</v>
      </c>
      <c r="B2753">
        <v>918</v>
      </c>
      <c r="C2753" t="s">
        <v>605</v>
      </c>
      <c r="D2753">
        <v>213.79</v>
      </c>
      <c r="E2753" t="s">
        <v>606</v>
      </c>
    </row>
    <row r="2754" spans="1:5" x14ac:dyDescent="0.3">
      <c r="A2754">
        <v>2753</v>
      </c>
      <c r="B2754">
        <v>918</v>
      </c>
      <c r="C2754" t="s">
        <v>609</v>
      </c>
      <c r="D2754">
        <v>2.2799999999999998</v>
      </c>
      <c r="E2754" t="s">
        <v>610</v>
      </c>
    </row>
    <row r="2755" spans="1:5" x14ac:dyDescent="0.3">
      <c r="A2755">
        <v>2754</v>
      </c>
      <c r="B2755">
        <v>918</v>
      </c>
      <c r="C2755" t="s">
        <v>603</v>
      </c>
      <c r="D2755">
        <v>107.3</v>
      </c>
      <c r="E2755" t="s">
        <v>604</v>
      </c>
    </row>
    <row r="2756" spans="1:5" x14ac:dyDescent="0.3">
      <c r="A2756">
        <v>2755</v>
      </c>
      <c r="B2756">
        <v>919</v>
      </c>
      <c r="C2756" t="s">
        <v>607</v>
      </c>
      <c r="D2756">
        <v>144.78</v>
      </c>
      <c r="E2756" t="s">
        <v>608</v>
      </c>
    </row>
    <row r="2757" spans="1:5" x14ac:dyDescent="0.3">
      <c r="A2757">
        <v>2756</v>
      </c>
      <c r="B2757">
        <v>919</v>
      </c>
      <c r="C2757" t="s">
        <v>605</v>
      </c>
      <c r="D2757">
        <v>281.27999999999997</v>
      </c>
      <c r="E2757" t="s">
        <v>606</v>
      </c>
    </row>
    <row r="2758" spans="1:5" x14ac:dyDescent="0.3">
      <c r="A2758">
        <v>2757</v>
      </c>
      <c r="B2758">
        <v>919</v>
      </c>
      <c r="C2758" t="s">
        <v>611</v>
      </c>
      <c r="D2758">
        <v>9.5399999999999991</v>
      </c>
      <c r="E2758" t="s">
        <v>612</v>
      </c>
    </row>
    <row r="2759" spans="1:5" x14ac:dyDescent="0.3">
      <c r="A2759">
        <v>2758</v>
      </c>
      <c r="B2759">
        <v>920</v>
      </c>
      <c r="C2759" t="s">
        <v>621</v>
      </c>
      <c r="D2759">
        <v>9.91</v>
      </c>
      <c r="E2759" t="s">
        <v>622</v>
      </c>
    </row>
    <row r="2760" spans="1:5" x14ac:dyDescent="0.3">
      <c r="A2760">
        <v>2759</v>
      </c>
      <c r="B2760">
        <v>920</v>
      </c>
      <c r="C2760" t="s">
        <v>615</v>
      </c>
      <c r="D2760">
        <v>254.71</v>
      </c>
      <c r="E2760" t="s">
        <v>616</v>
      </c>
    </row>
    <row r="2761" spans="1:5" x14ac:dyDescent="0.3">
      <c r="A2761">
        <v>2760</v>
      </c>
      <c r="B2761">
        <v>920</v>
      </c>
      <c r="C2761" t="s">
        <v>613</v>
      </c>
      <c r="D2761">
        <v>5.42</v>
      </c>
      <c r="E2761" t="s">
        <v>614</v>
      </c>
    </row>
    <row r="2762" spans="1:5" x14ac:dyDescent="0.3">
      <c r="A2762">
        <v>2761</v>
      </c>
      <c r="B2762">
        <v>921</v>
      </c>
      <c r="C2762" t="s">
        <v>609</v>
      </c>
      <c r="D2762">
        <v>14.53</v>
      </c>
      <c r="E2762" t="s">
        <v>610</v>
      </c>
    </row>
    <row r="2763" spans="1:5" x14ac:dyDescent="0.3">
      <c r="A2763">
        <v>2762</v>
      </c>
      <c r="B2763">
        <v>921</v>
      </c>
      <c r="C2763" t="s">
        <v>619</v>
      </c>
      <c r="D2763">
        <v>0.65</v>
      </c>
      <c r="E2763" t="s">
        <v>620</v>
      </c>
    </row>
    <row r="2764" spans="1:5" x14ac:dyDescent="0.3">
      <c r="A2764">
        <v>2763</v>
      </c>
      <c r="B2764">
        <v>921</v>
      </c>
      <c r="C2764" t="s">
        <v>621</v>
      </c>
      <c r="D2764">
        <v>4.1100000000000003</v>
      </c>
      <c r="E2764" t="s">
        <v>622</v>
      </c>
    </row>
    <row r="2765" spans="1:5" x14ac:dyDescent="0.3">
      <c r="A2765">
        <v>2764</v>
      </c>
      <c r="B2765">
        <v>922</v>
      </c>
      <c r="C2765" t="s">
        <v>605</v>
      </c>
      <c r="D2765">
        <v>304.37</v>
      </c>
      <c r="E2765" t="s">
        <v>606</v>
      </c>
    </row>
    <row r="2766" spans="1:5" x14ac:dyDescent="0.3">
      <c r="A2766">
        <v>2765</v>
      </c>
      <c r="B2766">
        <v>922</v>
      </c>
      <c r="C2766" t="s">
        <v>615</v>
      </c>
      <c r="D2766">
        <v>222.54</v>
      </c>
      <c r="E2766" t="s">
        <v>616</v>
      </c>
    </row>
    <row r="2767" spans="1:5" x14ac:dyDescent="0.3">
      <c r="A2767">
        <v>2766</v>
      </c>
      <c r="B2767">
        <v>922</v>
      </c>
      <c r="C2767" t="s">
        <v>617</v>
      </c>
      <c r="D2767">
        <v>5.61</v>
      </c>
      <c r="E2767" t="s">
        <v>618</v>
      </c>
    </row>
    <row r="2768" spans="1:5" x14ac:dyDescent="0.3">
      <c r="A2768">
        <v>2767</v>
      </c>
      <c r="B2768">
        <v>923</v>
      </c>
      <c r="C2768" t="s">
        <v>603</v>
      </c>
      <c r="D2768">
        <v>93.32</v>
      </c>
      <c r="E2768" t="s">
        <v>604</v>
      </c>
    </row>
    <row r="2769" spans="1:5" x14ac:dyDescent="0.3">
      <c r="A2769">
        <v>2768</v>
      </c>
      <c r="B2769">
        <v>923</v>
      </c>
      <c r="C2769" t="s">
        <v>607</v>
      </c>
      <c r="D2769">
        <v>134.41999999999999</v>
      </c>
      <c r="E2769" t="s">
        <v>608</v>
      </c>
    </row>
    <row r="2770" spans="1:5" x14ac:dyDescent="0.3">
      <c r="A2770">
        <v>2769</v>
      </c>
      <c r="B2770">
        <v>923</v>
      </c>
      <c r="C2770" t="s">
        <v>609</v>
      </c>
      <c r="D2770">
        <v>1.37</v>
      </c>
      <c r="E2770" t="s">
        <v>610</v>
      </c>
    </row>
    <row r="2771" spans="1:5" x14ac:dyDescent="0.3">
      <c r="A2771">
        <v>2770</v>
      </c>
      <c r="B2771">
        <v>924</v>
      </c>
      <c r="C2771" t="s">
        <v>605</v>
      </c>
      <c r="D2771">
        <v>251.6</v>
      </c>
      <c r="E2771" t="s">
        <v>606</v>
      </c>
    </row>
    <row r="2772" spans="1:5" x14ac:dyDescent="0.3">
      <c r="A2772">
        <v>2771</v>
      </c>
      <c r="B2772">
        <v>924</v>
      </c>
      <c r="C2772" t="s">
        <v>619</v>
      </c>
      <c r="D2772">
        <v>2.04</v>
      </c>
      <c r="E2772" t="s">
        <v>620</v>
      </c>
    </row>
    <row r="2773" spans="1:5" x14ac:dyDescent="0.3">
      <c r="A2773">
        <v>2772</v>
      </c>
      <c r="B2773">
        <v>924</v>
      </c>
      <c r="C2773" t="s">
        <v>615</v>
      </c>
      <c r="D2773">
        <v>404.97</v>
      </c>
      <c r="E2773" t="s">
        <v>616</v>
      </c>
    </row>
    <row r="2774" spans="1:5" x14ac:dyDescent="0.3">
      <c r="A2774">
        <v>2773</v>
      </c>
      <c r="B2774">
        <v>925</v>
      </c>
      <c r="C2774" t="s">
        <v>611</v>
      </c>
      <c r="D2774">
        <v>12.85</v>
      </c>
      <c r="E2774" t="s">
        <v>612</v>
      </c>
    </row>
    <row r="2775" spans="1:5" x14ac:dyDescent="0.3">
      <c r="A2775">
        <v>2774</v>
      </c>
      <c r="B2775">
        <v>925</v>
      </c>
      <c r="C2775" t="s">
        <v>619</v>
      </c>
      <c r="D2775">
        <v>1</v>
      </c>
      <c r="E2775" t="s">
        <v>620</v>
      </c>
    </row>
    <row r="2776" spans="1:5" x14ac:dyDescent="0.3">
      <c r="A2776">
        <v>2775</v>
      </c>
      <c r="B2776">
        <v>925</v>
      </c>
      <c r="C2776" t="s">
        <v>617</v>
      </c>
      <c r="D2776">
        <v>15.53</v>
      </c>
      <c r="E2776" t="s">
        <v>618</v>
      </c>
    </row>
    <row r="2777" spans="1:5" x14ac:dyDescent="0.3">
      <c r="A2777">
        <v>2776</v>
      </c>
      <c r="B2777">
        <v>926</v>
      </c>
      <c r="C2777" t="s">
        <v>603</v>
      </c>
      <c r="D2777">
        <v>140.84</v>
      </c>
      <c r="E2777" t="s">
        <v>604</v>
      </c>
    </row>
    <row r="2778" spans="1:5" x14ac:dyDescent="0.3">
      <c r="A2778">
        <v>2777</v>
      </c>
      <c r="B2778">
        <v>926</v>
      </c>
      <c r="C2778" t="s">
        <v>611</v>
      </c>
      <c r="D2778">
        <v>12.61</v>
      </c>
      <c r="E2778" t="s">
        <v>612</v>
      </c>
    </row>
    <row r="2779" spans="1:5" x14ac:dyDescent="0.3">
      <c r="A2779">
        <v>2778</v>
      </c>
      <c r="B2779">
        <v>926</v>
      </c>
      <c r="C2779" t="s">
        <v>609</v>
      </c>
      <c r="D2779">
        <v>12.41</v>
      </c>
      <c r="E2779" t="s">
        <v>610</v>
      </c>
    </row>
    <row r="2780" spans="1:5" x14ac:dyDescent="0.3">
      <c r="A2780">
        <v>2779</v>
      </c>
      <c r="B2780">
        <v>927</v>
      </c>
      <c r="C2780" t="s">
        <v>605</v>
      </c>
      <c r="D2780">
        <v>127.69</v>
      </c>
      <c r="E2780" t="s">
        <v>606</v>
      </c>
    </row>
    <row r="2781" spans="1:5" x14ac:dyDescent="0.3">
      <c r="A2781">
        <v>2780</v>
      </c>
      <c r="B2781">
        <v>927</v>
      </c>
      <c r="C2781" t="s">
        <v>615</v>
      </c>
      <c r="D2781">
        <v>415.53</v>
      </c>
      <c r="E2781" t="s">
        <v>616</v>
      </c>
    </row>
    <row r="2782" spans="1:5" x14ac:dyDescent="0.3">
      <c r="A2782">
        <v>2781</v>
      </c>
      <c r="B2782">
        <v>927</v>
      </c>
      <c r="C2782" t="s">
        <v>609</v>
      </c>
      <c r="D2782">
        <v>13.72</v>
      </c>
      <c r="E2782" t="s">
        <v>610</v>
      </c>
    </row>
    <row r="2783" spans="1:5" x14ac:dyDescent="0.3">
      <c r="A2783">
        <v>2782</v>
      </c>
      <c r="B2783">
        <v>928</v>
      </c>
      <c r="C2783" t="s">
        <v>603</v>
      </c>
      <c r="D2783">
        <v>169.1</v>
      </c>
      <c r="E2783" t="s">
        <v>604</v>
      </c>
    </row>
    <row r="2784" spans="1:5" x14ac:dyDescent="0.3">
      <c r="A2784">
        <v>2783</v>
      </c>
      <c r="B2784">
        <v>928</v>
      </c>
      <c r="C2784" t="s">
        <v>607</v>
      </c>
      <c r="D2784">
        <v>145.9</v>
      </c>
      <c r="E2784" t="s">
        <v>608</v>
      </c>
    </row>
    <row r="2785" spans="1:5" x14ac:dyDescent="0.3">
      <c r="A2785">
        <v>2784</v>
      </c>
      <c r="B2785">
        <v>928</v>
      </c>
      <c r="C2785" t="s">
        <v>621</v>
      </c>
      <c r="D2785">
        <v>10.15</v>
      </c>
      <c r="E2785" t="s">
        <v>622</v>
      </c>
    </row>
    <row r="2786" spans="1:5" x14ac:dyDescent="0.3">
      <c r="A2786">
        <v>2785</v>
      </c>
      <c r="B2786">
        <v>929</v>
      </c>
      <c r="C2786" t="s">
        <v>611</v>
      </c>
      <c r="D2786">
        <v>12.92</v>
      </c>
      <c r="E2786" t="s">
        <v>612</v>
      </c>
    </row>
    <row r="2787" spans="1:5" x14ac:dyDescent="0.3">
      <c r="A2787">
        <v>2786</v>
      </c>
      <c r="B2787">
        <v>929</v>
      </c>
      <c r="C2787" t="s">
        <v>619</v>
      </c>
      <c r="D2787">
        <v>0.76</v>
      </c>
      <c r="E2787" t="s">
        <v>620</v>
      </c>
    </row>
    <row r="2788" spans="1:5" x14ac:dyDescent="0.3">
      <c r="A2788">
        <v>2787</v>
      </c>
      <c r="B2788">
        <v>929</v>
      </c>
      <c r="C2788" t="s">
        <v>603</v>
      </c>
      <c r="D2788">
        <v>185.04</v>
      </c>
      <c r="E2788" t="s">
        <v>604</v>
      </c>
    </row>
    <row r="2789" spans="1:5" x14ac:dyDescent="0.3">
      <c r="A2789">
        <v>2788</v>
      </c>
      <c r="B2789">
        <v>930</v>
      </c>
      <c r="C2789" t="s">
        <v>613</v>
      </c>
      <c r="D2789">
        <v>5.13</v>
      </c>
      <c r="E2789" t="s">
        <v>614</v>
      </c>
    </row>
    <row r="2790" spans="1:5" x14ac:dyDescent="0.3">
      <c r="A2790">
        <v>2789</v>
      </c>
      <c r="B2790">
        <v>930</v>
      </c>
      <c r="C2790" t="s">
        <v>607</v>
      </c>
      <c r="D2790">
        <v>136.51</v>
      </c>
      <c r="E2790" t="s">
        <v>608</v>
      </c>
    </row>
    <row r="2791" spans="1:5" x14ac:dyDescent="0.3">
      <c r="A2791">
        <v>2790</v>
      </c>
      <c r="B2791">
        <v>930</v>
      </c>
      <c r="C2791" t="s">
        <v>617</v>
      </c>
      <c r="D2791">
        <v>14.83</v>
      </c>
      <c r="E2791" t="s">
        <v>618</v>
      </c>
    </row>
    <row r="2792" spans="1:5" x14ac:dyDescent="0.3">
      <c r="A2792">
        <v>2791</v>
      </c>
      <c r="B2792">
        <v>931</v>
      </c>
      <c r="C2792" t="s">
        <v>619</v>
      </c>
      <c r="D2792">
        <v>1.71</v>
      </c>
      <c r="E2792" t="s">
        <v>620</v>
      </c>
    </row>
    <row r="2793" spans="1:5" x14ac:dyDescent="0.3">
      <c r="A2793">
        <v>2792</v>
      </c>
      <c r="B2793">
        <v>931</v>
      </c>
      <c r="C2793" t="s">
        <v>613</v>
      </c>
      <c r="D2793">
        <v>6.16</v>
      </c>
      <c r="E2793" t="s">
        <v>614</v>
      </c>
    </row>
    <row r="2794" spans="1:5" x14ac:dyDescent="0.3">
      <c r="A2794">
        <v>2793</v>
      </c>
      <c r="B2794">
        <v>931</v>
      </c>
      <c r="C2794" t="s">
        <v>617</v>
      </c>
      <c r="D2794">
        <v>8.91</v>
      </c>
      <c r="E2794" t="s">
        <v>618</v>
      </c>
    </row>
    <row r="2795" spans="1:5" x14ac:dyDescent="0.3">
      <c r="A2795">
        <v>2794</v>
      </c>
      <c r="B2795">
        <v>932</v>
      </c>
      <c r="C2795" t="s">
        <v>605</v>
      </c>
      <c r="D2795">
        <v>164.77</v>
      </c>
      <c r="E2795" t="s">
        <v>606</v>
      </c>
    </row>
    <row r="2796" spans="1:5" x14ac:dyDescent="0.3">
      <c r="A2796">
        <v>2795</v>
      </c>
      <c r="B2796">
        <v>932</v>
      </c>
      <c r="C2796" t="s">
        <v>613</v>
      </c>
      <c r="D2796">
        <v>3.78</v>
      </c>
      <c r="E2796" t="s">
        <v>614</v>
      </c>
    </row>
    <row r="2797" spans="1:5" x14ac:dyDescent="0.3">
      <c r="A2797">
        <v>2796</v>
      </c>
      <c r="B2797">
        <v>932</v>
      </c>
      <c r="C2797" t="s">
        <v>615</v>
      </c>
      <c r="D2797">
        <v>355.84</v>
      </c>
      <c r="E2797" t="s">
        <v>616</v>
      </c>
    </row>
    <row r="2798" spans="1:5" x14ac:dyDescent="0.3">
      <c r="A2798">
        <v>2797</v>
      </c>
      <c r="B2798">
        <v>933</v>
      </c>
      <c r="C2798" t="s">
        <v>607</v>
      </c>
      <c r="D2798">
        <v>136.1</v>
      </c>
      <c r="E2798" t="s">
        <v>608</v>
      </c>
    </row>
    <row r="2799" spans="1:5" x14ac:dyDescent="0.3">
      <c r="A2799">
        <v>2798</v>
      </c>
      <c r="B2799">
        <v>933</v>
      </c>
      <c r="C2799" t="s">
        <v>617</v>
      </c>
      <c r="D2799">
        <v>3.27</v>
      </c>
      <c r="E2799" t="s">
        <v>618</v>
      </c>
    </row>
    <row r="2800" spans="1:5" x14ac:dyDescent="0.3">
      <c r="A2800">
        <v>2799</v>
      </c>
      <c r="B2800">
        <v>933</v>
      </c>
      <c r="C2800" t="s">
        <v>605</v>
      </c>
      <c r="D2800">
        <v>281.08999999999997</v>
      </c>
      <c r="E2800" t="s">
        <v>606</v>
      </c>
    </row>
    <row r="2801" spans="1:5" x14ac:dyDescent="0.3">
      <c r="A2801">
        <v>2800</v>
      </c>
      <c r="B2801">
        <v>934</v>
      </c>
      <c r="C2801" t="s">
        <v>605</v>
      </c>
      <c r="D2801">
        <v>202.07</v>
      </c>
      <c r="E2801" t="s">
        <v>606</v>
      </c>
    </row>
    <row r="2802" spans="1:5" x14ac:dyDescent="0.3">
      <c r="A2802">
        <v>2801</v>
      </c>
      <c r="B2802">
        <v>934</v>
      </c>
      <c r="C2802" t="s">
        <v>603</v>
      </c>
      <c r="D2802">
        <v>227.76</v>
      </c>
      <c r="E2802" t="s">
        <v>604</v>
      </c>
    </row>
    <row r="2803" spans="1:5" x14ac:dyDescent="0.3">
      <c r="A2803">
        <v>2802</v>
      </c>
      <c r="B2803">
        <v>934</v>
      </c>
      <c r="C2803" t="s">
        <v>613</v>
      </c>
      <c r="D2803">
        <v>5.7</v>
      </c>
      <c r="E2803" t="s">
        <v>614</v>
      </c>
    </row>
    <row r="2804" spans="1:5" x14ac:dyDescent="0.3">
      <c r="A2804">
        <v>2803</v>
      </c>
      <c r="B2804">
        <v>935</v>
      </c>
      <c r="C2804" t="s">
        <v>607</v>
      </c>
      <c r="D2804">
        <v>132.58000000000001</v>
      </c>
      <c r="E2804" t="s">
        <v>608</v>
      </c>
    </row>
    <row r="2805" spans="1:5" x14ac:dyDescent="0.3">
      <c r="A2805">
        <v>2804</v>
      </c>
      <c r="B2805">
        <v>935</v>
      </c>
      <c r="C2805" t="s">
        <v>605</v>
      </c>
      <c r="D2805">
        <v>201.16</v>
      </c>
      <c r="E2805" t="s">
        <v>606</v>
      </c>
    </row>
    <row r="2806" spans="1:5" x14ac:dyDescent="0.3">
      <c r="A2806">
        <v>2805</v>
      </c>
      <c r="B2806">
        <v>935</v>
      </c>
      <c r="C2806" t="s">
        <v>615</v>
      </c>
      <c r="D2806">
        <v>409.27</v>
      </c>
      <c r="E2806" t="s">
        <v>616</v>
      </c>
    </row>
    <row r="2807" spans="1:5" x14ac:dyDescent="0.3">
      <c r="A2807">
        <v>2806</v>
      </c>
      <c r="B2807">
        <v>936</v>
      </c>
      <c r="C2807" t="s">
        <v>613</v>
      </c>
      <c r="D2807">
        <v>6.04</v>
      </c>
      <c r="E2807" t="s">
        <v>614</v>
      </c>
    </row>
    <row r="2808" spans="1:5" x14ac:dyDescent="0.3">
      <c r="A2808">
        <v>2807</v>
      </c>
      <c r="B2808">
        <v>936</v>
      </c>
      <c r="C2808" t="s">
        <v>621</v>
      </c>
      <c r="D2808">
        <v>7.71</v>
      </c>
      <c r="E2808" t="s">
        <v>622</v>
      </c>
    </row>
    <row r="2809" spans="1:5" x14ac:dyDescent="0.3">
      <c r="A2809">
        <v>2808</v>
      </c>
      <c r="B2809">
        <v>936</v>
      </c>
      <c r="C2809" t="s">
        <v>609</v>
      </c>
      <c r="D2809">
        <v>6.82</v>
      </c>
      <c r="E2809" t="s">
        <v>610</v>
      </c>
    </row>
    <row r="2810" spans="1:5" x14ac:dyDescent="0.3">
      <c r="A2810">
        <v>2809</v>
      </c>
      <c r="B2810">
        <v>937</v>
      </c>
      <c r="C2810" t="s">
        <v>607</v>
      </c>
      <c r="D2810">
        <v>133.41</v>
      </c>
      <c r="E2810" t="s">
        <v>608</v>
      </c>
    </row>
    <row r="2811" spans="1:5" x14ac:dyDescent="0.3">
      <c r="A2811">
        <v>2810</v>
      </c>
      <c r="B2811">
        <v>937</v>
      </c>
      <c r="C2811" t="s">
        <v>605</v>
      </c>
      <c r="D2811">
        <v>262.52</v>
      </c>
      <c r="E2811" t="s">
        <v>606</v>
      </c>
    </row>
    <row r="2812" spans="1:5" x14ac:dyDescent="0.3">
      <c r="A2812">
        <v>2811</v>
      </c>
      <c r="B2812">
        <v>937</v>
      </c>
      <c r="C2812" t="s">
        <v>619</v>
      </c>
      <c r="D2812">
        <v>2.4900000000000002</v>
      </c>
      <c r="E2812" t="s">
        <v>620</v>
      </c>
    </row>
    <row r="2813" spans="1:5" x14ac:dyDescent="0.3">
      <c r="A2813">
        <v>2812</v>
      </c>
      <c r="B2813">
        <v>938</v>
      </c>
      <c r="C2813" t="s">
        <v>621</v>
      </c>
      <c r="D2813">
        <v>8.39</v>
      </c>
      <c r="E2813" t="s">
        <v>622</v>
      </c>
    </row>
    <row r="2814" spans="1:5" x14ac:dyDescent="0.3">
      <c r="A2814">
        <v>2813</v>
      </c>
      <c r="B2814">
        <v>938</v>
      </c>
      <c r="C2814" t="s">
        <v>615</v>
      </c>
      <c r="D2814">
        <v>367.39</v>
      </c>
      <c r="E2814" t="s">
        <v>616</v>
      </c>
    </row>
    <row r="2815" spans="1:5" x14ac:dyDescent="0.3">
      <c r="A2815">
        <v>2814</v>
      </c>
      <c r="B2815">
        <v>938</v>
      </c>
      <c r="C2815" t="s">
        <v>613</v>
      </c>
      <c r="D2815">
        <v>4.1900000000000004</v>
      </c>
      <c r="E2815" t="s">
        <v>614</v>
      </c>
    </row>
    <row r="2816" spans="1:5" x14ac:dyDescent="0.3">
      <c r="A2816">
        <v>2815</v>
      </c>
      <c r="B2816">
        <v>939</v>
      </c>
      <c r="C2816" t="s">
        <v>617</v>
      </c>
      <c r="D2816">
        <v>4.84</v>
      </c>
      <c r="E2816" t="s">
        <v>618</v>
      </c>
    </row>
    <row r="2817" spans="1:5" x14ac:dyDescent="0.3">
      <c r="A2817">
        <v>2816</v>
      </c>
      <c r="B2817">
        <v>939</v>
      </c>
      <c r="C2817" t="s">
        <v>619</v>
      </c>
      <c r="D2817">
        <v>0.88</v>
      </c>
      <c r="E2817" t="s">
        <v>620</v>
      </c>
    </row>
    <row r="2818" spans="1:5" x14ac:dyDescent="0.3">
      <c r="A2818">
        <v>2817</v>
      </c>
      <c r="B2818">
        <v>939</v>
      </c>
      <c r="C2818" t="s">
        <v>607</v>
      </c>
      <c r="D2818">
        <v>142.35</v>
      </c>
      <c r="E2818" t="s">
        <v>608</v>
      </c>
    </row>
    <row r="2819" spans="1:5" x14ac:dyDescent="0.3">
      <c r="A2819">
        <v>2818</v>
      </c>
      <c r="B2819">
        <v>940</v>
      </c>
      <c r="C2819" t="s">
        <v>617</v>
      </c>
      <c r="D2819">
        <v>5.59</v>
      </c>
      <c r="E2819" t="s">
        <v>618</v>
      </c>
    </row>
    <row r="2820" spans="1:5" x14ac:dyDescent="0.3">
      <c r="A2820">
        <v>2819</v>
      </c>
      <c r="B2820">
        <v>940</v>
      </c>
      <c r="C2820" t="s">
        <v>607</v>
      </c>
      <c r="D2820">
        <v>135.43</v>
      </c>
      <c r="E2820" t="s">
        <v>608</v>
      </c>
    </row>
    <row r="2821" spans="1:5" x14ac:dyDescent="0.3">
      <c r="A2821">
        <v>2820</v>
      </c>
      <c r="B2821">
        <v>940</v>
      </c>
      <c r="C2821" t="s">
        <v>603</v>
      </c>
      <c r="D2821">
        <v>229.64</v>
      </c>
      <c r="E2821" t="s">
        <v>604</v>
      </c>
    </row>
    <row r="2822" spans="1:5" x14ac:dyDescent="0.3">
      <c r="A2822">
        <v>2821</v>
      </c>
      <c r="B2822">
        <v>941</v>
      </c>
      <c r="C2822" t="s">
        <v>607</v>
      </c>
      <c r="D2822">
        <v>131.97</v>
      </c>
      <c r="E2822" t="s">
        <v>608</v>
      </c>
    </row>
    <row r="2823" spans="1:5" x14ac:dyDescent="0.3">
      <c r="A2823">
        <v>2822</v>
      </c>
      <c r="B2823">
        <v>941</v>
      </c>
      <c r="C2823" t="s">
        <v>609</v>
      </c>
      <c r="D2823">
        <v>8.92</v>
      </c>
      <c r="E2823" t="s">
        <v>610</v>
      </c>
    </row>
    <row r="2824" spans="1:5" x14ac:dyDescent="0.3">
      <c r="A2824">
        <v>2823</v>
      </c>
      <c r="B2824">
        <v>941</v>
      </c>
      <c r="C2824" t="s">
        <v>621</v>
      </c>
      <c r="D2824">
        <v>9.5500000000000007</v>
      </c>
      <c r="E2824" t="s">
        <v>622</v>
      </c>
    </row>
    <row r="2825" spans="1:5" x14ac:dyDescent="0.3">
      <c r="A2825">
        <v>2824</v>
      </c>
      <c r="B2825">
        <v>942</v>
      </c>
      <c r="C2825" t="s">
        <v>607</v>
      </c>
      <c r="D2825">
        <v>149.63999999999999</v>
      </c>
      <c r="E2825" t="s">
        <v>608</v>
      </c>
    </row>
    <row r="2826" spans="1:5" x14ac:dyDescent="0.3">
      <c r="A2826">
        <v>2825</v>
      </c>
      <c r="B2826">
        <v>942</v>
      </c>
      <c r="C2826" t="s">
        <v>605</v>
      </c>
      <c r="D2826">
        <v>256.13</v>
      </c>
      <c r="E2826" t="s">
        <v>606</v>
      </c>
    </row>
    <row r="2827" spans="1:5" x14ac:dyDescent="0.3">
      <c r="A2827">
        <v>2826</v>
      </c>
      <c r="B2827">
        <v>942</v>
      </c>
      <c r="C2827" t="s">
        <v>617</v>
      </c>
      <c r="D2827">
        <v>13</v>
      </c>
      <c r="E2827" t="s">
        <v>618</v>
      </c>
    </row>
    <row r="2828" spans="1:5" x14ac:dyDescent="0.3">
      <c r="A2828">
        <v>2827</v>
      </c>
      <c r="B2828">
        <v>943</v>
      </c>
      <c r="C2828" t="s">
        <v>607</v>
      </c>
      <c r="D2828">
        <v>137.05000000000001</v>
      </c>
      <c r="E2828" t="s">
        <v>608</v>
      </c>
    </row>
    <row r="2829" spans="1:5" x14ac:dyDescent="0.3">
      <c r="A2829">
        <v>2828</v>
      </c>
      <c r="B2829">
        <v>943</v>
      </c>
      <c r="C2829" t="s">
        <v>619</v>
      </c>
      <c r="D2829">
        <v>2.14</v>
      </c>
      <c r="E2829" t="s">
        <v>620</v>
      </c>
    </row>
    <row r="2830" spans="1:5" x14ac:dyDescent="0.3">
      <c r="A2830">
        <v>2829</v>
      </c>
      <c r="B2830">
        <v>943</v>
      </c>
      <c r="C2830" t="s">
        <v>605</v>
      </c>
      <c r="D2830">
        <v>293.61</v>
      </c>
      <c r="E2830" t="s">
        <v>606</v>
      </c>
    </row>
    <row r="2831" spans="1:5" x14ac:dyDescent="0.3">
      <c r="A2831">
        <v>2830</v>
      </c>
      <c r="B2831">
        <v>944</v>
      </c>
      <c r="C2831" t="s">
        <v>605</v>
      </c>
      <c r="D2831">
        <v>242.07</v>
      </c>
      <c r="E2831" t="s">
        <v>606</v>
      </c>
    </row>
    <row r="2832" spans="1:5" x14ac:dyDescent="0.3">
      <c r="A2832">
        <v>2831</v>
      </c>
      <c r="B2832">
        <v>944</v>
      </c>
      <c r="C2832" t="s">
        <v>613</v>
      </c>
      <c r="D2832">
        <v>5.4</v>
      </c>
      <c r="E2832" t="s">
        <v>614</v>
      </c>
    </row>
    <row r="2833" spans="1:5" x14ac:dyDescent="0.3">
      <c r="A2833">
        <v>2832</v>
      </c>
      <c r="B2833">
        <v>944</v>
      </c>
      <c r="C2833" t="s">
        <v>615</v>
      </c>
      <c r="D2833">
        <v>285.70999999999998</v>
      </c>
      <c r="E2833" t="s">
        <v>616</v>
      </c>
    </row>
    <row r="2834" spans="1:5" x14ac:dyDescent="0.3">
      <c r="A2834">
        <v>2833</v>
      </c>
      <c r="B2834">
        <v>945</v>
      </c>
      <c r="C2834" t="s">
        <v>603</v>
      </c>
      <c r="D2834">
        <v>80.86</v>
      </c>
      <c r="E2834" t="s">
        <v>604</v>
      </c>
    </row>
    <row r="2835" spans="1:5" x14ac:dyDescent="0.3">
      <c r="A2835">
        <v>2834</v>
      </c>
      <c r="B2835">
        <v>945</v>
      </c>
      <c r="C2835" t="s">
        <v>611</v>
      </c>
      <c r="D2835">
        <v>7.09</v>
      </c>
      <c r="E2835" t="s">
        <v>612</v>
      </c>
    </row>
    <row r="2836" spans="1:5" x14ac:dyDescent="0.3">
      <c r="A2836">
        <v>2835</v>
      </c>
      <c r="B2836">
        <v>945</v>
      </c>
      <c r="C2836" t="s">
        <v>609</v>
      </c>
      <c r="D2836">
        <v>17.260000000000002</v>
      </c>
      <c r="E2836" t="s">
        <v>610</v>
      </c>
    </row>
    <row r="2837" spans="1:5" x14ac:dyDescent="0.3">
      <c r="A2837">
        <v>2836</v>
      </c>
      <c r="B2837">
        <v>946</v>
      </c>
      <c r="C2837" t="s">
        <v>603</v>
      </c>
      <c r="D2837">
        <v>122.96</v>
      </c>
      <c r="E2837" t="s">
        <v>604</v>
      </c>
    </row>
    <row r="2838" spans="1:5" x14ac:dyDescent="0.3">
      <c r="A2838">
        <v>2837</v>
      </c>
      <c r="B2838">
        <v>946</v>
      </c>
      <c r="C2838" t="s">
        <v>615</v>
      </c>
      <c r="D2838">
        <v>415.63</v>
      </c>
      <c r="E2838" t="s">
        <v>616</v>
      </c>
    </row>
    <row r="2839" spans="1:5" x14ac:dyDescent="0.3">
      <c r="A2839">
        <v>2838</v>
      </c>
      <c r="B2839">
        <v>946</v>
      </c>
      <c r="C2839" t="s">
        <v>611</v>
      </c>
      <c r="D2839">
        <v>9.1300000000000008</v>
      </c>
      <c r="E2839" t="s">
        <v>612</v>
      </c>
    </row>
    <row r="2840" spans="1:5" x14ac:dyDescent="0.3">
      <c r="A2840">
        <v>2839</v>
      </c>
      <c r="B2840">
        <v>947</v>
      </c>
      <c r="C2840" t="s">
        <v>605</v>
      </c>
      <c r="D2840">
        <v>288.14</v>
      </c>
      <c r="E2840" t="s">
        <v>606</v>
      </c>
    </row>
    <row r="2841" spans="1:5" x14ac:dyDescent="0.3">
      <c r="A2841">
        <v>2840</v>
      </c>
      <c r="B2841">
        <v>947</v>
      </c>
      <c r="C2841" t="s">
        <v>619</v>
      </c>
      <c r="D2841">
        <v>1.77</v>
      </c>
      <c r="E2841" t="s">
        <v>620</v>
      </c>
    </row>
    <row r="2842" spans="1:5" x14ac:dyDescent="0.3">
      <c r="A2842">
        <v>2841</v>
      </c>
      <c r="B2842">
        <v>947</v>
      </c>
      <c r="C2842" t="s">
        <v>617</v>
      </c>
      <c r="D2842">
        <v>14.82</v>
      </c>
      <c r="E2842" t="s">
        <v>618</v>
      </c>
    </row>
    <row r="2843" spans="1:5" x14ac:dyDescent="0.3">
      <c r="A2843">
        <v>2842</v>
      </c>
      <c r="B2843">
        <v>948</v>
      </c>
      <c r="C2843" t="s">
        <v>621</v>
      </c>
      <c r="D2843">
        <v>6.71</v>
      </c>
      <c r="E2843" t="s">
        <v>622</v>
      </c>
    </row>
    <row r="2844" spans="1:5" x14ac:dyDescent="0.3">
      <c r="A2844">
        <v>2843</v>
      </c>
      <c r="B2844">
        <v>948</v>
      </c>
      <c r="C2844" t="s">
        <v>613</v>
      </c>
      <c r="D2844">
        <v>3.4</v>
      </c>
      <c r="E2844" t="s">
        <v>614</v>
      </c>
    </row>
    <row r="2845" spans="1:5" x14ac:dyDescent="0.3">
      <c r="A2845">
        <v>2844</v>
      </c>
      <c r="B2845">
        <v>948</v>
      </c>
      <c r="C2845" t="s">
        <v>609</v>
      </c>
      <c r="D2845">
        <v>6.13</v>
      </c>
      <c r="E2845" t="s">
        <v>610</v>
      </c>
    </row>
    <row r="2846" spans="1:5" x14ac:dyDescent="0.3">
      <c r="A2846">
        <v>2845</v>
      </c>
      <c r="B2846">
        <v>949</v>
      </c>
      <c r="C2846" t="s">
        <v>609</v>
      </c>
      <c r="D2846">
        <v>3.35</v>
      </c>
      <c r="E2846" t="s">
        <v>610</v>
      </c>
    </row>
    <row r="2847" spans="1:5" x14ac:dyDescent="0.3">
      <c r="A2847">
        <v>2846</v>
      </c>
      <c r="B2847">
        <v>949</v>
      </c>
      <c r="C2847" t="s">
        <v>605</v>
      </c>
      <c r="D2847">
        <v>143.69</v>
      </c>
      <c r="E2847" t="s">
        <v>606</v>
      </c>
    </row>
    <row r="2848" spans="1:5" x14ac:dyDescent="0.3">
      <c r="A2848">
        <v>2847</v>
      </c>
      <c r="B2848">
        <v>949</v>
      </c>
      <c r="C2848" t="s">
        <v>621</v>
      </c>
      <c r="D2848">
        <v>11.28</v>
      </c>
      <c r="E2848" t="s">
        <v>622</v>
      </c>
    </row>
    <row r="2849" spans="1:5" x14ac:dyDescent="0.3">
      <c r="A2849">
        <v>2848</v>
      </c>
      <c r="B2849">
        <v>950</v>
      </c>
      <c r="C2849" t="s">
        <v>607</v>
      </c>
      <c r="D2849">
        <v>143.4</v>
      </c>
      <c r="E2849" t="s">
        <v>608</v>
      </c>
    </row>
    <row r="2850" spans="1:5" x14ac:dyDescent="0.3">
      <c r="A2850">
        <v>2849</v>
      </c>
      <c r="B2850">
        <v>950</v>
      </c>
      <c r="C2850" t="s">
        <v>605</v>
      </c>
      <c r="D2850">
        <v>176.25</v>
      </c>
      <c r="E2850" t="s">
        <v>606</v>
      </c>
    </row>
    <row r="2851" spans="1:5" x14ac:dyDescent="0.3">
      <c r="A2851">
        <v>2850</v>
      </c>
      <c r="B2851">
        <v>950</v>
      </c>
      <c r="C2851" t="s">
        <v>613</v>
      </c>
      <c r="D2851">
        <v>5.68</v>
      </c>
      <c r="E2851" t="s">
        <v>614</v>
      </c>
    </row>
    <row r="2852" spans="1:5" x14ac:dyDescent="0.3">
      <c r="A2852">
        <v>2851</v>
      </c>
      <c r="B2852">
        <v>951</v>
      </c>
      <c r="C2852" t="s">
        <v>619</v>
      </c>
      <c r="D2852">
        <v>3.68</v>
      </c>
      <c r="E2852" t="s">
        <v>620</v>
      </c>
    </row>
    <row r="2853" spans="1:5" x14ac:dyDescent="0.3">
      <c r="A2853">
        <v>2852</v>
      </c>
      <c r="B2853">
        <v>951</v>
      </c>
      <c r="C2853" t="s">
        <v>611</v>
      </c>
      <c r="D2853">
        <v>8.02</v>
      </c>
      <c r="E2853" t="s">
        <v>612</v>
      </c>
    </row>
    <row r="2854" spans="1:5" x14ac:dyDescent="0.3">
      <c r="A2854">
        <v>2853</v>
      </c>
      <c r="B2854">
        <v>951</v>
      </c>
      <c r="C2854" t="s">
        <v>605</v>
      </c>
      <c r="D2854">
        <v>127.88</v>
      </c>
      <c r="E2854" t="s">
        <v>606</v>
      </c>
    </row>
    <row r="2855" spans="1:5" x14ac:dyDescent="0.3">
      <c r="A2855">
        <v>2854</v>
      </c>
      <c r="B2855">
        <v>952</v>
      </c>
      <c r="C2855" t="s">
        <v>607</v>
      </c>
      <c r="D2855">
        <v>138.49</v>
      </c>
      <c r="E2855" t="s">
        <v>608</v>
      </c>
    </row>
    <row r="2856" spans="1:5" x14ac:dyDescent="0.3">
      <c r="A2856">
        <v>2855</v>
      </c>
      <c r="B2856">
        <v>952</v>
      </c>
      <c r="C2856" t="s">
        <v>613</v>
      </c>
      <c r="D2856">
        <v>5.41</v>
      </c>
      <c r="E2856" t="s">
        <v>614</v>
      </c>
    </row>
    <row r="2857" spans="1:5" x14ac:dyDescent="0.3">
      <c r="A2857">
        <v>2856</v>
      </c>
      <c r="B2857">
        <v>952</v>
      </c>
      <c r="C2857" t="s">
        <v>621</v>
      </c>
      <c r="D2857">
        <v>8.69</v>
      </c>
      <c r="E2857" t="s">
        <v>622</v>
      </c>
    </row>
    <row r="2858" spans="1:5" x14ac:dyDescent="0.3">
      <c r="A2858">
        <v>2857</v>
      </c>
      <c r="B2858">
        <v>953</v>
      </c>
      <c r="C2858" t="s">
        <v>615</v>
      </c>
      <c r="D2858">
        <v>256.57</v>
      </c>
      <c r="E2858" t="s">
        <v>616</v>
      </c>
    </row>
    <row r="2859" spans="1:5" x14ac:dyDescent="0.3">
      <c r="A2859">
        <v>2858</v>
      </c>
      <c r="B2859">
        <v>953</v>
      </c>
      <c r="C2859" t="s">
        <v>613</v>
      </c>
      <c r="D2859">
        <v>2.87</v>
      </c>
      <c r="E2859" t="s">
        <v>614</v>
      </c>
    </row>
    <row r="2860" spans="1:5" x14ac:dyDescent="0.3">
      <c r="A2860">
        <v>2859</v>
      </c>
      <c r="B2860">
        <v>953</v>
      </c>
      <c r="C2860" t="s">
        <v>605</v>
      </c>
      <c r="D2860">
        <v>218.35</v>
      </c>
      <c r="E2860" t="s">
        <v>606</v>
      </c>
    </row>
    <row r="2861" spans="1:5" x14ac:dyDescent="0.3">
      <c r="A2861">
        <v>2860</v>
      </c>
      <c r="B2861">
        <v>954</v>
      </c>
      <c r="C2861" t="s">
        <v>621</v>
      </c>
      <c r="D2861">
        <v>11.9</v>
      </c>
      <c r="E2861" t="s">
        <v>622</v>
      </c>
    </row>
    <row r="2862" spans="1:5" x14ac:dyDescent="0.3">
      <c r="A2862">
        <v>2861</v>
      </c>
      <c r="B2862">
        <v>954</v>
      </c>
      <c r="C2862" t="s">
        <v>615</v>
      </c>
      <c r="D2862">
        <v>410.27</v>
      </c>
      <c r="E2862" t="s">
        <v>616</v>
      </c>
    </row>
    <row r="2863" spans="1:5" x14ac:dyDescent="0.3">
      <c r="A2863">
        <v>2862</v>
      </c>
      <c r="B2863">
        <v>954</v>
      </c>
      <c r="C2863" t="s">
        <v>609</v>
      </c>
      <c r="D2863">
        <v>1.47</v>
      </c>
      <c r="E2863" t="s">
        <v>610</v>
      </c>
    </row>
    <row r="2864" spans="1:5" x14ac:dyDescent="0.3">
      <c r="A2864">
        <v>2863</v>
      </c>
      <c r="B2864">
        <v>955</v>
      </c>
      <c r="C2864" t="s">
        <v>605</v>
      </c>
      <c r="D2864">
        <v>303.35000000000002</v>
      </c>
      <c r="E2864" t="s">
        <v>606</v>
      </c>
    </row>
    <row r="2865" spans="1:5" x14ac:dyDescent="0.3">
      <c r="A2865">
        <v>2864</v>
      </c>
      <c r="B2865">
        <v>955</v>
      </c>
      <c r="C2865" t="s">
        <v>617</v>
      </c>
      <c r="D2865">
        <v>4.4400000000000004</v>
      </c>
      <c r="E2865" t="s">
        <v>618</v>
      </c>
    </row>
    <row r="2866" spans="1:5" x14ac:dyDescent="0.3">
      <c r="A2866">
        <v>2865</v>
      </c>
      <c r="B2866">
        <v>955</v>
      </c>
      <c r="C2866" t="s">
        <v>607</v>
      </c>
      <c r="D2866">
        <v>148.57</v>
      </c>
      <c r="E2866" t="s">
        <v>608</v>
      </c>
    </row>
    <row r="2867" spans="1:5" x14ac:dyDescent="0.3">
      <c r="A2867">
        <v>2866</v>
      </c>
      <c r="B2867">
        <v>956</v>
      </c>
      <c r="C2867" t="s">
        <v>619</v>
      </c>
      <c r="D2867">
        <v>2.99</v>
      </c>
      <c r="E2867" t="s">
        <v>620</v>
      </c>
    </row>
    <row r="2868" spans="1:5" x14ac:dyDescent="0.3">
      <c r="A2868">
        <v>2867</v>
      </c>
      <c r="B2868">
        <v>956</v>
      </c>
      <c r="C2868" t="s">
        <v>615</v>
      </c>
      <c r="D2868">
        <v>432.07</v>
      </c>
      <c r="E2868" t="s">
        <v>616</v>
      </c>
    </row>
    <row r="2869" spans="1:5" x14ac:dyDescent="0.3">
      <c r="A2869">
        <v>2868</v>
      </c>
      <c r="B2869">
        <v>956</v>
      </c>
      <c r="C2869" t="s">
        <v>617</v>
      </c>
      <c r="D2869">
        <v>4.08</v>
      </c>
      <c r="E2869" t="s">
        <v>618</v>
      </c>
    </row>
    <row r="2870" spans="1:5" x14ac:dyDescent="0.3">
      <c r="A2870">
        <v>2869</v>
      </c>
      <c r="B2870">
        <v>957</v>
      </c>
      <c r="C2870" t="s">
        <v>621</v>
      </c>
      <c r="D2870">
        <v>8.9700000000000006</v>
      </c>
      <c r="E2870" t="s">
        <v>622</v>
      </c>
    </row>
    <row r="2871" spans="1:5" x14ac:dyDescent="0.3">
      <c r="A2871">
        <v>2870</v>
      </c>
      <c r="B2871">
        <v>957</v>
      </c>
      <c r="C2871" t="s">
        <v>613</v>
      </c>
      <c r="D2871">
        <v>4.8099999999999996</v>
      </c>
      <c r="E2871" t="s">
        <v>614</v>
      </c>
    </row>
    <row r="2872" spans="1:5" x14ac:dyDescent="0.3">
      <c r="A2872">
        <v>2871</v>
      </c>
      <c r="B2872">
        <v>957</v>
      </c>
      <c r="C2872" t="s">
        <v>603</v>
      </c>
      <c r="D2872">
        <v>248.46</v>
      </c>
      <c r="E2872" t="s">
        <v>604</v>
      </c>
    </row>
    <row r="2873" spans="1:5" x14ac:dyDescent="0.3">
      <c r="A2873">
        <v>2872</v>
      </c>
      <c r="B2873">
        <v>958</v>
      </c>
      <c r="C2873" t="s">
        <v>615</v>
      </c>
      <c r="D2873">
        <v>279.7</v>
      </c>
      <c r="E2873" t="s">
        <v>616</v>
      </c>
    </row>
    <row r="2874" spans="1:5" x14ac:dyDescent="0.3">
      <c r="A2874">
        <v>2873</v>
      </c>
      <c r="B2874">
        <v>958</v>
      </c>
      <c r="C2874" t="s">
        <v>617</v>
      </c>
      <c r="D2874">
        <v>15.77</v>
      </c>
      <c r="E2874" t="s">
        <v>618</v>
      </c>
    </row>
    <row r="2875" spans="1:5" x14ac:dyDescent="0.3">
      <c r="A2875">
        <v>2874</v>
      </c>
      <c r="B2875">
        <v>958</v>
      </c>
      <c r="C2875" t="s">
        <v>619</v>
      </c>
      <c r="D2875">
        <v>3.66</v>
      </c>
      <c r="E2875" t="s">
        <v>620</v>
      </c>
    </row>
    <row r="2876" spans="1:5" x14ac:dyDescent="0.3">
      <c r="A2876">
        <v>2875</v>
      </c>
      <c r="B2876">
        <v>959</v>
      </c>
      <c r="C2876" t="s">
        <v>603</v>
      </c>
      <c r="D2876">
        <v>232.58</v>
      </c>
      <c r="E2876" t="s">
        <v>604</v>
      </c>
    </row>
    <row r="2877" spans="1:5" x14ac:dyDescent="0.3">
      <c r="A2877">
        <v>2876</v>
      </c>
      <c r="B2877">
        <v>959</v>
      </c>
      <c r="C2877" t="s">
        <v>613</v>
      </c>
      <c r="D2877">
        <v>2.98</v>
      </c>
      <c r="E2877" t="s">
        <v>614</v>
      </c>
    </row>
    <row r="2878" spans="1:5" x14ac:dyDescent="0.3">
      <c r="A2878">
        <v>2877</v>
      </c>
      <c r="B2878">
        <v>959</v>
      </c>
      <c r="C2878" t="s">
        <v>615</v>
      </c>
      <c r="D2878">
        <v>183.58</v>
      </c>
      <c r="E2878" t="s">
        <v>616</v>
      </c>
    </row>
    <row r="2879" spans="1:5" x14ac:dyDescent="0.3">
      <c r="A2879">
        <v>2878</v>
      </c>
      <c r="B2879">
        <v>960</v>
      </c>
      <c r="C2879" t="s">
        <v>617</v>
      </c>
      <c r="D2879">
        <v>15.95</v>
      </c>
      <c r="E2879" t="s">
        <v>618</v>
      </c>
    </row>
    <row r="2880" spans="1:5" x14ac:dyDescent="0.3">
      <c r="A2880">
        <v>2879</v>
      </c>
      <c r="B2880">
        <v>960</v>
      </c>
      <c r="C2880" t="s">
        <v>621</v>
      </c>
      <c r="D2880">
        <v>6.7</v>
      </c>
      <c r="E2880" t="s">
        <v>622</v>
      </c>
    </row>
    <row r="2881" spans="1:5" x14ac:dyDescent="0.3">
      <c r="A2881">
        <v>2880</v>
      </c>
      <c r="B2881">
        <v>960</v>
      </c>
      <c r="C2881" t="s">
        <v>613</v>
      </c>
      <c r="D2881">
        <v>3.73</v>
      </c>
      <c r="E2881" t="s">
        <v>614</v>
      </c>
    </row>
    <row r="2882" spans="1:5" x14ac:dyDescent="0.3">
      <c r="A2882">
        <v>2881</v>
      </c>
      <c r="B2882">
        <v>961</v>
      </c>
      <c r="C2882" t="s">
        <v>613</v>
      </c>
      <c r="D2882">
        <v>4.67</v>
      </c>
      <c r="E2882" t="s">
        <v>614</v>
      </c>
    </row>
    <row r="2883" spans="1:5" x14ac:dyDescent="0.3">
      <c r="A2883">
        <v>2882</v>
      </c>
      <c r="B2883">
        <v>961</v>
      </c>
      <c r="C2883" t="s">
        <v>611</v>
      </c>
      <c r="D2883">
        <v>8.3699999999999992</v>
      </c>
      <c r="E2883" t="s">
        <v>612</v>
      </c>
    </row>
    <row r="2884" spans="1:5" x14ac:dyDescent="0.3">
      <c r="A2884">
        <v>2883</v>
      </c>
      <c r="B2884">
        <v>961</v>
      </c>
      <c r="C2884" t="s">
        <v>615</v>
      </c>
      <c r="D2884">
        <v>442.39</v>
      </c>
      <c r="E2884" t="s">
        <v>616</v>
      </c>
    </row>
    <row r="2885" spans="1:5" x14ac:dyDescent="0.3">
      <c r="A2885">
        <v>2884</v>
      </c>
      <c r="B2885">
        <v>962</v>
      </c>
      <c r="C2885" t="s">
        <v>621</v>
      </c>
      <c r="D2885">
        <v>6.42</v>
      </c>
      <c r="E2885" t="s">
        <v>622</v>
      </c>
    </row>
    <row r="2886" spans="1:5" x14ac:dyDescent="0.3">
      <c r="A2886">
        <v>2885</v>
      </c>
      <c r="B2886">
        <v>962</v>
      </c>
      <c r="C2886" t="s">
        <v>603</v>
      </c>
      <c r="D2886">
        <v>101.93</v>
      </c>
      <c r="E2886" t="s">
        <v>604</v>
      </c>
    </row>
    <row r="2887" spans="1:5" x14ac:dyDescent="0.3">
      <c r="A2887">
        <v>2886</v>
      </c>
      <c r="B2887">
        <v>962</v>
      </c>
      <c r="C2887" t="s">
        <v>609</v>
      </c>
      <c r="D2887">
        <v>9.4600000000000009</v>
      </c>
      <c r="E2887" t="s">
        <v>610</v>
      </c>
    </row>
    <row r="2888" spans="1:5" x14ac:dyDescent="0.3">
      <c r="A2888">
        <v>2887</v>
      </c>
      <c r="B2888">
        <v>963</v>
      </c>
      <c r="C2888" t="s">
        <v>607</v>
      </c>
      <c r="D2888">
        <v>143.33000000000001</v>
      </c>
      <c r="E2888" t="s">
        <v>608</v>
      </c>
    </row>
    <row r="2889" spans="1:5" x14ac:dyDescent="0.3">
      <c r="A2889">
        <v>2888</v>
      </c>
      <c r="B2889">
        <v>963</v>
      </c>
      <c r="C2889" t="s">
        <v>603</v>
      </c>
      <c r="D2889">
        <v>127.09</v>
      </c>
      <c r="E2889" t="s">
        <v>604</v>
      </c>
    </row>
    <row r="2890" spans="1:5" x14ac:dyDescent="0.3">
      <c r="A2890">
        <v>2889</v>
      </c>
      <c r="B2890">
        <v>963</v>
      </c>
      <c r="C2890" t="s">
        <v>617</v>
      </c>
      <c r="D2890">
        <v>13.44</v>
      </c>
      <c r="E2890" t="s">
        <v>618</v>
      </c>
    </row>
    <row r="2891" spans="1:5" x14ac:dyDescent="0.3">
      <c r="A2891">
        <v>2890</v>
      </c>
      <c r="B2891">
        <v>964</v>
      </c>
      <c r="C2891" t="s">
        <v>607</v>
      </c>
      <c r="D2891">
        <v>130.91</v>
      </c>
      <c r="E2891" t="s">
        <v>608</v>
      </c>
    </row>
    <row r="2892" spans="1:5" x14ac:dyDescent="0.3">
      <c r="A2892">
        <v>2891</v>
      </c>
      <c r="B2892">
        <v>964</v>
      </c>
      <c r="C2892" t="s">
        <v>621</v>
      </c>
      <c r="D2892">
        <v>6.77</v>
      </c>
      <c r="E2892" t="s">
        <v>622</v>
      </c>
    </row>
    <row r="2893" spans="1:5" x14ac:dyDescent="0.3">
      <c r="A2893">
        <v>2892</v>
      </c>
      <c r="B2893">
        <v>964</v>
      </c>
      <c r="C2893" t="s">
        <v>615</v>
      </c>
      <c r="D2893">
        <v>191.56</v>
      </c>
      <c r="E2893" t="s">
        <v>616</v>
      </c>
    </row>
    <row r="2894" spans="1:5" x14ac:dyDescent="0.3">
      <c r="A2894">
        <v>2893</v>
      </c>
      <c r="B2894">
        <v>965</v>
      </c>
      <c r="C2894" t="s">
        <v>619</v>
      </c>
      <c r="D2894">
        <v>1.43</v>
      </c>
      <c r="E2894" t="s">
        <v>620</v>
      </c>
    </row>
    <row r="2895" spans="1:5" x14ac:dyDescent="0.3">
      <c r="A2895">
        <v>2894</v>
      </c>
      <c r="B2895">
        <v>965</v>
      </c>
      <c r="C2895" t="s">
        <v>613</v>
      </c>
      <c r="D2895">
        <v>5.91</v>
      </c>
      <c r="E2895" t="s">
        <v>614</v>
      </c>
    </row>
    <row r="2896" spans="1:5" x14ac:dyDescent="0.3">
      <c r="A2896">
        <v>2895</v>
      </c>
      <c r="B2896">
        <v>965</v>
      </c>
      <c r="C2896" t="s">
        <v>617</v>
      </c>
      <c r="D2896">
        <v>14.94</v>
      </c>
      <c r="E2896" t="s">
        <v>618</v>
      </c>
    </row>
    <row r="2897" spans="1:5" x14ac:dyDescent="0.3">
      <c r="A2897">
        <v>2896</v>
      </c>
      <c r="B2897">
        <v>966</v>
      </c>
      <c r="C2897" t="s">
        <v>611</v>
      </c>
      <c r="D2897">
        <v>7.24</v>
      </c>
      <c r="E2897" t="s">
        <v>612</v>
      </c>
    </row>
    <row r="2898" spans="1:5" x14ac:dyDescent="0.3">
      <c r="A2898">
        <v>2897</v>
      </c>
      <c r="B2898">
        <v>966</v>
      </c>
      <c r="C2898" t="s">
        <v>615</v>
      </c>
      <c r="D2898">
        <v>144.97999999999999</v>
      </c>
      <c r="E2898" t="s">
        <v>616</v>
      </c>
    </row>
    <row r="2899" spans="1:5" x14ac:dyDescent="0.3">
      <c r="A2899">
        <v>2898</v>
      </c>
      <c r="B2899">
        <v>966</v>
      </c>
      <c r="C2899" t="s">
        <v>621</v>
      </c>
      <c r="D2899">
        <v>10.1</v>
      </c>
      <c r="E2899" t="s">
        <v>622</v>
      </c>
    </row>
    <row r="2900" spans="1:5" x14ac:dyDescent="0.3">
      <c r="A2900">
        <v>2899</v>
      </c>
      <c r="B2900">
        <v>967</v>
      </c>
      <c r="C2900" t="s">
        <v>619</v>
      </c>
      <c r="D2900">
        <v>1.81</v>
      </c>
      <c r="E2900" t="s">
        <v>620</v>
      </c>
    </row>
    <row r="2901" spans="1:5" x14ac:dyDescent="0.3">
      <c r="A2901">
        <v>2900</v>
      </c>
      <c r="B2901">
        <v>967</v>
      </c>
      <c r="C2901" t="s">
        <v>611</v>
      </c>
      <c r="D2901">
        <v>8.6199999999999992</v>
      </c>
      <c r="E2901" t="s">
        <v>612</v>
      </c>
    </row>
    <row r="2902" spans="1:5" x14ac:dyDescent="0.3">
      <c r="A2902">
        <v>2901</v>
      </c>
      <c r="B2902">
        <v>967</v>
      </c>
      <c r="C2902" t="s">
        <v>605</v>
      </c>
      <c r="D2902">
        <v>280.29000000000002</v>
      </c>
      <c r="E2902" t="s">
        <v>606</v>
      </c>
    </row>
    <row r="2903" spans="1:5" x14ac:dyDescent="0.3">
      <c r="A2903">
        <v>2902</v>
      </c>
      <c r="B2903">
        <v>968</v>
      </c>
      <c r="C2903" t="s">
        <v>611</v>
      </c>
      <c r="D2903">
        <v>14.59</v>
      </c>
      <c r="E2903" t="s">
        <v>612</v>
      </c>
    </row>
    <row r="2904" spans="1:5" x14ac:dyDescent="0.3">
      <c r="A2904">
        <v>2903</v>
      </c>
      <c r="B2904">
        <v>968</v>
      </c>
      <c r="C2904" t="s">
        <v>621</v>
      </c>
      <c r="D2904">
        <v>9.89</v>
      </c>
      <c r="E2904" t="s">
        <v>622</v>
      </c>
    </row>
    <row r="2905" spans="1:5" x14ac:dyDescent="0.3">
      <c r="A2905">
        <v>2904</v>
      </c>
      <c r="B2905">
        <v>968</v>
      </c>
      <c r="C2905" t="s">
        <v>603</v>
      </c>
      <c r="D2905">
        <v>128.11000000000001</v>
      </c>
      <c r="E2905" t="s">
        <v>604</v>
      </c>
    </row>
    <row r="2906" spans="1:5" x14ac:dyDescent="0.3">
      <c r="A2906">
        <v>2905</v>
      </c>
      <c r="B2906">
        <v>969</v>
      </c>
      <c r="C2906" t="s">
        <v>621</v>
      </c>
      <c r="D2906">
        <v>8.66</v>
      </c>
      <c r="E2906" t="s">
        <v>622</v>
      </c>
    </row>
    <row r="2907" spans="1:5" x14ac:dyDescent="0.3">
      <c r="A2907">
        <v>2906</v>
      </c>
      <c r="B2907">
        <v>969</v>
      </c>
      <c r="C2907" t="s">
        <v>611</v>
      </c>
      <c r="D2907">
        <v>17.14</v>
      </c>
      <c r="E2907" t="s">
        <v>612</v>
      </c>
    </row>
    <row r="2908" spans="1:5" x14ac:dyDescent="0.3">
      <c r="A2908">
        <v>2907</v>
      </c>
      <c r="B2908">
        <v>969</v>
      </c>
      <c r="C2908" t="s">
        <v>605</v>
      </c>
      <c r="D2908">
        <v>313.82</v>
      </c>
      <c r="E2908" t="s">
        <v>606</v>
      </c>
    </row>
    <row r="2909" spans="1:5" x14ac:dyDescent="0.3">
      <c r="A2909">
        <v>2908</v>
      </c>
      <c r="B2909">
        <v>970</v>
      </c>
      <c r="C2909" t="s">
        <v>615</v>
      </c>
      <c r="D2909">
        <v>119.66</v>
      </c>
      <c r="E2909" t="s">
        <v>616</v>
      </c>
    </row>
    <row r="2910" spans="1:5" x14ac:dyDescent="0.3">
      <c r="A2910">
        <v>2909</v>
      </c>
      <c r="B2910">
        <v>970</v>
      </c>
      <c r="C2910" t="s">
        <v>611</v>
      </c>
      <c r="D2910">
        <v>8.4600000000000009</v>
      </c>
      <c r="E2910" t="s">
        <v>612</v>
      </c>
    </row>
    <row r="2911" spans="1:5" x14ac:dyDescent="0.3">
      <c r="A2911">
        <v>2910</v>
      </c>
      <c r="B2911">
        <v>970</v>
      </c>
      <c r="C2911" t="s">
        <v>609</v>
      </c>
      <c r="D2911">
        <v>18.37</v>
      </c>
      <c r="E2911" t="s">
        <v>610</v>
      </c>
    </row>
    <row r="2912" spans="1:5" x14ac:dyDescent="0.3">
      <c r="A2912">
        <v>2911</v>
      </c>
      <c r="B2912">
        <v>971</v>
      </c>
      <c r="C2912" t="s">
        <v>611</v>
      </c>
      <c r="D2912">
        <v>14.54</v>
      </c>
      <c r="E2912" t="s">
        <v>612</v>
      </c>
    </row>
    <row r="2913" spans="1:5" x14ac:dyDescent="0.3">
      <c r="A2913">
        <v>2912</v>
      </c>
      <c r="B2913">
        <v>971</v>
      </c>
      <c r="C2913" t="s">
        <v>605</v>
      </c>
      <c r="D2913">
        <v>138.32</v>
      </c>
      <c r="E2913" t="s">
        <v>606</v>
      </c>
    </row>
    <row r="2914" spans="1:5" x14ac:dyDescent="0.3">
      <c r="A2914">
        <v>2913</v>
      </c>
      <c r="B2914">
        <v>971</v>
      </c>
      <c r="C2914" t="s">
        <v>621</v>
      </c>
      <c r="D2914">
        <v>7.46</v>
      </c>
      <c r="E2914" t="s">
        <v>622</v>
      </c>
    </row>
    <row r="2915" spans="1:5" x14ac:dyDescent="0.3">
      <c r="A2915">
        <v>2914</v>
      </c>
      <c r="B2915">
        <v>972</v>
      </c>
      <c r="C2915" t="s">
        <v>619</v>
      </c>
      <c r="D2915">
        <v>3.01</v>
      </c>
      <c r="E2915" t="s">
        <v>620</v>
      </c>
    </row>
    <row r="2916" spans="1:5" x14ac:dyDescent="0.3">
      <c r="A2916">
        <v>2915</v>
      </c>
      <c r="B2916">
        <v>972</v>
      </c>
      <c r="C2916" t="s">
        <v>621</v>
      </c>
      <c r="D2916">
        <v>7.1</v>
      </c>
      <c r="E2916" t="s">
        <v>622</v>
      </c>
    </row>
    <row r="2917" spans="1:5" x14ac:dyDescent="0.3">
      <c r="A2917">
        <v>2916</v>
      </c>
      <c r="B2917">
        <v>972</v>
      </c>
      <c r="C2917" t="s">
        <v>603</v>
      </c>
      <c r="D2917">
        <v>180.71</v>
      </c>
      <c r="E2917" t="s">
        <v>604</v>
      </c>
    </row>
    <row r="2918" spans="1:5" x14ac:dyDescent="0.3">
      <c r="A2918">
        <v>2917</v>
      </c>
      <c r="B2918">
        <v>973</v>
      </c>
      <c r="C2918" t="s">
        <v>619</v>
      </c>
      <c r="D2918">
        <v>2.98</v>
      </c>
      <c r="E2918" t="s">
        <v>620</v>
      </c>
    </row>
    <row r="2919" spans="1:5" x14ac:dyDescent="0.3">
      <c r="A2919">
        <v>2918</v>
      </c>
      <c r="B2919">
        <v>973</v>
      </c>
      <c r="C2919" t="s">
        <v>613</v>
      </c>
      <c r="D2919">
        <v>4.4800000000000004</v>
      </c>
      <c r="E2919" t="s">
        <v>614</v>
      </c>
    </row>
    <row r="2920" spans="1:5" x14ac:dyDescent="0.3">
      <c r="A2920">
        <v>2919</v>
      </c>
      <c r="B2920">
        <v>973</v>
      </c>
      <c r="C2920" t="s">
        <v>621</v>
      </c>
      <c r="D2920">
        <v>9.65</v>
      </c>
      <c r="E2920" t="s">
        <v>622</v>
      </c>
    </row>
    <row r="2921" spans="1:5" x14ac:dyDescent="0.3">
      <c r="A2921">
        <v>2920</v>
      </c>
      <c r="B2921">
        <v>974</v>
      </c>
      <c r="C2921" t="s">
        <v>613</v>
      </c>
      <c r="D2921">
        <v>4.3</v>
      </c>
      <c r="E2921" t="s">
        <v>614</v>
      </c>
    </row>
    <row r="2922" spans="1:5" x14ac:dyDescent="0.3">
      <c r="A2922">
        <v>2921</v>
      </c>
      <c r="B2922">
        <v>974</v>
      </c>
      <c r="C2922" t="s">
        <v>617</v>
      </c>
      <c r="D2922">
        <v>9.6</v>
      </c>
      <c r="E2922" t="s">
        <v>618</v>
      </c>
    </row>
    <row r="2923" spans="1:5" x14ac:dyDescent="0.3">
      <c r="A2923">
        <v>2922</v>
      </c>
      <c r="B2923">
        <v>974</v>
      </c>
      <c r="C2923" t="s">
        <v>603</v>
      </c>
      <c r="D2923">
        <v>79.72</v>
      </c>
      <c r="E2923" t="s">
        <v>604</v>
      </c>
    </row>
    <row r="2924" spans="1:5" x14ac:dyDescent="0.3">
      <c r="A2924">
        <v>2923</v>
      </c>
      <c r="B2924">
        <v>975</v>
      </c>
      <c r="C2924" t="s">
        <v>619</v>
      </c>
      <c r="D2924">
        <v>3.57</v>
      </c>
      <c r="E2924" t="s">
        <v>620</v>
      </c>
    </row>
    <row r="2925" spans="1:5" x14ac:dyDescent="0.3">
      <c r="A2925">
        <v>2924</v>
      </c>
      <c r="B2925">
        <v>975</v>
      </c>
      <c r="C2925" t="s">
        <v>617</v>
      </c>
      <c r="D2925">
        <v>10.48</v>
      </c>
      <c r="E2925" t="s">
        <v>618</v>
      </c>
    </row>
    <row r="2926" spans="1:5" x14ac:dyDescent="0.3">
      <c r="A2926">
        <v>2925</v>
      </c>
      <c r="B2926">
        <v>975</v>
      </c>
      <c r="C2926" t="s">
        <v>605</v>
      </c>
      <c r="D2926">
        <v>157.87</v>
      </c>
      <c r="E2926" t="s">
        <v>606</v>
      </c>
    </row>
    <row r="2927" spans="1:5" x14ac:dyDescent="0.3">
      <c r="A2927">
        <v>2926</v>
      </c>
      <c r="B2927">
        <v>976</v>
      </c>
      <c r="C2927" t="s">
        <v>611</v>
      </c>
      <c r="D2927">
        <v>8.9600000000000009</v>
      </c>
      <c r="E2927" t="s">
        <v>612</v>
      </c>
    </row>
    <row r="2928" spans="1:5" x14ac:dyDescent="0.3">
      <c r="A2928">
        <v>2927</v>
      </c>
      <c r="B2928">
        <v>976</v>
      </c>
      <c r="C2928" t="s">
        <v>621</v>
      </c>
      <c r="D2928">
        <v>6.57</v>
      </c>
      <c r="E2928" t="s">
        <v>622</v>
      </c>
    </row>
    <row r="2929" spans="1:5" x14ac:dyDescent="0.3">
      <c r="A2929">
        <v>2928</v>
      </c>
      <c r="B2929">
        <v>976</v>
      </c>
      <c r="C2929" t="s">
        <v>619</v>
      </c>
      <c r="D2929">
        <v>3.97</v>
      </c>
      <c r="E2929" t="s">
        <v>620</v>
      </c>
    </row>
    <row r="2930" spans="1:5" x14ac:dyDescent="0.3">
      <c r="A2930">
        <v>2929</v>
      </c>
      <c r="B2930">
        <v>977</v>
      </c>
      <c r="C2930" t="s">
        <v>605</v>
      </c>
      <c r="D2930">
        <v>240.31</v>
      </c>
      <c r="E2930" t="s">
        <v>606</v>
      </c>
    </row>
    <row r="2931" spans="1:5" x14ac:dyDescent="0.3">
      <c r="A2931">
        <v>2930</v>
      </c>
      <c r="B2931">
        <v>977</v>
      </c>
      <c r="C2931" t="s">
        <v>607</v>
      </c>
      <c r="D2931">
        <v>139.15</v>
      </c>
      <c r="E2931" t="s">
        <v>608</v>
      </c>
    </row>
    <row r="2932" spans="1:5" x14ac:dyDescent="0.3">
      <c r="A2932">
        <v>2931</v>
      </c>
      <c r="B2932">
        <v>977</v>
      </c>
      <c r="C2932" t="s">
        <v>617</v>
      </c>
      <c r="D2932">
        <v>6.71</v>
      </c>
      <c r="E2932" t="s">
        <v>618</v>
      </c>
    </row>
    <row r="2933" spans="1:5" x14ac:dyDescent="0.3">
      <c r="A2933">
        <v>2932</v>
      </c>
      <c r="B2933">
        <v>978</v>
      </c>
      <c r="C2933" t="s">
        <v>607</v>
      </c>
      <c r="D2933">
        <v>144.18</v>
      </c>
      <c r="E2933" t="s">
        <v>608</v>
      </c>
    </row>
    <row r="2934" spans="1:5" x14ac:dyDescent="0.3">
      <c r="A2934">
        <v>2933</v>
      </c>
      <c r="B2934">
        <v>978</v>
      </c>
      <c r="C2934" t="s">
        <v>617</v>
      </c>
      <c r="D2934">
        <v>9.9</v>
      </c>
      <c r="E2934" t="s">
        <v>618</v>
      </c>
    </row>
    <row r="2935" spans="1:5" x14ac:dyDescent="0.3">
      <c r="A2935">
        <v>2934</v>
      </c>
      <c r="B2935">
        <v>978</v>
      </c>
      <c r="C2935" t="s">
        <v>615</v>
      </c>
      <c r="D2935">
        <v>329.19</v>
      </c>
      <c r="E2935" t="s">
        <v>616</v>
      </c>
    </row>
    <row r="2936" spans="1:5" x14ac:dyDescent="0.3">
      <c r="A2936">
        <v>2935</v>
      </c>
      <c r="B2936">
        <v>979</v>
      </c>
      <c r="C2936" t="s">
        <v>617</v>
      </c>
      <c r="D2936">
        <v>3.84</v>
      </c>
      <c r="E2936" t="s">
        <v>618</v>
      </c>
    </row>
    <row r="2937" spans="1:5" x14ac:dyDescent="0.3">
      <c r="A2937">
        <v>2936</v>
      </c>
      <c r="B2937">
        <v>979</v>
      </c>
      <c r="C2937" t="s">
        <v>621</v>
      </c>
      <c r="D2937">
        <v>4.5</v>
      </c>
      <c r="E2937" t="s">
        <v>622</v>
      </c>
    </row>
    <row r="2938" spans="1:5" x14ac:dyDescent="0.3">
      <c r="A2938">
        <v>2937</v>
      </c>
      <c r="B2938">
        <v>979</v>
      </c>
      <c r="C2938" t="s">
        <v>605</v>
      </c>
      <c r="D2938">
        <v>188.84</v>
      </c>
      <c r="E2938" t="s">
        <v>606</v>
      </c>
    </row>
    <row r="2939" spans="1:5" x14ac:dyDescent="0.3">
      <c r="A2939">
        <v>2938</v>
      </c>
      <c r="B2939">
        <v>980</v>
      </c>
      <c r="C2939" t="s">
        <v>603</v>
      </c>
      <c r="D2939">
        <v>189.7</v>
      </c>
      <c r="E2939" t="s">
        <v>604</v>
      </c>
    </row>
    <row r="2940" spans="1:5" x14ac:dyDescent="0.3">
      <c r="A2940">
        <v>2939</v>
      </c>
      <c r="B2940">
        <v>980</v>
      </c>
      <c r="C2940" t="s">
        <v>607</v>
      </c>
      <c r="D2940">
        <v>147.77000000000001</v>
      </c>
      <c r="E2940" t="s">
        <v>608</v>
      </c>
    </row>
    <row r="2941" spans="1:5" x14ac:dyDescent="0.3">
      <c r="A2941">
        <v>2940</v>
      </c>
      <c r="B2941">
        <v>980</v>
      </c>
      <c r="C2941" t="s">
        <v>611</v>
      </c>
      <c r="D2941">
        <v>11.68</v>
      </c>
      <c r="E2941" t="s">
        <v>612</v>
      </c>
    </row>
    <row r="2942" spans="1:5" x14ac:dyDescent="0.3">
      <c r="A2942">
        <v>2941</v>
      </c>
      <c r="B2942">
        <v>981</v>
      </c>
      <c r="C2942" t="s">
        <v>611</v>
      </c>
      <c r="D2942">
        <v>14.33</v>
      </c>
      <c r="E2942" t="s">
        <v>612</v>
      </c>
    </row>
    <row r="2943" spans="1:5" x14ac:dyDescent="0.3">
      <c r="A2943">
        <v>2942</v>
      </c>
      <c r="B2943">
        <v>981</v>
      </c>
      <c r="C2943" t="s">
        <v>615</v>
      </c>
      <c r="D2943">
        <v>311.93</v>
      </c>
      <c r="E2943" t="s">
        <v>616</v>
      </c>
    </row>
    <row r="2944" spans="1:5" x14ac:dyDescent="0.3">
      <c r="A2944">
        <v>2943</v>
      </c>
      <c r="B2944">
        <v>981</v>
      </c>
      <c r="C2944" t="s">
        <v>609</v>
      </c>
      <c r="D2944">
        <v>19.190000000000001</v>
      </c>
      <c r="E2944" t="s">
        <v>610</v>
      </c>
    </row>
    <row r="2945" spans="1:5" x14ac:dyDescent="0.3">
      <c r="A2945">
        <v>2944</v>
      </c>
      <c r="B2945">
        <v>982</v>
      </c>
      <c r="C2945" t="s">
        <v>621</v>
      </c>
      <c r="D2945">
        <v>7.61</v>
      </c>
      <c r="E2945" t="s">
        <v>622</v>
      </c>
    </row>
    <row r="2946" spans="1:5" x14ac:dyDescent="0.3">
      <c r="A2946">
        <v>2945</v>
      </c>
      <c r="B2946">
        <v>982</v>
      </c>
      <c r="C2946" t="s">
        <v>617</v>
      </c>
      <c r="D2946">
        <v>12.65</v>
      </c>
      <c r="E2946" t="s">
        <v>618</v>
      </c>
    </row>
    <row r="2947" spans="1:5" x14ac:dyDescent="0.3">
      <c r="A2947">
        <v>2946</v>
      </c>
      <c r="B2947">
        <v>982</v>
      </c>
      <c r="C2947" t="s">
        <v>615</v>
      </c>
      <c r="D2947">
        <v>268.16000000000003</v>
      </c>
      <c r="E2947" t="s">
        <v>616</v>
      </c>
    </row>
    <row r="2948" spans="1:5" x14ac:dyDescent="0.3">
      <c r="A2948">
        <v>2947</v>
      </c>
      <c r="B2948">
        <v>983</v>
      </c>
      <c r="C2948" t="s">
        <v>613</v>
      </c>
      <c r="D2948">
        <v>3.87</v>
      </c>
      <c r="E2948" t="s">
        <v>614</v>
      </c>
    </row>
    <row r="2949" spans="1:5" x14ac:dyDescent="0.3">
      <c r="A2949">
        <v>2948</v>
      </c>
      <c r="B2949">
        <v>983</v>
      </c>
      <c r="C2949" t="s">
        <v>617</v>
      </c>
      <c r="D2949">
        <v>15.99</v>
      </c>
      <c r="E2949" t="s">
        <v>618</v>
      </c>
    </row>
    <row r="2950" spans="1:5" x14ac:dyDescent="0.3">
      <c r="A2950">
        <v>2949</v>
      </c>
      <c r="B2950">
        <v>983</v>
      </c>
      <c r="C2950" t="s">
        <v>621</v>
      </c>
      <c r="D2950">
        <v>5.52</v>
      </c>
      <c r="E2950" t="s">
        <v>622</v>
      </c>
    </row>
    <row r="2951" spans="1:5" x14ac:dyDescent="0.3">
      <c r="A2951">
        <v>2950</v>
      </c>
      <c r="B2951">
        <v>984</v>
      </c>
      <c r="C2951" t="s">
        <v>621</v>
      </c>
      <c r="D2951">
        <v>9.5299999999999994</v>
      </c>
      <c r="E2951" t="s">
        <v>622</v>
      </c>
    </row>
    <row r="2952" spans="1:5" x14ac:dyDescent="0.3">
      <c r="A2952">
        <v>2951</v>
      </c>
      <c r="B2952">
        <v>984</v>
      </c>
      <c r="C2952" t="s">
        <v>605</v>
      </c>
      <c r="D2952">
        <v>201.95</v>
      </c>
      <c r="E2952" t="s">
        <v>606</v>
      </c>
    </row>
    <row r="2953" spans="1:5" x14ac:dyDescent="0.3">
      <c r="A2953">
        <v>2952</v>
      </c>
      <c r="B2953">
        <v>984</v>
      </c>
      <c r="C2953" t="s">
        <v>603</v>
      </c>
      <c r="D2953">
        <v>227.8</v>
      </c>
      <c r="E2953" t="s">
        <v>604</v>
      </c>
    </row>
    <row r="2954" spans="1:5" x14ac:dyDescent="0.3">
      <c r="A2954">
        <v>2953</v>
      </c>
      <c r="B2954">
        <v>985</v>
      </c>
      <c r="C2954" t="s">
        <v>615</v>
      </c>
      <c r="D2954">
        <v>404.04</v>
      </c>
      <c r="E2954" t="s">
        <v>616</v>
      </c>
    </row>
    <row r="2955" spans="1:5" x14ac:dyDescent="0.3">
      <c r="A2955">
        <v>2954</v>
      </c>
      <c r="B2955">
        <v>985</v>
      </c>
      <c r="C2955" t="s">
        <v>607</v>
      </c>
      <c r="D2955">
        <v>138.22</v>
      </c>
      <c r="E2955" t="s">
        <v>608</v>
      </c>
    </row>
    <row r="2956" spans="1:5" x14ac:dyDescent="0.3">
      <c r="A2956">
        <v>2955</v>
      </c>
      <c r="B2956">
        <v>985</v>
      </c>
      <c r="C2956" t="s">
        <v>613</v>
      </c>
      <c r="D2956">
        <v>3.32</v>
      </c>
      <c r="E2956" t="s">
        <v>614</v>
      </c>
    </row>
    <row r="2957" spans="1:5" x14ac:dyDescent="0.3">
      <c r="A2957">
        <v>2956</v>
      </c>
      <c r="B2957">
        <v>986</v>
      </c>
      <c r="C2957" t="s">
        <v>607</v>
      </c>
      <c r="D2957">
        <v>147.21</v>
      </c>
      <c r="E2957" t="s">
        <v>608</v>
      </c>
    </row>
    <row r="2958" spans="1:5" x14ac:dyDescent="0.3">
      <c r="A2958">
        <v>2957</v>
      </c>
      <c r="B2958">
        <v>986</v>
      </c>
      <c r="C2958" t="s">
        <v>621</v>
      </c>
      <c r="D2958">
        <v>10.31</v>
      </c>
      <c r="E2958" t="s">
        <v>622</v>
      </c>
    </row>
    <row r="2959" spans="1:5" x14ac:dyDescent="0.3">
      <c r="A2959">
        <v>2958</v>
      </c>
      <c r="B2959">
        <v>986</v>
      </c>
      <c r="C2959" t="s">
        <v>603</v>
      </c>
      <c r="D2959">
        <v>135.57</v>
      </c>
      <c r="E2959" t="s">
        <v>604</v>
      </c>
    </row>
    <row r="2960" spans="1:5" x14ac:dyDescent="0.3">
      <c r="A2960">
        <v>2959</v>
      </c>
      <c r="B2960">
        <v>987</v>
      </c>
      <c r="C2960" t="s">
        <v>605</v>
      </c>
      <c r="D2960">
        <v>122.79</v>
      </c>
      <c r="E2960" t="s">
        <v>606</v>
      </c>
    </row>
    <row r="2961" spans="1:5" x14ac:dyDescent="0.3">
      <c r="A2961">
        <v>2960</v>
      </c>
      <c r="B2961">
        <v>987</v>
      </c>
      <c r="C2961" t="s">
        <v>607</v>
      </c>
      <c r="D2961">
        <v>145.41</v>
      </c>
      <c r="E2961" t="s">
        <v>608</v>
      </c>
    </row>
    <row r="2962" spans="1:5" x14ac:dyDescent="0.3">
      <c r="A2962">
        <v>2961</v>
      </c>
      <c r="B2962">
        <v>987</v>
      </c>
      <c r="C2962" t="s">
        <v>615</v>
      </c>
      <c r="D2962">
        <v>331.62</v>
      </c>
      <c r="E2962" t="s">
        <v>616</v>
      </c>
    </row>
    <row r="2963" spans="1:5" x14ac:dyDescent="0.3">
      <c r="A2963">
        <v>2962</v>
      </c>
      <c r="B2963">
        <v>988</v>
      </c>
      <c r="C2963" t="s">
        <v>605</v>
      </c>
      <c r="D2963">
        <v>163.4</v>
      </c>
      <c r="E2963" t="s">
        <v>606</v>
      </c>
    </row>
    <row r="2964" spans="1:5" x14ac:dyDescent="0.3">
      <c r="A2964">
        <v>2963</v>
      </c>
      <c r="B2964">
        <v>988</v>
      </c>
      <c r="C2964" t="s">
        <v>621</v>
      </c>
      <c r="D2964">
        <v>4.13</v>
      </c>
      <c r="E2964" t="s">
        <v>622</v>
      </c>
    </row>
    <row r="2965" spans="1:5" x14ac:dyDescent="0.3">
      <c r="A2965">
        <v>2964</v>
      </c>
      <c r="B2965">
        <v>988</v>
      </c>
      <c r="C2965" t="s">
        <v>609</v>
      </c>
      <c r="D2965">
        <v>9.5</v>
      </c>
      <c r="E2965" t="s">
        <v>610</v>
      </c>
    </row>
    <row r="2966" spans="1:5" x14ac:dyDescent="0.3">
      <c r="A2966">
        <v>2965</v>
      </c>
      <c r="B2966">
        <v>989</v>
      </c>
      <c r="C2966" t="s">
        <v>617</v>
      </c>
      <c r="D2966">
        <v>3.28</v>
      </c>
      <c r="E2966" t="s">
        <v>618</v>
      </c>
    </row>
    <row r="2967" spans="1:5" x14ac:dyDescent="0.3">
      <c r="A2967">
        <v>2966</v>
      </c>
      <c r="B2967">
        <v>989</v>
      </c>
      <c r="C2967" t="s">
        <v>615</v>
      </c>
      <c r="D2967">
        <v>237.28</v>
      </c>
      <c r="E2967" t="s">
        <v>616</v>
      </c>
    </row>
    <row r="2968" spans="1:5" x14ac:dyDescent="0.3">
      <c r="A2968">
        <v>2967</v>
      </c>
      <c r="B2968">
        <v>989</v>
      </c>
      <c r="C2968" t="s">
        <v>619</v>
      </c>
      <c r="D2968">
        <v>1.56</v>
      </c>
      <c r="E2968" t="s">
        <v>620</v>
      </c>
    </row>
    <row r="2969" spans="1:5" x14ac:dyDescent="0.3">
      <c r="A2969">
        <v>2968</v>
      </c>
      <c r="B2969">
        <v>990</v>
      </c>
      <c r="C2969" t="s">
        <v>609</v>
      </c>
      <c r="D2969">
        <v>3.88</v>
      </c>
      <c r="E2969" t="s">
        <v>610</v>
      </c>
    </row>
    <row r="2970" spans="1:5" x14ac:dyDescent="0.3">
      <c r="A2970">
        <v>2969</v>
      </c>
      <c r="B2970">
        <v>990</v>
      </c>
      <c r="C2970" t="s">
        <v>617</v>
      </c>
      <c r="D2970">
        <v>10.89</v>
      </c>
      <c r="E2970" t="s">
        <v>618</v>
      </c>
    </row>
    <row r="2971" spans="1:5" x14ac:dyDescent="0.3">
      <c r="A2971">
        <v>2970</v>
      </c>
      <c r="B2971">
        <v>990</v>
      </c>
      <c r="C2971" t="s">
        <v>619</v>
      </c>
      <c r="D2971">
        <v>2.25</v>
      </c>
      <c r="E2971" t="s">
        <v>620</v>
      </c>
    </row>
    <row r="2972" spans="1:5" x14ac:dyDescent="0.3">
      <c r="A2972">
        <v>2971</v>
      </c>
      <c r="B2972">
        <v>991</v>
      </c>
      <c r="C2972" t="s">
        <v>607</v>
      </c>
      <c r="D2972">
        <v>149.32</v>
      </c>
      <c r="E2972" t="s">
        <v>608</v>
      </c>
    </row>
    <row r="2973" spans="1:5" x14ac:dyDescent="0.3">
      <c r="A2973">
        <v>2972</v>
      </c>
      <c r="B2973">
        <v>991</v>
      </c>
      <c r="C2973" t="s">
        <v>605</v>
      </c>
      <c r="D2973">
        <v>131.94999999999999</v>
      </c>
      <c r="E2973" t="s">
        <v>606</v>
      </c>
    </row>
    <row r="2974" spans="1:5" x14ac:dyDescent="0.3">
      <c r="A2974">
        <v>2973</v>
      </c>
      <c r="B2974">
        <v>991</v>
      </c>
      <c r="C2974" t="s">
        <v>613</v>
      </c>
      <c r="D2974">
        <v>6.07</v>
      </c>
      <c r="E2974" t="s">
        <v>614</v>
      </c>
    </row>
    <row r="2975" spans="1:5" x14ac:dyDescent="0.3">
      <c r="A2975">
        <v>2974</v>
      </c>
      <c r="B2975">
        <v>992</v>
      </c>
      <c r="C2975" t="s">
        <v>611</v>
      </c>
      <c r="D2975">
        <v>13.38</v>
      </c>
      <c r="E2975" t="s">
        <v>612</v>
      </c>
    </row>
    <row r="2976" spans="1:5" x14ac:dyDescent="0.3">
      <c r="A2976">
        <v>2975</v>
      </c>
      <c r="B2976">
        <v>992</v>
      </c>
      <c r="C2976" t="s">
        <v>615</v>
      </c>
      <c r="D2976">
        <v>149.52000000000001</v>
      </c>
      <c r="E2976" t="s">
        <v>616</v>
      </c>
    </row>
    <row r="2977" spans="1:5" x14ac:dyDescent="0.3">
      <c r="A2977">
        <v>2976</v>
      </c>
      <c r="B2977">
        <v>992</v>
      </c>
      <c r="C2977" t="s">
        <v>613</v>
      </c>
      <c r="D2977">
        <v>4.5599999999999996</v>
      </c>
      <c r="E2977" t="s">
        <v>614</v>
      </c>
    </row>
    <row r="2978" spans="1:5" x14ac:dyDescent="0.3">
      <c r="A2978">
        <v>2977</v>
      </c>
      <c r="B2978">
        <v>993</v>
      </c>
      <c r="C2978" t="s">
        <v>613</v>
      </c>
      <c r="D2978">
        <v>4.47</v>
      </c>
      <c r="E2978" t="s">
        <v>614</v>
      </c>
    </row>
    <row r="2979" spans="1:5" x14ac:dyDescent="0.3">
      <c r="A2979">
        <v>2978</v>
      </c>
      <c r="B2979">
        <v>993</v>
      </c>
      <c r="C2979" t="s">
        <v>619</v>
      </c>
      <c r="D2979">
        <v>3.85</v>
      </c>
      <c r="E2979" t="s">
        <v>620</v>
      </c>
    </row>
    <row r="2980" spans="1:5" x14ac:dyDescent="0.3">
      <c r="A2980">
        <v>2979</v>
      </c>
      <c r="B2980">
        <v>993</v>
      </c>
      <c r="C2980" t="s">
        <v>607</v>
      </c>
      <c r="D2980">
        <v>141.88999999999999</v>
      </c>
      <c r="E2980" t="s">
        <v>608</v>
      </c>
    </row>
    <row r="2981" spans="1:5" x14ac:dyDescent="0.3">
      <c r="A2981">
        <v>2980</v>
      </c>
      <c r="B2981">
        <v>994</v>
      </c>
      <c r="C2981" t="s">
        <v>615</v>
      </c>
      <c r="D2981">
        <v>314.07</v>
      </c>
      <c r="E2981" t="s">
        <v>616</v>
      </c>
    </row>
    <row r="2982" spans="1:5" x14ac:dyDescent="0.3">
      <c r="A2982">
        <v>2981</v>
      </c>
      <c r="B2982">
        <v>994</v>
      </c>
      <c r="C2982" t="s">
        <v>617</v>
      </c>
      <c r="D2982">
        <v>10.79</v>
      </c>
      <c r="E2982" t="s">
        <v>618</v>
      </c>
    </row>
    <row r="2983" spans="1:5" x14ac:dyDescent="0.3">
      <c r="A2983">
        <v>2982</v>
      </c>
      <c r="B2983">
        <v>994</v>
      </c>
      <c r="C2983" t="s">
        <v>607</v>
      </c>
      <c r="D2983">
        <v>139.65</v>
      </c>
      <c r="E2983" t="s">
        <v>608</v>
      </c>
    </row>
    <row r="2984" spans="1:5" x14ac:dyDescent="0.3">
      <c r="A2984">
        <v>2983</v>
      </c>
      <c r="B2984">
        <v>995</v>
      </c>
      <c r="C2984" t="s">
        <v>615</v>
      </c>
      <c r="D2984">
        <v>229.35</v>
      </c>
      <c r="E2984" t="s">
        <v>616</v>
      </c>
    </row>
    <row r="2985" spans="1:5" x14ac:dyDescent="0.3">
      <c r="A2985">
        <v>2984</v>
      </c>
      <c r="B2985">
        <v>995</v>
      </c>
      <c r="C2985" t="s">
        <v>621</v>
      </c>
      <c r="D2985">
        <v>11.76</v>
      </c>
      <c r="E2985" t="s">
        <v>622</v>
      </c>
    </row>
    <row r="2986" spans="1:5" x14ac:dyDescent="0.3">
      <c r="A2986">
        <v>2985</v>
      </c>
      <c r="B2986">
        <v>995</v>
      </c>
      <c r="C2986" t="s">
        <v>605</v>
      </c>
      <c r="D2986">
        <v>132.62</v>
      </c>
      <c r="E2986" t="s">
        <v>606</v>
      </c>
    </row>
    <row r="2987" spans="1:5" x14ac:dyDescent="0.3">
      <c r="A2987">
        <v>2986</v>
      </c>
      <c r="B2987">
        <v>996</v>
      </c>
      <c r="C2987" t="s">
        <v>613</v>
      </c>
      <c r="D2987">
        <v>3.64</v>
      </c>
      <c r="E2987" t="s">
        <v>614</v>
      </c>
    </row>
    <row r="2988" spans="1:5" x14ac:dyDescent="0.3">
      <c r="A2988">
        <v>2987</v>
      </c>
      <c r="B2988">
        <v>996</v>
      </c>
      <c r="C2988" t="s">
        <v>615</v>
      </c>
      <c r="D2988">
        <v>430.6</v>
      </c>
      <c r="E2988" t="s">
        <v>616</v>
      </c>
    </row>
    <row r="2989" spans="1:5" x14ac:dyDescent="0.3">
      <c r="A2989">
        <v>2988</v>
      </c>
      <c r="B2989">
        <v>996</v>
      </c>
      <c r="C2989" t="s">
        <v>607</v>
      </c>
      <c r="D2989">
        <v>143.13999999999999</v>
      </c>
      <c r="E2989" t="s">
        <v>608</v>
      </c>
    </row>
    <row r="2990" spans="1:5" x14ac:dyDescent="0.3">
      <c r="A2990">
        <v>2989</v>
      </c>
      <c r="B2990">
        <v>997</v>
      </c>
      <c r="C2990" t="s">
        <v>615</v>
      </c>
      <c r="D2990">
        <v>294.25</v>
      </c>
      <c r="E2990" t="s">
        <v>616</v>
      </c>
    </row>
    <row r="2991" spans="1:5" x14ac:dyDescent="0.3">
      <c r="A2991">
        <v>2990</v>
      </c>
      <c r="B2991">
        <v>997</v>
      </c>
      <c r="C2991" t="s">
        <v>613</v>
      </c>
      <c r="D2991">
        <v>4.76</v>
      </c>
      <c r="E2991" t="s">
        <v>614</v>
      </c>
    </row>
    <row r="2992" spans="1:5" x14ac:dyDescent="0.3">
      <c r="A2992">
        <v>2991</v>
      </c>
      <c r="B2992">
        <v>997</v>
      </c>
      <c r="C2992" t="s">
        <v>617</v>
      </c>
      <c r="D2992">
        <v>7.3</v>
      </c>
      <c r="E2992" t="s">
        <v>618</v>
      </c>
    </row>
    <row r="2993" spans="1:5" x14ac:dyDescent="0.3">
      <c r="A2993">
        <v>2992</v>
      </c>
      <c r="B2993">
        <v>998</v>
      </c>
      <c r="C2993" t="s">
        <v>619</v>
      </c>
      <c r="D2993">
        <v>3.24</v>
      </c>
      <c r="E2993" t="s">
        <v>620</v>
      </c>
    </row>
    <row r="2994" spans="1:5" x14ac:dyDescent="0.3">
      <c r="A2994">
        <v>2993</v>
      </c>
      <c r="B2994">
        <v>998</v>
      </c>
      <c r="C2994" t="s">
        <v>605</v>
      </c>
      <c r="D2994">
        <v>234.45</v>
      </c>
      <c r="E2994" t="s">
        <v>606</v>
      </c>
    </row>
    <row r="2995" spans="1:5" x14ac:dyDescent="0.3">
      <c r="A2995">
        <v>2994</v>
      </c>
      <c r="B2995">
        <v>998</v>
      </c>
      <c r="C2995" t="s">
        <v>615</v>
      </c>
      <c r="D2995">
        <v>418.98</v>
      </c>
      <c r="E2995" t="s">
        <v>616</v>
      </c>
    </row>
    <row r="2996" spans="1:5" x14ac:dyDescent="0.3">
      <c r="A2996">
        <v>2995</v>
      </c>
      <c r="B2996">
        <v>999</v>
      </c>
      <c r="C2996" t="s">
        <v>621</v>
      </c>
      <c r="D2996">
        <v>7.91</v>
      </c>
      <c r="E2996" t="s">
        <v>622</v>
      </c>
    </row>
    <row r="2997" spans="1:5" x14ac:dyDescent="0.3">
      <c r="A2997">
        <v>2996</v>
      </c>
      <c r="B2997">
        <v>999</v>
      </c>
      <c r="C2997" t="s">
        <v>619</v>
      </c>
      <c r="D2997">
        <v>2.14</v>
      </c>
      <c r="E2997" t="s">
        <v>620</v>
      </c>
    </row>
    <row r="2998" spans="1:5" x14ac:dyDescent="0.3">
      <c r="A2998">
        <v>2997</v>
      </c>
      <c r="B2998">
        <v>999</v>
      </c>
      <c r="C2998" t="s">
        <v>609</v>
      </c>
      <c r="D2998">
        <v>0.49</v>
      </c>
      <c r="E2998" t="s">
        <v>610</v>
      </c>
    </row>
    <row r="2999" spans="1:5" x14ac:dyDescent="0.3">
      <c r="A2999">
        <v>2998</v>
      </c>
      <c r="B2999">
        <v>1000</v>
      </c>
      <c r="C2999" t="s">
        <v>609</v>
      </c>
      <c r="D2999">
        <v>15.03</v>
      </c>
      <c r="E2999" t="s">
        <v>610</v>
      </c>
    </row>
    <row r="3000" spans="1:5" x14ac:dyDescent="0.3">
      <c r="A3000">
        <v>2999</v>
      </c>
      <c r="B3000">
        <v>1000</v>
      </c>
      <c r="C3000" t="s">
        <v>611</v>
      </c>
      <c r="D3000">
        <v>13.55</v>
      </c>
      <c r="E3000" t="s">
        <v>612</v>
      </c>
    </row>
    <row r="3001" spans="1:5" x14ac:dyDescent="0.3">
      <c r="A3001">
        <v>3000</v>
      </c>
      <c r="B3001">
        <v>1000</v>
      </c>
      <c r="C3001" t="s">
        <v>607</v>
      </c>
      <c r="D3001">
        <v>129.79</v>
      </c>
      <c r="E3001" t="s">
        <v>608</v>
      </c>
    </row>
  </sheetData>
  <autoFilter ref="A1:E300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 of treatment cost</vt:lpstr>
      <vt:lpstr>charts of patients</vt:lpstr>
      <vt:lpstr>Patients</vt:lpstr>
      <vt:lpstr>Diagnosis</vt:lpstr>
      <vt:lpstr>Outcome</vt:lpstr>
      <vt:lpstr>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Hari</cp:lastModifiedBy>
  <dcterms:created xsi:type="dcterms:W3CDTF">2026-10-12T15:38:46Z</dcterms:created>
  <dcterms:modified xsi:type="dcterms:W3CDTF">2026-10-13T06:14:09Z</dcterms:modified>
</cp:coreProperties>
</file>